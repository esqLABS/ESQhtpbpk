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eLefaudeux\Github projects\ESQhtpbpk\"/>
    </mc:Choice>
  </mc:AlternateContent>
  <xr:revisionPtr revIDLastSave="0" documentId="13_ncr:1_{EAF1FF5B-C3D8-486B-9902-262EA6FE20ED}" xr6:coauthVersionLast="47" xr6:coauthVersionMax="47" xr10:uidLastSave="{00000000-0000-0000-0000-000000000000}"/>
  <bookViews>
    <workbookView xWindow="28836" yWindow="-552" windowWidth="13752" windowHeight="10884" firstSheet="2" activeTab="4" xr2:uid="{CD51302F-0749-4630-864C-B3DDB81A9315}"/>
  </bookViews>
  <sheets>
    <sheet name="StudiesList" sheetId="1" r:id="rId1"/>
    <sheet name="Compounds" sheetId="2" r:id="rId2"/>
    <sheet name="Protocols" sheetId="4" r:id="rId3"/>
    <sheet name="Formulations" sheetId="3" r:id="rId4"/>
    <sheet name="Observed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33" i="5" l="1"/>
  <c r="G1533" i="5" s="1"/>
  <c r="F1534" i="5"/>
  <c r="G1534" i="5" s="1"/>
  <c r="F1535" i="5"/>
  <c r="G1535" i="5" s="1"/>
  <c r="F1536" i="5"/>
  <c r="G1536" i="5" s="1"/>
  <c r="F1537" i="5"/>
  <c r="G1537" i="5" s="1"/>
  <c r="F1538" i="5"/>
  <c r="G1538" i="5" s="1"/>
  <c r="F1539" i="5"/>
  <c r="G1539" i="5" s="1"/>
  <c r="F1540" i="5"/>
  <c r="G1540" i="5" s="1"/>
  <c r="F1541" i="5"/>
  <c r="G1541" i="5" s="1"/>
  <c r="F1542" i="5"/>
  <c r="G1542" i="5" s="1"/>
  <c r="F1543" i="5"/>
  <c r="F1532" i="5"/>
  <c r="G1532" i="5" s="1"/>
  <c r="F1521" i="5"/>
  <c r="G1521" i="5" s="1"/>
  <c r="F1522" i="5"/>
  <c r="F1523" i="5"/>
  <c r="G1523" i="5" s="1"/>
  <c r="F1524" i="5"/>
  <c r="G1524" i="5" s="1"/>
  <c r="F1525" i="5"/>
  <c r="G1525" i="5" s="1"/>
  <c r="F1526" i="5"/>
  <c r="G1526" i="5" s="1"/>
  <c r="F1527" i="5"/>
  <c r="G1527" i="5" s="1"/>
  <c r="F1528" i="5"/>
  <c r="G1528" i="5" s="1"/>
  <c r="F1529" i="5"/>
  <c r="G1529" i="5" s="1"/>
  <c r="F1530" i="5"/>
  <c r="G1530" i="5" s="1"/>
  <c r="F1531" i="5"/>
  <c r="G1531" i="5" s="1"/>
  <c r="F1520" i="5"/>
  <c r="F1507" i="5"/>
  <c r="F1508" i="5"/>
  <c r="G1508" i="5" s="1"/>
  <c r="F1509" i="5"/>
  <c r="G1509" i="5" s="1"/>
  <c r="F1510" i="5"/>
  <c r="G1510" i="5" s="1"/>
  <c r="F1511" i="5"/>
  <c r="G1511" i="5" s="1"/>
  <c r="F1512" i="5"/>
  <c r="G1512" i="5" s="1"/>
  <c r="F1513" i="5"/>
  <c r="G1513" i="5" s="1"/>
  <c r="F1514" i="5"/>
  <c r="G1514" i="5" s="1"/>
  <c r="F1515" i="5"/>
  <c r="G1515" i="5" s="1"/>
  <c r="F1516" i="5"/>
  <c r="F1517" i="5"/>
  <c r="F1518" i="5"/>
  <c r="F1519" i="5"/>
  <c r="F1506" i="5"/>
  <c r="G1506" i="5" s="1"/>
  <c r="F1496" i="5"/>
  <c r="G1496" i="5" s="1"/>
  <c r="F1497" i="5"/>
  <c r="G1497" i="5" s="1"/>
  <c r="F1498" i="5"/>
  <c r="G1498" i="5" s="1"/>
  <c r="F1499" i="5"/>
  <c r="G1499" i="5" s="1"/>
  <c r="F1500" i="5"/>
  <c r="G1500" i="5" s="1"/>
  <c r="F1501" i="5"/>
  <c r="G1501" i="5" s="1"/>
  <c r="F1502" i="5"/>
  <c r="G1502" i="5" s="1"/>
  <c r="F1503" i="5"/>
  <c r="G1503" i="5" s="1"/>
  <c r="F1504" i="5"/>
  <c r="G1504" i="5" s="1"/>
  <c r="F1505" i="5"/>
  <c r="G1505" i="5" s="1"/>
  <c r="F1495" i="5"/>
  <c r="G1495" i="5" s="1"/>
  <c r="F1485" i="5"/>
  <c r="G1485" i="5" s="1"/>
  <c r="F1486" i="5"/>
  <c r="G1486" i="5" s="1"/>
  <c r="F1487" i="5"/>
  <c r="G1487" i="5" s="1"/>
  <c r="F1488" i="5"/>
  <c r="G1488" i="5" s="1"/>
  <c r="F1489" i="5"/>
  <c r="G1489" i="5" s="1"/>
  <c r="F1490" i="5"/>
  <c r="G1490" i="5" s="1"/>
  <c r="F1491" i="5"/>
  <c r="G1491" i="5" s="1"/>
  <c r="F1492" i="5"/>
  <c r="F1493" i="5"/>
  <c r="F1494" i="5"/>
  <c r="F1484" i="5"/>
  <c r="F1474" i="5"/>
  <c r="G1474" i="5" s="1"/>
  <c r="F1475" i="5"/>
  <c r="G1475" i="5" s="1"/>
  <c r="F1476" i="5"/>
  <c r="G1476" i="5" s="1"/>
  <c r="F1477" i="5"/>
  <c r="G1477" i="5" s="1"/>
  <c r="F1478" i="5"/>
  <c r="G1478" i="5" s="1"/>
  <c r="F1479" i="5"/>
  <c r="G1479" i="5" s="1"/>
  <c r="F1480" i="5"/>
  <c r="G1480" i="5" s="1"/>
  <c r="F1481" i="5"/>
  <c r="G1481" i="5" s="1"/>
  <c r="F1482" i="5"/>
  <c r="G1482" i="5" s="1"/>
  <c r="F1483" i="5"/>
  <c r="G1483" i="5" s="1"/>
  <c r="F1463" i="5"/>
  <c r="F1464" i="5"/>
  <c r="G1464" i="5" s="1"/>
  <c r="F1465" i="5"/>
  <c r="G1465" i="5" s="1"/>
  <c r="F1466" i="5"/>
  <c r="F1467" i="5"/>
  <c r="F1468" i="5"/>
  <c r="F1469" i="5"/>
  <c r="G1469" i="5" s="1"/>
  <c r="F1470" i="5"/>
  <c r="G1470" i="5" s="1"/>
  <c r="F1471" i="5"/>
  <c r="G1471" i="5" s="1"/>
  <c r="F1472" i="5"/>
  <c r="F1473" i="5"/>
  <c r="G1473" i="5" s="1"/>
  <c r="F1462" i="5"/>
  <c r="G1462" i="5" s="1"/>
  <c r="F1452" i="5"/>
  <c r="G1452" i="5" s="1"/>
  <c r="F1453" i="5"/>
  <c r="G1453" i="5" s="1"/>
  <c r="F1454" i="5"/>
  <c r="G1454" i="5" s="1"/>
  <c r="F1455" i="5"/>
  <c r="G1455" i="5" s="1"/>
  <c r="F1456" i="5"/>
  <c r="G1456" i="5" s="1"/>
  <c r="F1457" i="5"/>
  <c r="G1457" i="5" s="1"/>
  <c r="F1458" i="5"/>
  <c r="G1458" i="5" s="1"/>
  <c r="F1459" i="5"/>
  <c r="G1459" i="5" s="1"/>
  <c r="F1460" i="5"/>
  <c r="G1460" i="5" s="1"/>
  <c r="F1461" i="5"/>
  <c r="G1461" i="5" s="1"/>
  <c r="F1451" i="5"/>
  <c r="G1451" i="5" s="1"/>
  <c r="F233" i="5"/>
  <c r="F234" i="5"/>
  <c r="F235" i="5"/>
  <c r="F236" i="5"/>
  <c r="G236" i="5" s="1"/>
  <c r="F237" i="5"/>
  <c r="G237" i="5" s="1"/>
  <c r="F238" i="5"/>
  <c r="G238" i="5" s="1"/>
  <c r="F239" i="5"/>
  <c r="F240" i="5"/>
  <c r="F232" i="5"/>
  <c r="F230" i="5"/>
  <c r="F231" i="5"/>
  <c r="G231" i="5" s="1"/>
  <c r="F225" i="5"/>
  <c r="G225" i="5" s="1"/>
  <c r="F226" i="5"/>
  <c r="G226" i="5" s="1"/>
  <c r="F227" i="5"/>
  <c r="F228" i="5"/>
  <c r="F229" i="5"/>
  <c r="G229" i="5" s="1"/>
  <c r="F224" i="5"/>
  <c r="G224" i="5" s="1"/>
  <c r="F218" i="5"/>
  <c r="G218" i="5" s="1"/>
  <c r="F219" i="5"/>
  <c r="G219" i="5" s="1"/>
  <c r="F220" i="5"/>
  <c r="F221" i="5"/>
  <c r="F222" i="5"/>
  <c r="G222" i="5" s="1"/>
  <c r="F223" i="5"/>
  <c r="G223" i="5" s="1"/>
  <c r="F217" i="5"/>
  <c r="G217" i="5" s="1"/>
  <c r="G1831" i="5"/>
  <c r="F124" i="1"/>
  <c r="F123" i="1"/>
  <c r="F1794" i="5"/>
  <c r="G1794" i="5" s="1"/>
  <c r="F1795" i="5"/>
  <c r="G1795" i="5" s="1"/>
  <c r="F1796" i="5"/>
  <c r="G1796" i="5" s="1"/>
  <c r="F1797" i="5"/>
  <c r="G1797" i="5" s="1"/>
  <c r="F1798" i="5"/>
  <c r="G1798" i="5" s="1"/>
  <c r="F1799" i="5"/>
  <c r="G1799" i="5" s="1"/>
  <c r="F1800" i="5"/>
  <c r="G1800" i="5" s="1"/>
  <c r="F1801" i="5"/>
  <c r="G1801" i="5" s="1"/>
  <c r="F1802" i="5"/>
  <c r="G1802" i="5" s="1"/>
  <c r="F1803" i="5"/>
  <c r="G1803" i="5" s="1"/>
  <c r="F1804" i="5"/>
  <c r="G1804" i="5" s="1"/>
  <c r="F1805" i="5"/>
  <c r="G1805" i="5" s="1"/>
  <c r="F1806" i="5"/>
  <c r="G1806" i="5" s="1"/>
  <c r="F1793" i="5"/>
  <c r="G1793" i="5" s="1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8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02" i="5"/>
  <c r="G1691" i="5"/>
  <c r="G1690" i="5"/>
  <c r="G1689" i="5"/>
  <c r="G1688" i="5"/>
  <c r="G1687" i="5"/>
  <c r="G1686" i="5"/>
  <c r="G1685" i="5"/>
  <c r="G1684" i="5"/>
  <c r="G1683" i="5"/>
  <c r="G1682" i="5"/>
  <c r="G1681" i="5"/>
  <c r="G1680" i="5"/>
  <c r="G1679" i="5"/>
  <c r="F1701" i="5"/>
  <c r="G1701" i="5" s="1"/>
  <c r="F1700" i="5"/>
  <c r="G1700" i="5" s="1"/>
  <c r="F1699" i="5"/>
  <c r="G1699" i="5" s="1"/>
  <c r="F1698" i="5"/>
  <c r="G1698" i="5" s="1"/>
  <c r="F1697" i="5"/>
  <c r="G1697" i="5" s="1"/>
  <c r="F1696" i="5"/>
  <c r="G1696" i="5" s="1"/>
  <c r="F1695" i="5"/>
  <c r="G1695" i="5" s="1"/>
  <c r="F1694" i="5"/>
  <c r="G1694" i="5" s="1"/>
  <c r="F1693" i="5"/>
  <c r="G1693" i="5" s="1"/>
  <c r="F1692" i="5"/>
  <c r="G1692" i="5" s="1"/>
  <c r="F1678" i="5"/>
  <c r="G1678" i="5" s="1"/>
  <c r="F1677" i="5"/>
  <c r="G1677" i="5" s="1"/>
  <c r="F1676" i="5"/>
  <c r="G1676" i="5" s="1"/>
  <c r="F1675" i="5"/>
  <c r="G1675" i="5" s="1"/>
  <c r="F1674" i="5"/>
  <c r="G1674" i="5" s="1"/>
  <c r="F1673" i="5"/>
  <c r="G1673" i="5" s="1"/>
  <c r="F1672" i="5"/>
  <c r="G1672" i="5" s="1"/>
  <c r="F1671" i="5"/>
  <c r="G1671" i="5" s="1"/>
  <c r="F1670" i="5"/>
  <c r="G1670" i="5" s="1"/>
  <c r="F1669" i="5"/>
  <c r="G1669" i="5" s="1"/>
  <c r="G1657" i="5"/>
  <c r="G1656" i="5"/>
  <c r="G1658" i="5"/>
  <c r="G1659" i="5"/>
  <c r="G1660" i="5"/>
  <c r="G1661" i="5"/>
  <c r="G1662" i="5"/>
  <c r="G1663" i="5"/>
  <c r="G1664" i="5"/>
  <c r="G1665" i="5"/>
  <c r="G1666" i="5"/>
  <c r="G1667" i="5"/>
  <c r="G1668" i="5"/>
  <c r="G1655" i="5"/>
  <c r="G1631" i="5"/>
  <c r="F114" i="1"/>
  <c r="F113" i="1"/>
  <c r="F112" i="1"/>
  <c r="F111" i="1"/>
  <c r="F110" i="1"/>
  <c r="F109" i="1"/>
  <c r="F108" i="1"/>
  <c r="F107" i="1"/>
  <c r="F106" i="1"/>
  <c r="M124" i="4"/>
  <c r="I124" i="4"/>
  <c r="I122" i="4"/>
  <c r="M122" i="4"/>
  <c r="G1543" i="5"/>
  <c r="G1520" i="5"/>
  <c r="G1522" i="5"/>
  <c r="G1507" i="5"/>
  <c r="G1516" i="5"/>
  <c r="G1517" i="5"/>
  <c r="G1518" i="5"/>
  <c r="G1519" i="5"/>
  <c r="G1484" i="5"/>
  <c r="G1492" i="5"/>
  <c r="G1493" i="5"/>
  <c r="G1494" i="5"/>
  <c r="G1472" i="5"/>
  <c r="G1468" i="5"/>
  <c r="G1467" i="5"/>
  <c r="G1466" i="5"/>
  <c r="G1463" i="5"/>
  <c r="F105" i="1"/>
  <c r="F104" i="1"/>
  <c r="F101" i="1"/>
  <c r="F103" i="1"/>
  <c r="F102" i="1"/>
  <c r="F100" i="1"/>
  <c r="F99" i="1"/>
  <c r="F98" i="1"/>
  <c r="F97" i="1"/>
  <c r="F96" i="1"/>
  <c r="F95" i="1"/>
  <c r="F94" i="1"/>
  <c r="F93" i="1"/>
  <c r="F89" i="1"/>
  <c r="F85" i="1"/>
  <c r="F84" i="1"/>
  <c r="F86" i="1"/>
  <c r="F88" i="1"/>
  <c r="F87" i="1"/>
  <c r="G1361" i="5"/>
  <c r="G1360" i="5"/>
  <c r="G1359" i="5"/>
  <c r="G1358" i="5"/>
  <c r="G1357" i="5"/>
  <c r="G1356" i="5"/>
  <c r="G1355" i="5"/>
  <c r="G1354" i="5"/>
  <c r="G1353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27" i="5"/>
  <c r="G1326" i="5"/>
  <c r="G1325" i="5"/>
  <c r="G1324" i="5"/>
  <c r="G1323" i="5"/>
  <c r="G1322" i="5"/>
  <c r="G1321" i="5"/>
  <c r="G1320" i="5"/>
  <c r="G1319" i="5"/>
  <c r="G1318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294" i="5"/>
  <c r="G1293" i="5"/>
  <c r="G1292" i="5"/>
  <c r="G1291" i="5"/>
  <c r="G1290" i="5"/>
  <c r="G1289" i="5"/>
  <c r="G1288" i="5"/>
  <c r="G1287" i="5"/>
  <c r="G1286" i="5"/>
  <c r="G1285" i="5"/>
  <c r="F83" i="1"/>
  <c r="F82" i="1"/>
  <c r="F81" i="1"/>
  <c r="F80" i="1"/>
  <c r="F79" i="1"/>
  <c r="F78" i="1"/>
  <c r="F77" i="1"/>
  <c r="F76" i="1"/>
  <c r="F1163" i="5"/>
  <c r="G1163" i="5" s="1"/>
  <c r="F1164" i="5"/>
  <c r="G1164" i="5" s="1"/>
  <c r="F1165" i="5"/>
  <c r="G1165" i="5" s="1"/>
  <c r="F1166" i="5"/>
  <c r="G1166" i="5" s="1"/>
  <c r="F1167" i="5"/>
  <c r="G1167" i="5" s="1"/>
  <c r="F1168" i="5"/>
  <c r="G1168" i="5" s="1"/>
  <c r="F1169" i="5"/>
  <c r="G1169" i="5" s="1"/>
  <c r="F1170" i="5"/>
  <c r="G1170" i="5" s="1"/>
  <c r="F1171" i="5"/>
  <c r="G1171" i="5" s="1"/>
  <c r="F1172" i="5"/>
  <c r="G1172" i="5" s="1"/>
  <c r="F1173" i="5"/>
  <c r="G1173" i="5" s="1"/>
  <c r="F1174" i="5"/>
  <c r="G1174" i="5" s="1"/>
  <c r="F1162" i="5"/>
  <c r="G1162" i="5" s="1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05" i="5"/>
  <c r="G1004" i="5"/>
  <c r="G1003" i="5"/>
  <c r="G1002" i="5"/>
  <c r="G1001" i="5"/>
  <c r="G1020" i="5"/>
  <c r="G1006" i="5"/>
  <c r="G1007" i="5"/>
  <c r="G1008" i="5"/>
  <c r="G1019" i="5"/>
  <c r="G1018" i="5"/>
  <c r="G1017" i="5"/>
  <c r="G1016" i="5"/>
  <c r="G1015" i="5"/>
  <c r="G1014" i="5"/>
  <c r="G1013" i="5"/>
  <c r="G1012" i="5"/>
  <c r="G1011" i="5"/>
  <c r="G1010" i="5"/>
  <c r="G1009" i="5"/>
  <c r="G978" i="5"/>
  <c r="G977" i="5"/>
  <c r="G976" i="5"/>
  <c r="G975" i="5"/>
  <c r="G974" i="5"/>
  <c r="G973" i="5"/>
  <c r="G989" i="5"/>
  <c r="G988" i="5"/>
  <c r="G987" i="5"/>
  <c r="G986" i="5"/>
  <c r="G985" i="5"/>
  <c r="G984" i="5"/>
  <c r="G983" i="5"/>
  <c r="G982" i="5"/>
  <c r="G981" i="5"/>
  <c r="G980" i="5"/>
  <c r="G979" i="5"/>
  <c r="F68" i="1"/>
  <c r="F67" i="1"/>
  <c r="F66" i="1"/>
  <c r="F65" i="1"/>
  <c r="F64" i="1"/>
  <c r="F63" i="1"/>
  <c r="F62" i="1"/>
  <c r="F74" i="1"/>
  <c r="F73" i="1"/>
  <c r="F72" i="1"/>
  <c r="F71" i="1"/>
  <c r="F70" i="1"/>
  <c r="F69" i="1"/>
  <c r="F728" i="5"/>
  <c r="G728" i="5" s="1"/>
  <c r="F727" i="5"/>
  <c r="G727" i="5" s="1"/>
  <c r="F726" i="5"/>
  <c r="G726" i="5" s="1"/>
  <c r="F725" i="5"/>
  <c r="G725" i="5" s="1"/>
  <c r="F724" i="5"/>
  <c r="G724" i="5" s="1"/>
  <c r="F723" i="5"/>
  <c r="G723" i="5" s="1"/>
  <c r="F722" i="5"/>
  <c r="G722" i="5" s="1"/>
  <c r="F721" i="5"/>
  <c r="G721" i="5" s="1"/>
  <c r="F720" i="5"/>
  <c r="G720" i="5" s="1"/>
  <c r="F719" i="5"/>
  <c r="G719" i="5" s="1"/>
  <c r="F718" i="5"/>
  <c r="G718" i="5" s="1"/>
  <c r="F717" i="5"/>
  <c r="G717" i="5" s="1"/>
  <c r="F716" i="5"/>
  <c r="G716" i="5" s="1"/>
  <c r="F715" i="5"/>
  <c r="G715" i="5" s="1"/>
  <c r="F714" i="5"/>
  <c r="G714" i="5" s="1"/>
  <c r="F713" i="5"/>
  <c r="G713" i="5" s="1"/>
  <c r="F712" i="5"/>
  <c r="G712" i="5" s="1"/>
  <c r="F711" i="5"/>
  <c r="G711" i="5" s="1"/>
  <c r="F710" i="5"/>
  <c r="G710" i="5" s="1"/>
  <c r="F709" i="5"/>
  <c r="G709" i="5" s="1"/>
  <c r="F708" i="5"/>
  <c r="G708" i="5" s="1"/>
  <c r="F707" i="5"/>
  <c r="G707" i="5" s="1"/>
  <c r="F706" i="5"/>
  <c r="G706" i="5" s="1"/>
  <c r="F705" i="5"/>
  <c r="G705" i="5" s="1"/>
  <c r="F704" i="5"/>
  <c r="G704" i="5" s="1"/>
  <c r="F703" i="5"/>
  <c r="G703" i="5" s="1"/>
  <c r="F702" i="5"/>
  <c r="G702" i="5" s="1"/>
  <c r="F701" i="5"/>
  <c r="G701" i="5" s="1"/>
  <c r="F700" i="5"/>
  <c r="G700" i="5" s="1"/>
  <c r="F699" i="5"/>
  <c r="G699" i="5" s="1"/>
  <c r="F698" i="5"/>
  <c r="G698" i="5" s="1"/>
  <c r="F697" i="5"/>
  <c r="G697" i="5" s="1"/>
  <c r="F696" i="5"/>
  <c r="G696" i="5" s="1"/>
  <c r="F695" i="5"/>
  <c r="G695" i="5" s="1"/>
  <c r="F694" i="5"/>
  <c r="G694" i="5" s="1"/>
  <c r="F49" i="1"/>
  <c r="F48" i="1"/>
  <c r="F47" i="1"/>
  <c r="F46" i="1"/>
  <c r="F45" i="1"/>
  <c r="F44" i="1"/>
  <c r="F59" i="1"/>
  <c r="F567" i="5"/>
  <c r="G567" i="5" s="1"/>
  <c r="F566" i="5"/>
  <c r="G566" i="5" s="1"/>
  <c r="F565" i="5"/>
  <c r="G565" i="5" s="1"/>
  <c r="F564" i="5"/>
  <c r="G564" i="5" s="1"/>
  <c r="F563" i="5"/>
  <c r="G563" i="5" s="1"/>
  <c r="F562" i="5"/>
  <c r="G562" i="5" s="1"/>
  <c r="F561" i="5"/>
  <c r="G561" i="5" s="1"/>
  <c r="F560" i="5"/>
  <c r="G560" i="5" s="1"/>
  <c r="F559" i="5"/>
  <c r="G559" i="5" s="1"/>
  <c r="F558" i="5"/>
  <c r="G558" i="5" s="1"/>
  <c r="F557" i="5"/>
  <c r="G557" i="5" s="1"/>
  <c r="F556" i="5"/>
  <c r="G556" i="5" s="1"/>
  <c r="F555" i="5"/>
  <c r="G555" i="5" s="1"/>
  <c r="F554" i="5"/>
  <c r="G554" i="5" s="1"/>
  <c r="F553" i="5"/>
  <c r="G553" i="5" s="1"/>
  <c r="F552" i="5"/>
  <c r="G552" i="5" s="1"/>
  <c r="F551" i="5"/>
  <c r="G551" i="5" s="1"/>
  <c r="F550" i="5"/>
  <c r="G550" i="5" s="1"/>
  <c r="F549" i="5"/>
  <c r="G549" i="5" s="1"/>
  <c r="F548" i="5"/>
  <c r="G548" i="5" s="1"/>
  <c r="F547" i="5"/>
  <c r="G547" i="5" s="1"/>
  <c r="F546" i="5"/>
  <c r="G546" i="5" s="1"/>
  <c r="F545" i="5"/>
  <c r="G545" i="5" s="1"/>
  <c r="F544" i="5"/>
  <c r="G544" i="5" s="1"/>
  <c r="F543" i="5"/>
  <c r="G543" i="5" s="1"/>
  <c r="F542" i="5"/>
  <c r="G542" i="5" s="1"/>
  <c r="F541" i="5"/>
  <c r="G541" i="5" s="1"/>
  <c r="F540" i="5"/>
  <c r="F539" i="5"/>
  <c r="G539" i="5" s="1"/>
  <c r="F538" i="5"/>
  <c r="G538" i="5" s="1"/>
  <c r="F537" i="5"/>
  <c r="G537" i="5" s="1"/>
  <c r="E540" i="5"/>
  <c r="F39" i="1"/>
  <c r="F38" i="1"/>
  <c r="F536" i="5"/>
  <c r="G536" i="5" s="1"/>
  <c r="F535" i="5"/>
  <c r="G535" i="5" s="1"/>
  <c r="F534" i="5"/>
  <c r="G534" i="5" s="1"/>
  <c r="F533" i="5"/>
  <c r="G533" i="5" s="1"/>
  <c r="F532" i="5"/>
  <c r="G532" i="5" s="1"/>
  <c r="F531" i="5"/>
  <c r="G531" i="5" s="1"/>
  <c r="F530" i="5"/>
  <c r="G530" i="5" s="1"/>
  <c r="F529" i="5"/>
  <c r="G529" i="5" s="1"/>
  <c r="F528" i="5"/>
  <c r="G528" i="5" s="1"/>
  <c r="F527" i="5"/>
  <c r="G527" i="5" s="1"/>
  <c r="F526" i="5"/>
  <c r="G526" i="5" s="1"/>
  <c r="F525" i="5"/>
  <c r="G525" i="5" s="1"/>
  <c r="F524" i="5"/>
  <c r="G524" i="5" s="1"/>
  <c r="F523" i="5"/>
  <c r="G523" i="5" s="1"/>
  <c r="F522" i="5"/>
  <c r="G522" i="5" s="1"/>
  <c r="F521" i="5"/>
  <c r="G521" i="5" s="1"/>
  <c r="F520" i="5"/>
  <c r="G520" i="5" s="1"/>
  <c r="F519" i="5"/>
  <c r="G519" i="5" s="1"/>
  <c r="F518" i="5"/>
  <c r="G518" i="5" s="1"/>
  <c r="F517" i="5"/>
  <c r="G517" i="5" s="1"/>
  <c r="F516" i="5"/>
  <c r="G516" i="5" s="1"/>
  <c r="F515" i="5"/>
  <c r="G515" i="5" s="1"/>
  <c r="F514" i="5"/>
  <c r="G514" i="5" s="1"/>
  <c r="F513" i="5"/>
  <c r="G513" i="5" s="1"/>
  <c r="F512" i="5"/>
  <c r="G512" i="5" s="1"/>
  <c r="F511" i="5"/>
  <c r="G511" i="5" s="1"/>
  <c r="F510" i="5"/>
  <c r="G510" i="5" s="1"/>
  <c r="F509" i="5"/>
  <c r="G509" i="5" s="1"/>
  <c r="F508" i="5"/>
  <c r="G508" i="5" s="1"/>
  <c r="F507" i="5"/>
  <c r="G507" i="5" s="1"/>
  <c r="F506" i="5"/>
  <c r="G506" i="5" s="1"/>
  <c r="F505" i="5"/>
  <c r="G505" i="5" s="1"/>
  <c r="F504" i="5"/>
  <c r="G504" i="5" s="1"/>
  <c r="F503" i="5"/>
  <c r="G503" i="5" s="1"/>
  <c r="F502" i="5"/>
  <c r="G502" i="5" s="1"/>
  <c r="F501" i="5"/>
  <c r="G501" i="5" s="1"/>
  <c r="F500" i="5"/>
  <c r="G500" i="5" s="1"/>
  <c r="F499" i="5"/>
  <c r="G499" i="5" s="1"/>
  <c r="F498" i="5"/>
  <c r="G498" i="5" s="1"/>
  <c r="F497" i="5"/>
  <c r="G497" i="5" s="1"/>
  <c r="F496" i="5"/>
  <c r="G496" i="5" s="1"/>
  <c r="F495" i="5"/>
  <c r="G495" i="5" s="1"/>
  <c r="F37" i="1"/>
  <c r="F36" i="1"/>
  <c r="F35" i="1"/>
  <c r="F34" i="1"/>
  <c r="F33" i="1"/>
  <c r="G436" i="5"/>
  <c r="G438" i="5" s="1"/>
  <c r="G440" i="5" s="1"/>
  <c r="G442" i="5" s="1"/>
  <c r="G437" i="5"/>
  <c r="G439" i="5" s="1"/>
  <c r="G441" i="5" s="1"/>
  <c r="G443" i="5" s="1"/>
  <c r="G399" i="5"/>
  <c r="G401" i="5" s="1"/>
  <c r="G403" i="5" s="1"/>
  <c r="G405" i="5" s="1"/>
  <c r="G398" i="5"/>
  <c r="G400" i="5" s="1"/>
  <c r="G402" i="5" s="1"/>
  <c r="G404" i="5" s="1"/>
  <c r="G359" i="5"/>
  <c r="G361" i="5" s="1"/>
  <c r="G363" i="5" s="1"/>
  <c r="G365" i="5" s="1"/>
  <c r="G358" i="5"/>
  <c r="G360" i="5" s="1"/>
  <c r="G362" i="5" s="1"/>
  <c r="G364" i="5" s="1"/>
  <c r="F32" i="1"/>
  <c r="F465" i="5"/>
  <c r="G465" i="5" s="1"/>
  <c r="F464" i="5"/>
  <c r="G464" i="5" s="1"/>
  <c r="F463" i="5"/>
  <c r="G463" i="5" s="1"/>
  <c r="F462" i="5"/>
  <c r="G462" i="5" s="1"/>
  <c r="F461" i="5"/>
  <c r="G461" i="5" s="1"/>
  <c r="F460" i="5"/>
  <c r="G460" i="5" s="1"/>
  <c r="F459" i="5"/>
  <c r="G459" i="5" s="1"/>
  <c r="F458" i="5"/>
  <c r="G458" i="5" s="1"/>
  <c r="F457" i="5"/>
  <c r="G457" i="5" s="1"/>
  <c r="F456" i="5"/>
  <c r="G456" i="5" s="1"/>
  <c r="F455" i="5"/>
  <c r="G455" i="5" s="1"/>
  <c r="F454" i="5"/>
  <c r="G454" i="5" s="1"/>
  <c r="F453" i="5"/>
  <c r="G453" i="5" s="1"/>
  <c r="F452" i="5"/>
  <c r="G452" i="5" s="1"/>
  <c r="K195" i="5"/>
  <c r="K196" i="5"/>
  <c r="K197" i="5"/>
  <c r="K198" i="5"/>
  <c r="K199" i="5"/>
  <c r="K200" i="5"/>
  <c r="K201" i="5"/>
  <c r="K202" i="5"/>
  <c r="K203" i="5"/>
  <c r="K204" i="5"/>
  <c r="K205" i="5"/>
  <c r="K194" i="5"/>
  <c r="K207" i="5"/>
  <c r="K208" i="5"/>
  <c r="K209" i="5"/>
  <c r="K210" i="5"/>
  <c r="K211" i="5"/>
  <c r="K212" i="5"/>
  <c r="K213" i="5"/>
  <c r="K214" i="5"/>
  <c r="K215" i="5"/>
  <c r="K216" i="5"/>
  <c r="K206" i="5"/>
  <c r="G240" i="5"/>
  <c r="G239" i="5"/>
  <c r="G235" i="5"/>
  <c r="G234" i="5"/>
  <c r="G233" i="5"/>
  <c r="G232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17" i="5"/>
  <c r="G230" i="5"/>
  <c r="G228" i="5"/>
  <c r="G227" i="5"/>
  <c r="G221" i="5"/>
  <c r="G220" i="5"/>
  <c r="F193" i="5"/>
  <c r="G193" i="5" s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F86" i="5"/>
  <c r="G86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I75" i="5"/>
  <c r="K75" i="5" s="1"/>
  <c r="I74" i="5"/>
  <c r="K74" i="5" s="1"/>
  <c r="I73" i="5"/>
  <c r="K73" i="5" s="1"/>
  <c r="I72" i="5"/>
  <c r="K72" i="5" s="1"/>
  <c r="I71" i="5"/>
  <c r="K71" i="5" s="1"/>
  <c r="I70" i="5"/>
  <c r="K70" i="5" s="1"/>
  <c r="I69" i="5"/>
  <c r="K69" i="5" s="1"/>
  <c r="I68" i="5"/>
  <c r="K68" i="5" s="1"/>
  <c r="I67" i="5"/>
  <c r="K67" i="5" s="1"/>
  <c r="I66" i="5"/>
  <c r="K66" i="5" s="1"/>
  <c r="I65" i="5"/>
  <c r="K65" i="5" s="1"/>
  <c r="I64" i="5"/>
  <c r="K64" i="5" s="1"/>
  <c r="I63" i="5"/>
  <c r="K63" i="5" s="1"/>
  <c r="I62" i="5"/>
  <c r="K62" i="5" s="1"/>
  <c r="I61" i="5"/>
  <c r="K61" i="5" s="1"/>
  <c r="I60" i="5"/>
  <c r="K60" i="5" s="1"/>
  <c r="I59" i="5"/>
  <c r="K59" i="5" s="1"/>
  <c r="I58" i="5"/>
  <c r="K58" i="5" s="1"/>
  <c r="I57" i="5"/>
  <c r="K57" i="5" s="1"/>
  <c r="I56" i="5"/>
  <c r="K56" i="5" s="1"/>
  <c r="I55" i="5"/>
  <c r="K55" i="5" s="1"/>
  <c r="I54" i="5"/>
  <c r="K54" i="5" s="1"/>
  <c r="I53" i="5"/>
  <c r="K53" i="5" s="1"/>
  <c r="I52" i="5"/>
  <c r="K52" i="5" s="1"/>
  <c r="I51" i="5"/>
  <c r="K51" i="5" s="1"/>
  <c r="F20" i="1"/>
  <c r="F21" i="1"/>
  <c r="F22" i="1"/>
  <c r="G540" i="5" l="1"/>
</calcChain>
</file>

<file path=xl/sharedStrings.xml><?xml version="1.0" encoding="utf-8"?>
<sst xmlns="http://schemas.openxmlformats.org/spreadsheetml/2006/main" count="20995" uniqueCount="601">
  <si>
    <t>Rifadin (FDA report)</t>
  </si>
  <si>
    <t>Rifampicin</t>
  </si>
  <si>
    <t>IV</t>
  </si>
  <si>
    <t>Single</t>
  </si>
  <si>
    <t>Plasma</t>
  </si>
  <si>
    <t>mg</t>
  </si>
  <si>
    <t>Adult</t>
  </si>
  <si>
    <t>Normal</t>
  </si>
  <si>
    <t>Rifampin Capsules 300mg USP (FDA report)</t>
  </si>
  <si>
    <t>PO</t>
  </si>
  <si>
    <t>Capsule (Eon) - Dissolution Table p26</t>
  </si>
  <si>
    <t>Fasted</t>
  </si>
  <si>
    <t>Capsule (Rifadin MDP) - Dissolution Table p26</t>
  </si>
  <si>
    <t>Pharmacokinetics of the 8-methoxyquinolone, moxifloxacin: a comparison in humans and other mammalian species</t>
  </si>
  <si>
    <t>Moxifloxacin</t>
  </si>
  <si>
    <t>IV Infusion (30 min)</t>
  </si>
  <si>
    <t>Solution</t>
  </si>
  <si>
    <t>Avelox (FDA report)</t>
  </si>
  <si>
    <t>IV Infusion (1h)</t>
  </si>
  <si>
    <t>Daily (10 days)</t>
  </si>
  <si>
    <t>Tablet (Avelox)</t>
  </si>
  <si>
    <t>Population Pharmacokinetics of Bedaquiline (TMC207), a Novel Antituberculosis Drug</t>
  </si>
  <si>
    <t>Bedaquiline</t>
  </si>
  <si>
    <t>Daily (14 days)</t>
  </si>
  <si>
    <t>Plasma (Dose normalised)</t>
  </si>
  <si>
    <t>Daily (7 days)</t>
  </si>
  <si>
    <t>Sirturo (FDA report)</t>
  </si>
  <si>
    <t>Tablet</t>
  </si>
  <si>
    <t>Sirturo (EMA report)</t>
  </si>
  <si>
    <t>Daily (15 days)</t>
  </si>
  <si>
    <t>PHARMACOKINETICS, METABOLISM, AND EXCRETION OF LINEZOLID FOLLOWING AN ORAL DOSE OF [14C]LINEZOLID TO HEALTHY HUMAN SUBJECTS</t>
  </si>
  <si>
    <t>Linezolid</t>
  </si>
  <si>
    <t>Pharmacokinetics and tolerance of single- and multiple-dose oral or
intravenous linezolid, an oxazolidinone antibiotic, in healthy volunteers</t>
  </si>
  <si>
    <t>Loading dose + BID (30 doses)</t>
  </si>
  <si>
    <t>Plasma, Urine</t>
  </si>
  <si>
    <t>Loading dose + BID (16 doses)</t>
  </si>
  <si>
    <t>Single Ascending-Dose Study To Evaluate the Safety,Tolerability, and Pharmacokinetics of Sutezolid in Healthy AdultSubjects</t>
  </si>
  <si>
    <t>Sutezolid</t>
  </si>
  <si>
    <t>Pharmacokinetics of Tedizolid Following Oral
Administration: Single and Multiple Dose, Effect of Food,
and Comparison of Two Solid Forms of the Prodrug</t>
  </si>
  <si>
    <t>Tedizolid</t>
  </si>
  <si>
    <t>Tablet (IR)</t>
  </si>
  <si>
    <t>Daily (21 days)</t>
  </si>
  <si>
    <t>Single- and Multiple-Dose Pharmacokinetics and Absolute Bioavailability of Tedizolid
Bioavailability of Tedizolid</t>
  </si>
  <si>
    <t>IV Infusion (1-2h)</t>
  </si>
  <si>
    <t>Pharmacokinetics of Tedizolid in Subjects with Renal or Hepatic Impairment</t>
  </si>
  <si>
    <t>Safety, Tolerability, and Pharmacokinetics of Telacebec (Q203),a New Antituberculosis Agent, in Healthy Subjects</t>
  </si>
  <si>
    <t>Telacebec</t>
  </si>
  <si>
    <t>Fed</t>
  </si>
  <si>
    <t>Safety, Tolerability, Pharmacokinetics, and Metabolism ofTelacebec (Q203) for the Treatment of Tuberculosis: aRandomized, Placebo-Controlled, Multiple Ascending DosePhase 1B Trial</t>
  </si>
  <si>
    <t>Optimized LC-MS/MS quantification of tuberculosis drug candidate
macozinone (PBTZ169), its dearomatized Meisenheimer Complex
and other metabolites, in human plasma and urine</t>
  </si>
  <si>
    <t>Macozinone</t>
  </si>
  <si>
    <t xml:space="preserve">Solution </t>
  </si>
  <si>
    <t>BID (14 days)</t>
  </si>
  <si>
    <t>Development and validation of a multiplex UHPLC-MS/MS method for the determination of the investigational antibiotic against multi-resistant tuberculosis macozinone (PBTZ169) and five active metabolites in human plasma</t>
  </si>
  <si>
    <t>Safety, Tolerability, and Pharmacokinetics of PA-824 in Healthy Subject</t>
  </si>
  <si>
    <t>Daily (5 days)</t>
  </si>
  <si>
    <t>Effect of a High-Calorie, High-Fat Meal on the Bioavailability and Pharmacokinetics of PA-824 in Healthy Adult Subjects</t>
  </si>
  <si>
    <t>EMA report</t>
  </si>
  <si>
    <t>Delamanid</t>
  </si>
  <si>
    <t>BID (10 days)</t>
  </si>
  <si>
    <t>TID (10 days)</t>
  </si>
  <si>
    <t>Relative bioavailability of delamanid 50 mg tablets dispersed in water in healthy adult volunteers</t>
  </si>
  <si>
    <t>Tablet (Whole)</t>
  </si>
  <si>
    <t>Tablet (Dispersed)</t>
  </si>
  <si>
    <t>Pharmacokinetics of meropenem and its metabolite ICI 213,689 in
healthy subjects with known renal metabolism of imipenem</t>
  </si>
  <si>
    <t>Meropenem</t>
  </si>
  <si>
    <t>Pharmacokinetics of Meropenem in Subjects with Various
Degrees of Renal Impairment</t>
  </si>
  <si>
    <t>Pharmacokinetics of Meropenem in Patients with Liver Disease</t>
  </si>
  <si>
    <t>IV Infusion (0.5 h)</t>
  </si>
  <si>
    <t>Loading Dose (day 1 1g) + Q6h (day2-3 1g 5 doses)</t>
  </si>
  <si>
    <t>g</t>
  </si>
  <si>
    <t>Pharmacokinetics of meropenem (ICI 194,660) and its metabolite (ICI 213,689) in healthy subjects and in patients with renal impairment.</t>
  </si>
  <si>
    <t>Evaluation by Monte Carlo Simulation of the Pharmacokinetics of Two Doses of Meropenem Administered Intermittently or as a Continuous Infusion in Healthy Volunteers</t>
  </si>
  <si>
    <t>TID</t>
  </si>
  <si>
    <t>IV Continuous Infusion</t>
  </si>
  <si>
    <t>Loading dose (250mg) + CI (1500mg)</t>
  </si>
  <si>
    <t>Loading dose (500mg) + CI (3000mg)</t>
  </si>
  <si>
    <t>Evaluation of Drug–Drug Interactions Between Clarithromycin and Direct Oral Anticoagulants Using Physiologically Based Pharmacokinetic Models</t>
  </si>
  <si>
    <t>Clarithromycin</t>
  </si>
  <si>
    <t xml:space="preserve">Single </t>
  </si>
  <si>
    <t>BID</t>
  </si>
  <si>
    <t>StudyID</t>
  </si>
  <si>
    <t>StudyName</t>
  </si>
  <si>
    <t>Sanofi-Rifampicin-IV-300mg</t>
  </si>
  <si>
    <t>Study1</t>
  </si>
  <si>
    <t>Compound</t>
  </si>
  <si>
    <t>Reference</t>
  </si>
  <si>
    <t>Sanofi-Rifampicin-IV-600mg</t>
  </si>
  <si>
    <t>Study2</t>
  </si>
  <si>
    <t>Route</t>
  </si>
  <si>
    <t>FormulationID</t>
  </si>
  <si>
    <t>ProtocolID</t>
  </si>
  <si>
    <t>Study3</t>
  </si>
  <si>
    <t>Study4</t>
  </si>
  <si>
    <t>Study5</t>
  </si>
  <si>
    <t>Study6</t>
  </si>
  <si>
    <t>Study7</t>
  </si>
  <si>
    <t>Study8</t>
  </si>
  <si>
    <t>Study9</t>
  </si>
  <si>
    <t>Study10</t>
  </si>
  <si>
    <t>Study11</t>
  </si>
  <si>
    <t>Study12</t>
  </si>
  <si>
    <t>Study13</t>
  </si>
  <si>
    <t>Study14</t>
  </si>
  <si>
    <t>Study15</t>
  </si>
  <si>
    <t>Study16</t>
  </si>
  <si>
    <t>Study17</t>
  </si>
  <si>
    <t>Study18</t>
  </si>
  <si>
    <t>Study19</t>
  </si>
  <si>
    <t>Study20</t>
  </si>
  <si>
    <t>Study21</t>
  </si>
  <si>
    <t>Study22</t>
  </si>
  <si>
    <t>Study23</t>
  </si>
  <si>
    <t>Study24</t>
  </si>
  <si>
    <t>Study25</t>
  </si>
  <si>
    <t>Study26</t>
  </si>
  <si>
    <t>Study27</t>
  </si>
  <si>
    <t>Study28</t>
  </si>
  <si>
    <t>Study29</t>
  </si>
  <si>
    <t>Study30</t>
  </si>
  <si>
    <t>Study31</t>
  </si>
  <si>
    <t>Study32</t>
  </si>
  <si>
    <t>Study33</t>
  </si>
  <si>
    <t>Study34</t>
  </si>
  <si>
    <t>Study35</t>
  </si>
  <si>
    <t>Study36</t>
  </si>
  <si>
    <t>Study37</t>
  </si>
  <si>
    <t>Study38</t>
  </si>
  <si>
    <t>Study39</t>
  </si>
  <si>
    <t>Study40</t>
  </si>
  <si>
    <t>Study41</t>
  </si>
  <si>
    <t>Study42</t>
  </si>
  <si>
    <t>Study43</t>
  </si>
  <si>
    <t>Study44</t>
  </si>
  <si>
    <t>Study45</t>
  </si>
  <si>
    <t>Study46</t>
  </si>
  <si>
    <t>Study47</t>
  </si>
  <si>
    <t>Study48</t>
  </si>
  <si>
    <t>Study49</t>
  </si>
  <si>
    <t>Study50</t>
  </si>
  <si>
    <t>Study51</t>
  </si>
  <si>
    <t>Study52</t>
  </si>
  <si>
    <t>Study53</t>
  </si>
  <si>
    <t>Study54</t>
  </si>
  <si>
    <t>Study55</t>
  </si>
  <si>
    <t>Study56</t>
  </si>
  <si>
    <t>Study57</t>
  </si>
  <si>
    <t>Study58</t>
  </si>
  <si>
    <t>Study59</t>
  </si>
  <si>
    <t>Study60</t>
  </si>
  <si>
    <t>Study61</t>
  </si>
  <si>
    <t>Study62</t>
  </si>
  <si>
    <t>Study63</t>
  </si>
  <si>
    <t>Study64</t>
  </si>
  <si>
    <t>Study65</t>
  </si>
  <si>
    <t>Study66</t>
  </si>
  <si>
    <t>Study67</t>
  </si>
  <si>
    <t>Study68</t>
  </si>
  <si>
    <t>Study69</t>
  </si>
  <si>
    <t>Study70</t>
  </si>
  <si>
    <t>Study71</t>
  </si>
  <si>
    <t>Study72</t>
  </si>
  <si>
    <t>Study73</t>
  </si>
  <si>
    <t>Study74</t>
  </si>
  <si>
    <t>Study75</t>
  </si>
  <si>
    <t>Study76</t>
  </si>
  <si>
    <t>Study77</t>
  </si>
  <si>
    <t>Study78</t>
  </si>
  <si>
    <t>Study79</t>
  </si>
  <si>
    <t>Study80</t>
  </si>
  <si>
    <t>Study81</t>
  </si>
  <si>
    <t>Study82</t>
  </si>
  <si>
    <t>Study83</t>
  </si>
  <si>
    <t>Study84</t>
  </si>
  <si>
    <t>Study85</t>
  </si>
  <si>
    <t>Study86</t>
  </si>
  <si>
    <t>Study87</t>
  </si>
  <si>
    <t>Study88</t>
  </si>
  <si>
    <t>Study89</t>
  </si>
  <si>
    <t>Study90</t>
  </si>
  <si>
    <t>Study91</t>
  </si>
  <si>
    <t>Study92</t>
  </si>
  <si>
    <t>Study93</t>
  </si>
  <si>
    <t>Study94</t>
  </si>
  <si>
    <t>Study95</t>
  </si>
  <si>
    <t>Study96</t>
  </si>
  <si>
    <t>Study97</t>
  </si>
  <si>
    <t>Study98</t>
  </si>
  <si>
    <t>Study99</t>
  </si>
  <si>
    <t>Study100</t>
  </si>
  <si>
    <t>Study101</t>
  </si>
  <si>
    <t>Study102</t>
  </si>
  <si>
    <t>Study103</t>
  </si>
  <si>
    <t>Study104</t>
  </si>
  <si>
    <t>Study105</t>
  </si>
  <si>
    <t>Study106</t>
  </si>
  <si>
    <t>Study107</t>
  </si>
  <si>
    <t>Study108</t>
  </si>
  <si>
    <t>Study109</t>
  </si>
  <si>
    <t>Study110</t>
  </si>
  <si>
    <t>Study111</t>
  </si>
  <si>
    <t>Study112</t>
  </si>
  <si>
    <t>Study113</t>
  </si>
  <si>
    <t>Study114</t>
  </si>
  <si>
    <t>Study115</t>
  </si>
  <si>
    <t>Study116</t>
  </si>
  <si>
    <t>Study117</t>
  </si>
  <si>
    <t>Study118</t>
  </si>
  <si>
    <t>Study119</t>
  </si>
  <si>
    <t>Study120</t>
  </si>
  <si>
    <t>Study121</t>
  </si>
  <si>
    <t>Study122</t>
  </si>
  <si>
    <t>Study123</t>
  </si>
  <si>
    <t>Protocol1</t>
  </si>
  <si>
    <t>Protocol2</t>
  </si>
  <si>
    <t>Protocol3</t>
  </si>
  <si>
    <t>Protocol4</t>
  </si>
  <si>
    <t>Protocol5</t>
  </si>
  <si>
    <t>Protocol6</t>
  </si>
  <si>
    <t>Protocol7</t>
  </si>
  <si>
    <t>Protocol8</t>
  </si>
  <si>
    <t>Protocol9</t>
  </si>
  <si>
    <t>Protocol10</t>
  </si>
  <si>
    <t>Protocol11</t>
  </si>
  <si>
    <t>Protocol12</t>
  </si>
  <si>
    <t>Protocol13</t>
  </si>
  <si>
    <t>Protocol14</t>
  </si>
  <si>
    <t>Protocol15</t>
  </si>
  <si>
    <t>Protocol16</t>
  </si>
  <si>
    <t>Protocol17</t>
  </si>
  <si>
    <t>Protocol18</t>
  </si>
  <si>
    <t>Protocol19</t>
  </si>
  <si>
    <t>Protocol20</t>
  </si>
  <si>
    <t>Protocol21</t>
  </si>
  <si>
    <t>Protocol22</t>
  </si>
  <si>
    <t>Protocol23</t>
  </si>
  <si>
    <t>Protocol24</t>
  </si>
  <si>
    <t>Protocol25</t>
  </si>
  <si>
    <t>Protocol26</t>
  </si>
  <si>
    <t>Protocol27</t>
  </si>
  <si>
    <t>Protocol28</t>
  </si>
  <si>
    <t>Protocol29</t>
  </si>
  <si>
    <t>Protocol30</t>
  </si>
  <si>
    <t>Protocol31</t>
  </si>
  <si>
    <t>Protocol32</t>
  </si>
  <si>
    <t>Protocol33</t>
  </si>
  <si>
    <t>Protocol34</t>
  </si>
  <si>
    <t>Protocol35</t>
  </si>
  <si>
    <t>Protocol36</t>
  </si>
  <si>
    <t>Protocol37</t>
  </si>
  <si>
    <t>Protocol38</t>
  </si>
  <si>
    <t>Protocol39</t>
  </si>
  <si>
    <t>Protocol40</t>
  </si>
  <si>
    <t>Protocol41</t>
  </si>
  <si>
    <t>Protocol42</t>
  </si>
  <si>
    <t>Protocol43</t>
  </si>
  <si>
    <t>Protocol44</t>
  </si>
  <si>
    <t>Protocol45</t>
  </si>
  <si>
    <t>Protocol46</t>
  </si>
  <si>
    <t>Protocol47</t>
  </si>
  <si>
    <t>Protocol48</t>
  </si>
  <si>
    <t>Protocol49</t>
  </si>
  <si>
    <t>Protocol50</t>
  </si>
  <si>
    <t>Protocol51</t>
  </si>
  <si>
    <t>Protocol52</t>
  </si>
  <si>
    <t>Protocol53</t>
  </si>
  <si>
    <t>Protocol54</t>
  </si>
  <si>
    <t>Protocol55</t>
  </si>
  <si>
    <t>Protocol56</t>
  </si>
  <si>
    <t>Protocol57</t>
  </si>
  <si>
    <t>Protocol58</t>
  </si>
  <si>
    <t>Protocol59</t>
  </si>
  <si>
    <t>Protocol60</t>
  </si>
  <si>
    <t>Protocol61</t>
  </si>
  <si>
    <t>Protocol62</t>
  </si>
  <si>
    <t>Protocol63</t>
  </si>
  <si>
    <t>Protocol64</t>
  </si>
  <si>
    <t>Protocol65</t>
  </si>
  <si>
    <t>Protocol66</t>
  </si>
  <si>
    <t>Protocol67</t>
  </si>
  <si>
    <t>Protocol68</t>
  </si>
  <si>
    <t>Protocol69</t>
  </si>
  <si>
    <t>Protocol70</t>
  </si>
  <si>
    <t>Protocol71</t>
  </si>
  <si>
    <t>Protocol72</t>
  </si>
  <si>
    <t>Protocol73</t>
  </si>
  <si>
    <t>Protocol74</t>
  </si>
  <si>
    <t>Protocol75</t>
  </si>
  <si>
    <t>Protocol76</t>
  </si>
  <si>
    <t>Protocol77</t>
  </si>
  <si>
    <t>Protocol78</t>
  </si>
  <si>
    <t>Protocol79</t>
  </si>
  <si>
    <t>Protocol80</t>
  </si>
  <si>
    <t>Protocol81</t>
  </si>
  <si>
    <t>Protocol82</t>
  </si>
  <si>
    <t>Protocol83</t>
  </si>
  <si>
    <t>Protocol84</t>
  </si>
  <si>
    <t>Protocol85</t>
  </si>
  <si>
    <t>Protocol86</t>
  </si>
  <si>
    <t>Protocol87</t>
  </si>
  <si>
    <t>Protocol88</t>
  </si>
  <si>
    <t>Protocol89</t>
  </si>
  <si>
    <t>Protocol90</t>
  </si>
  <si>
    <t>Protocol91</t>
  </si>
  <si>
    <t>Protocol92</t>
  </si>
  <si>
    <t>Protocol93</t>
  </si>
  <si>
    <t>Protocol94</t>
  </si>
  <si>
    <t>Protocol95</t>
  </si>
  <si>
    <t>Protocol96</t>
  </si>
  <si>
    <t>Protocol97</t>
  </si>
  <si>
    <t>Protocol98</t>
  </si>
  <si>
    <t>Protocol99</t>
  </si>
  <si>
    <t>Protocol100</t>
  </si>
  <si>
    <t>Protocol101</t>
  </si>
  <si>
    <t>Protocol102</t>
  </si>
  <si>
    <t>Protocol103</t>
  </si>
  <si>
    <t>Protocol104</t>
  </si>
  <si>
    <t>Protocol105</t>
  </si>
  <si>
    <t>Protocol106</t>
  </si>
  <si>
    <t>Protocol107</t>
  </si>
  <si>
    <t>Protocol108</t>
  </si>
  <si>
    <t>Protocol109</t>
  </si>
  <si>
    <t>Protocol110</t>
  </si>
  <si>
    <t>Protocol111</t>
  </si>
  <si>
    <t>Protocol112</t>
  </si>
  <si>
    <t>Protocol113</t>
  </si>
  <si>
    <t>Protocol114</t>
  </si>
  <si>
    <t>Protocol115</t>
  </si>
  <si>
    <t>Protocol116</t>
  </si>
  <si>
    <t>Protocol117</t>
  </si>
  <si>
    <t>Protocol118</t>
  </si>
  <si>
    <t>Protocol119</t>
  </si>
  <si>
    <t>Protocol120</t>
  </si>
  <si>
    <t>Protocol121</t>
  </si>
  <si>
    <t>Protocol122</t>
  </si>
  <si>
    <t>Protocol123</t>
  </si>
  <si>
    <t>EonLabs-Rifampicin-PO-600mg-Eon</t>
  </si>
  <si>
    <t>EonLabs-Rifampicin-PO-600mg-Rifadin</t>
  </si>
  <si>
    <t>Siefert1999-Moxi-IVI-100mg</t>
  </si>
  <si>
    <t>Bayer-Moxi-IVI-QD-400mg</t>
  </si>
  <si>
    <t>Bayer-Moxi-IVI-400mg</t>
  </si>
  <si>
    <t>Bayer-Moxi-PO-60mg</t>
  </si>
  <si>
    <t>Bayer-Moxi-PO-100mg</t>
  </si>
  <si>
    <t>Bayer-Moxi-PO-200mg</t>
  </si>
  <si>
    <t>Bayer-Moxi-PO-600mg</t>
  </si>
  <si>
    <t>Bayer-Moxi-PO-QD-400mg</t>
  </si>
  <si>
    <t>Bayer-Moxi-PO-400mg-1</t>
  </si>
  <si>
    <t>Bayer-Moxi-PO-400mg-2</t>
  </si>
  <si>
    <t>MacLeay2014-Beda-PO-QD-400mg-C102</t>
  </si>
  <si>
    <t>MacLeay2014-Beda-PO-QD-400mg-C104</t>
  </si>
  <si>
    <t>MacLeay2014-Beda-PO-QD-400mg-C109</t>
  </si>
  <si>
    <t>Janssen-Beda-PO-10mg</t>
  </si>
  <si>
    <t>Janssen-Beda-PO-30mg</t>
  </si>
  <si>
    <t>Janssen-Beda-PO-100mg</t>
  </si>
  <si>
    <t>Janssen-Beda-PO-300mg</t>
  </si>
  <si>
    <t>Janssen-Beda-PO-450mg</t>
  </si>
  <si>
    <t>Janssen-Beda-PO-700mg</t>
  </si>
  <si>
    <t>Janssen-Beda-PO-QD-400mg-1</t>
  </si>
  <si>
    <t>Janssen-Beda-PO-QD-400mg-2</t>
  </si>
  <si>
    <t>Janssen-Beda-PO-QD-50mg</t>
  </si>
  <si>
    <t>Janssen-Beda-PO-QD-150mg</t>
  </si>
  <si>
    <t>Slatter2001-Linezolid-PO-500mg-Female</t>
  </si>
  <si>
    <t>Slatter2001-Linezolid-PO-500mg-Male</t>
  </si>
  <si>
    <t>Stalker2003-Linezolid-PO-BID-375mg</t>
  </si>
  <si>
    <t>Stalker2003-Linezolid-PO-BID-500mg</t>
  </si>
  <si>
    <t>Stalker2003-Linezolid-PO-BID-625mg</t>
  </si>
  <si>
    <t>Stalker2003-Linezolid-IVI-BID-500mg</t>
  </si>
  <si>
    <t>Stalker2003-Linezolid-IVI-BID-625mg</t>
  </si>
  <si>
    <t>Bruinenberg2022-Sutezolid-PO-300mg</t>
  </si>
  <si>
    <t>Bruinenberg2022-Sutezolid-PO-600mg</t>
  </si>
  <si>
    <t>Bruinenberg2022-Sutezolid-PO-1200mg</t>
  </si>
  <si>
    <t>Bruinenberg2022-Sutezolid-PO-1800mg</t>
  </si>
  <si>
    <t>Flanagan2013-Tedizolid-PO-200mg</t>
  </si>
  <si>
    <t>Flanagan2013-Tedizolid-PO-400mg</t>
  </si>
  <si>
    <t>Flanagan2013-Tedizolid-PO-600mg</t>
  </si>
  <si>
    <t>Flanagan2013-Tedizolid-PO-800mg</t>
  </si>
  <si>
    <t>Flanagan2013-Tedizolid-PO-1200mg</t>
  </si>
  <si>
    <t>Flanagan2013-Tedizolid-PO-QD-200mg</t>
  </si>
  <si>
    <t>Flanagan2013-Tedizolid-PO-QD-300mg</t>
  </si>
  <si>
    <t>Flanagan2013-Tedizolid-PO-QD-400mg</t>
  </si>
  <si>
    <t>Flanagan2014-Tedizolid-IVI-200mg</t>
  </si>
  <si>
    <t>Flanagan2014-Tedizolid-IVI-100mg</t>
  </si>
  <si>
    <t>Flanagan2014-Tedizolid-IVI-300mg</t>
  </si>
  <si>
    <t>Flanagan2014-Tedizolid-IVI-400mg</t>
  </si>
  <si>
    <t>Flanagan2014-Tedizolid-IVI-QD-200mg</t>
  </si>
  <si>
    <t>Kim 2022-Telacebec-PO-10mg</t>
  </si>
  <si>
    <t>Kim 2022-Telacebec-PO-30mg</t>
  </si>
  <si>
    <t>Kim 2022-Telacebec-PO-50mg</t>
  </si>
  <si>
    <t>Kim 2022-Telacebec-PO-200mg</t>
  </si>
  <si>
    <t>Kim 2022-Telacebec-PO-400mg</t>
  </si>
  <si>
    <t>Kim 2022-Telacebec-PO-800mg</t>
  </si>
  <si>
    <t>Kim 2022-Telacebec-PO-100mg</t>
  </si>
  <si>
    <t>Desfontaine2023-Macozinone-PO-BID-300mg</t>
  </si>
  <si>
    <t>Spaggiari2019-Macozinone-PO-320mg</t>
  </si>
  <si>
    <t>Ginsberg2009-Pretomanid-PO-50mg</t>
  </si>
  <si>
    <t>Ginsberg2009-Pretomanid-PO-250mg</t>
  </si>
  <si>
    <t>Ginsberg2009-Pretomanid-PO-500mg</t>
  </si>
  <si>
    <t>Ginsberg2009-Pretomanid-PO-750mg</t>
  </si>
  <si>
    <t>Ginsberg2009-Pretomanid-PO-1000mg</t>
  </si>
  <si>
    <t>Ginsberg2009-Pretomanid-PO-1250mg</t>
  </si>
  <si>
    <t>Ginsberg2009-Pretomanid-PO-1500mg</t>
  </si>
  <si>
    <t>Ginsberg2009-Pretomanid-PO-QD-200mg</t>
  </si>
  <si>
    <t>Ginsberg2009-Pretomanid-PO-QD-600mg</t>
  </si>
  <si>
    <t>Ginsberg2009-Pretomanid-PO-QD-1000mg</t>
  </si>
  <si>
    <t>Winter2013-Pretomanid-PO-1000mg</t>
  </si>
  <si>
    <t>Winter2013-Pretomanid-PO-50mg</t>
  </si>
  <si>
    <t>Winter2013-Pretomanid-PO-200mg</t>
  </si>
  <si>
    <t>Otsuka-Delamanid-PO-100mg</t>
  </si>
  <si>
    <t>Otsuka-Delamanid-PO-200mg</t>
  </si>
  <si>
    <t>Otsuka-Delamanid-PO-400mg</t>
  </si>
  <si>
    <t>Otsuka-Delamanid-PO-QD-100mg</t>
  </si>
  <si>
    <t>Otsuka-Delamanid-PO-QD-200mg</t>
  </si>
  <si>
    <t>Otsuka-Delamanid-PO-QD-400mg</t>
  </si>
  <si>
    <t>Otsuka-Delamanid-PO-BID-100mg</t>
  </si>
  <si>
    <t>Otsuka-Delamanid-PO-BID-200mg</t>
  </si>
  <si>
    <t>Otsuka-Delamanid-PO-TID-100mg</t>
  </si>
  <si>
    <t>Otsuka-Delamanid-PO-BID-150mg</t>
  </si>
  <si>
    <t>Otsuka-Delamanid-PO-QD-300mg</t>
  </si>
  <si>
    <t>Otsuka-Delamanid-PO-400mg-2</t>
  </si>
  <si>
    <t>Otsuka-Delamanid-PO-200mg-2</t>
  </si>
  <si>
    <t>Otsuka-Delamanid-PO-200mg-3</t>
  </si>
  <si>
    <t>Otsuka-Delamanid-PO-400mg-3</t>
  </si>
  <si>
    <t>Otsuka-Delamanid-PO-400mg-4</t>
  </si>
  <si>
    <t>Zou2023-Delamanid-PO-25mg</t>
  </si>
  <si>
    <t>Zou2023-Delamanid-PO-Disp-25mg</t>
  </si>
  <si>
    <t>Zou2023-Delamanid-PO-50mg</t>
  </si>
  <si>
    <t>Zou2023-Delamanid-PO-Disp-50mg</t>
  </si>
  <si>
    <t>Zou2023-Delamanid-PO-100mg</t>
  </si>
  <si>
    <t>Zou2023-Delamanid-PO-Disp-100mg</t>
  </si>
  <si>
    <t>Burman1991-Meropenem-IVI-500mg</t>
  </si>
  <si>
    <t>Christensson1992-Meropenem-IVI-500mg</t>
  </si>
  <si>
    <t>Leroy1992-Meropenem-IVI-500mg</t>
  </si>
  <si>
    <t>Krueger2005-Meropenem-IVI-TID500mg</t>
  </si>
  <si>
    <t>Krueger2005-Meropenem-IVI-TID-1000mg</t>
  </si>
  <si>
    <t>Thyrum1997-Meropenem-IVI-4ID-1000mg</t>
  </si>
  <si>
    <t>Krueger2005-Meropenem-IVI-QD-1500mg</t>
  </si>
  <si>
    <t>Krueger2005-Meropenem-IVI-QD-3000mg</t>
  </si>
  <si>
    <t>Yang2024-Clarithromycin-IVI-250mg</t>
  </si>
  <si>
    <t>Yang2024-Clarithromycin-PO-250mg</t>
  </si>
  <si>
    <t>Yang2024-Clarithromycin-PO-500mg</t>
  </si>
  <si>
    <t>Yang2024-Clarithromycin-PO-BID-250mg</t>
  </si>
  <si>
    <t>Yang2024-Clarithromycin-PO-BID-500mg</t>
  </si>
  <si>
    <t>EndTime (days)</t>
  </si>
  <si>
    <t>DatasetID</t>
  </si>
  <si>
    <t>Comment</t>
  </si>
  <si>
    <t>Table1 p2</t>
  </si>
  <si>
    <t>Sanofi-IV300mg</t>
  </si>
  <si>
    <t>Time</t>
  </si>
  <si>
    <t>TimeUnit</t>
  </si>
  <si>
    <t>Measurement</t>
  </si>
  <si>
    <t>MeasurementUnit</t>
  </si>
  <si>
    <t>MesurementError</t>
  </si>
  <si>
    <t>ErrorType</t>
  </si>
  <si>
    <t>Organ</t>
  </si>
  <si>
    <t>Compartment</t>
  </si>
  <si>
    <t>Sanofi-IV600mg</t>
  </si>
  <si>
    <t>min</t>
  </si>
  <si>
    <t>LLOQ</t>
  </si>
  <si>
    <t>ug/ml</t>
  </si>
  <si>
    <t>SD</t>
  </si>
  <si>
    <t>Rifadin IV</t>
  </si>
  <si>
    <t>CompondID</t>
  </si>
  <si>
    <t>Cl</t>
  </si>
  <si>
    <t>Br</t>
  </si>
  <si>
    <t>F</t>
  </si>
  <si>
    <t>I</t>
  </si>
  <si>
    <t>SMILES</t>
  </si>
  <si>
    <t>MW (g/mol)</t>
  </si>
  <si>
    <t>PeripheralVenousBlood</t>
  </si>
  <si>
    <t>Dose</t>
  </si>
  <si>
    <t>DoseUnit</t>
  </si>
  <si>
    <t>PubChem CID</t>
  </si>
  <si>
    <t>Compound1</t>
  </si>
  <si>
    <t>Compound2</t>
  </si>
  <si>
    <t>Compound3</t>
  </si>
  <si>
    <t>Compound4</t>
  </si>
  <si>
    <t>Compound5</t>
  </si>
  <si>
    <t>Compound6</t>
  </si>
  <si>
    <t>Compound7</t>
  </si>
  <si>
    <t>Compound8</t>
  </si>
  <si>
    <t>Compound9</t>
  </si>
  <si>
    <t>Compound10</t>
  </si>
  <si>
    <t>Compound11</t>
  </si>
  <si>
    <t>Compound12</t>
  </si>
  <si>
    <t>C[C@H]1/C=C/C=C(\C(=O)NC2=C(C(=C3C(=C2O)C(=C(C4=C3C(=O)[C@](O4)(O/C=C/[C@@H]([C@H]([C@H]([C@@H]([C@@H]([C@@H]([C@H]1O)C)O)C)OC(=O)C)C)OC)C)C)O)O)/C=N/N5CCN(CC5)C)/C</t>
  </si>
  <si>
    <t>COC1=C2C(=CC(=C1N3C[C@@H]4CCCN[C@@H]4C3)F)C(=O)C(=CN2C5CC5)C(=O)O</t>
  </si>
  <si>
    <t>CN(C)CC[C@@](C1=CC=CC2=CC=CC=C21)([C@H](C3=CC=CC=C3)C4=C(N=C5C=CC(=CC5=C4)Br)OC)O</t>
  </si>
  <si>
    <t>CC(=O)NC[C@H]1CN(C(=O)O1)C2=CC(=C(C=C2)N3CCOCC3)F</t>
  </si>
  <si>
    <t>CC(=O)NC[C@H]1CN(C(=O)O1)C2=CC(=C(C=C2)N3CCSCC3)F</t>
  </si>
  <si>
    <t xml:space="preserve">CN1N=C(N=N1)C2=NC=C(C=C2)C3=C(C=C(C=C3)N4C[C@@H](OC4=O)CO)F </t>
  </si>
  <si>
    <t xml:space="preserve">CCC1=C(N2C=C(C=CC2=N1)Cl)C(=O)NCC3=CC=C(C=C3)N4CCC(CC4)C5=CC=C(C=C5)OC(F)(F)F  </t>
  </si>
  <si>
    <t xml:space="preserve">C1CCC(CC1)CN2CCN(CC2)C3=NC(=O)C4=C(S3)C(=CC(=C4)C(F)(F)F)[N+](=O)[O-]  </t>
  </si>
  <si>
    <t>Pretomanid</t>
  </si>
  <si>
    <t xml:space="preserve">C1[C@@H](COC2=NC(=CN21)[N+](=O)[O-])OCC3=CC=C(C=C3)OC(F)(F)F </t>
  </si>
  <si>
    <t>C[C@@]1(CN2C=C(N=C2O1)[N+](=O)[O-])COC3=CC=C(C=C3)N4CCC(CC4)OC5=CC=C(C=C5)OC(F)(F)F</t>
  </si>
  <si>
    <t>C[C@@H]1[C@@H]2[C@H](C(=O)N2C(=C1S[C@H]3C[C@H](NC3)C(=O)N(C)C)C(=O)O)[C@@H](C)O</t>
  </si>
  <si>
    <t>CC[C@@H]1[C@@]([C@@H]([C@H](C(=O)[C@@H](C[C@@]([C@@H]([C@H]([C@@H]([C@H](C(=O)O1)C)O[C@H]2C[C@@]([C@H]([C@@H](O2)C)O)(C)OC)C)O[C@H]3[C@@H]([C@H](C[C@H](O3)C)N(C)C)O)(C)OC)C)C)O)(C)O</t>
  </si>
  <si>
    <t>pka_acidic - ADMETLab</t>
  </si>
  <si>
    <t>pka_basic - ADMETLab</t>
  </si>
  <si>
    <t>Fu - ADMETLab</t>
  </si>
  <si>
    <t>PPB - ADMETLab</t>
  </si>
  <si>
    <t>cl-plasma - ADMETLab (ml/min/kg)</t>
  </si>
  <si>
    <t>logMDCK - ADMETLab (cm/s)</t>
  </si>
  <si>
    <t>logS - ADMETLab (mol/l)</t>
  </si>
  <si>
    <t>logP - ADMETLab (mol/l)</t>
  </si>
  <si>
    <t>logD - ADMETLab (mol/l)</t>
  </si>
  <si>
    <t>logCaco2 - ADMETLab (cm/s)</t>
  </si>
  <si>
    <t>PAMPA - ADMETLab (*10^-6 cm/s)</t>
  </si>
  <si>
    <t>Weibull1</t>
  </si>
  <si>
    <t>Weibull2</t>
  </si>
  <si>
    <t>disso50 (min)</t>
  </si>
  <si>
    <t>shape</t>
  </si>
  <si>
    <t>Eon-PO-Eon600mg</t>
  </si>
  <si>
    <t>Table1 p41</t>
  </si>
  <si>
    <t>h</t>
  </si>
  <si>
    <t>Eon-PO-MMDow600mg</t>
  </si>
  <si>
    <t>CV</t>
  </si>
  <si>
    <t>Coarse manuel fitting to Weibull of disso table p44</t>
  </si>
  <si>
    <t>Baneyx2014-Rifampicin-PO-600mg</t>
  </si>
  <si>
    <t>Physiologically based pharmacokinetic modeling of CYP3A4 induction by rifampicin in human: Influence of time between substrate and inducer administration</t>
  </si>
  <si>
    <t>Daily</t>
  </si>
  <si>
    <t>µg/mL</t>
  </si>
  <si>
    <t>FigA2A</t>
  </si>
  <si>
    <t>InfusionTime (min)</t>
  </si>
  <si>
    <t>Siefert1999-Moxi-PO-100mg</t>
  </si>
  <si>
    <t>Dose normalized</t>
  </si>
  <si>
    <t>Dose normalized unit</t>
  </si>
  <si>
    <t>mg/kg</t>
  </si>
  <si>
    <t>Fig1</t>
  </si>
  <si>
    <t>Fig2</t>
  </si>
  <si>
    <t>mg/l</t>
  </si>
  <si>
    <t>p17</t>
  </si>
  <si>
    <t>p20</t>
  </si>
  <si>
    <t>Measurement Type</t>
  </si>
  <si>
    <t>Geometric Mean</t>
  </si>
  <si>
    <t>Arithmetic Mean</t>
  </si>
  <si>
    <t>p16</t>
  </si>
  <si>
    <t>ug/l</t>
  </si>
  <si>
    <t>StartTime (h)</t>
  </si>
  <si>
    <t>NbRep</t>
  </si>
  <si>
    <t>Daily (9 days)</t>
  </si>
  <si>
    <t>TimeBetweenRep (h)</t>
  </si>
  <si>
    <t>Fig10 p20</t>
  </si>
  <si>
    <t>Fig1 p35</t>
  </si>
  <si>
    <t>MacLeay2014-Beda-PO-400mg-C110</t>
  </si>
  <si>
    <t>MacLeay2014-Beda-PO-100mg-C111</t>
  </si>
  <si>
    <t>Daily (11 days)</t>
  </si>
  <si>
    <t>SuppFig2</t>
  </si>
  <si>
    <t>Median</t>
  </si>
  <si>
    <t>MacLeay2014-Beda-PO-400mg-C102</t>
  </si>
  <si>
    <t>ng/ml</t>
  </si>
  <si>
    <t>Original Measurement</t>
  </si>
  <si>
    <t>Original Time</t>
  </si>
  <si>
    <t>Time Offset</t>
  </si>
  <si>
    <t>Original Measurement Unit</t>
  </si>
  <si>
    <t>kg/l</t>
  </si>
  <si>
    <t>ng/ml/mg</t>
  </si>
  <si>
    <t>Fig2 p37</t>
  </si>
  <si>
    <t>Comments</t>
  </si>
  <si>
    <t>Fig4</t>
  </si>
  <si>
    <t>Flanagan2014-Tedizolid-PO-200mg</t>
  </si>
  <si>
    <t>Flanagan2014-Tedizolid-PO-200mg-2</t>
  </si>
  <si>
    <t>Fig3</t>
  </si>
  <si>
    <t>Flanagan2014-Tedizolid-PO-200mg-3</t>
  </si>
  <si>
    <t>Fig3AB</t>
  </si>
  <si>
    <t>Fig3CD</t>
  </si>
  <si>
    <t>Flanagan2014-Tedizolid-IVI-200mg-2</t>
  </si>
  <si>
    <t>Fig3EF</t>
  </si>
  <si>
    <t>Kim 2023-Telacebec-PO-QD-20mg</t>
  </si>
  <si>
    <t>Kim 2023-Telacebec-PO-QD-50mg</t>
  </si>
  <si>
    <t>Kim 2023-Telacebec-PO-QD-100mg</t>
  </si>
  <si>
    <t>Kim 2023-Telacebec-PO-QD-160mg</t>
  </si>
  <si>
    <t>Kim 2023-Telacebec-PO-QD-250mg</t>
  </si>
  <si>
    <t>Kim 2023-Telacebec-PO-QD-320mg</t>
  </si>
  <si>
    <t>Kim 2023-Telacebec-PO-100mg</t>
  </si>
  <si>
    <t>Table S9</t>
  </si>
  <si>
    <t>Fig7</t>
  </si>
  <si>
    <t>day(s)</t>
  </si>
  <si>
    <t>Fig1 p30</t>
  </si>
  <si>
    <t>Fig2 p30</t>
  </si>
  <si>
    <t>Fig3 p32</t>
  </si>
  <si>
    <t>Fig5 p33</t>
  </si>
  <si>
    <t>Otsuka-Delamanid-PO-400mg-5</t>
  </si>
  <si>
    <t>Fig4 p33</t>
  </si>
  <si>
    <t>Loading dose</t>
  </si>
  <si>
    <t>Loading Dose</t>
  </si>
  <si>
    <t>QID</t>
  </si>
  <si>
    <t>Protocol</t>
  </si>
  <si>
    <t>Population</t>
  </si>
  <si>
    <t>Fed state</t>
  </si>
  <si>
    <t>Disease</t>
  </si>
  <si>
    <t>N tot</t>
  </si>
  <si>
    <t>Formulation</t>
  </si>
  <si>
    <t>N Female</t>
  </si>
  <si>
    <t>IV Bolus</t>
  </si>
  <si>
    <t>Oral</t>
  </si>
  <si>
    <t>IV Infusion</t>
  </si>
  <si>
    <t>FormulationType</t>
  </si>
  <si>
    <t>Weibull</t>
  </si>
  <si>
    <t>lagTime (min)</t>
  </si>
  <si>
    <t>Water Volume/BW (ml/kg)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</si>
</sst>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1"/>
      <color rgb="FF1B1B1B"/>
      <name val="Aptos Narrow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49" fontId="2" fillId="0" borderId="0" xfId="0" quotePrefix="1" applyNumberFormat="1" applyFont="1"/>
    <xf numFmtId="49" fontId="1" fillId="0" borderId="0" xfId="1" applyNumberFormat="1" applyFill="1"/>
    <xf numFmtId="49" fontId="2" fillId="0" borderId="0" xfId="0" applyNumberFormat="1" applyFont="1"/>
    <xf numFmtId="49" fontId="1" fillId="0" borderId="0" xfId="1" applyNumberFormat="1" applyFill="1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wrapText="1"/>
    </xf>
    <xf numFmtId="49" fontId="1" fillId="0" borderId="0" xfId="1" applyNumberFormat="1" applyFill="1" applyAlignment="1">
      <alignment wrapText="1"/>
    </xf>
    <xf numFmtId="0" fontId="4" fillId="0" borderId="0" xfId="0" applyFont="1"/>
    <xf numFmtId="2" fontId="2" fillId="0" borderId="0" xfId="0" quotePrefix="1" applyNumberFormat="1" applyFont="1"/>
    <xf numFmtId="2" fontId="0" fillId="0" borderId="0" xfId="0" applyNumberFormat="1"/>
    <xf numFmtId="0" fontId="6" fillId="0" borderId="0" xfId="0" applyFont="1"/>
    <xf numFmtId="0" fontId="0" fillId="0" borderId="0" xfId="0" quotePrefix="1"/>
    <xf numFmtId="2" fontId="0" fillId="0" borderId="0" xfId="0" quotePrefix="1" applyNumberFormat="1"/>
    <xf numFmtId="0" fontId="1" fillId="0" borderId="0" xfId="1" applyFill="1"/>
    <xf numFmtId="0" fontId="7" fillId="0" borderId="0" xfId="0" applyFont="1"/>
    <xf numFmtId="0" fontId="1" fillId="0" borderId="0" xfId="1" applyFill="1" applyAlignment="1">
      <alignment horizontal="left" vertical="top" wrapText="1"/>
    </xf>
    <xf numFmtId="2" fontId="2" fillId="0" borderId="0" xfId="0" applyNumberFormat="1" applyFont="1"/>
    <xf numFmtId="164" fontId="0" fillId="0" borderId="0" xfId="0" applyNumberFormat="1"/>
    <xf numFmtId="164" fontId="7" fillId="0" borderId="0" xfId="0" applyNumberFormat="1" applyFont="1"/>
    <xf numFmtId="2" fontId="7" fillId="0" borderId="0" xfId="0" applyNumberFormat="1" applyFont="1"/>
    <xf numFmtId="0" fontId="2" fillId="0" borderId="0" xfId="0" quotePrefix="1" applyFont="1"/>
    <xf numFmtId="0" fontId="2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49" fontId="2" fillId="2" borderId="0" xfId="0" quotePrefix="1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ma.europa.eu/en/documents/assessment-report/sirturo-epar-public-assessment-report_en.pdf" TargetMode="External"/><Relationship Id="rId21" Type="http://schemas.openxmlformats.org/officeDocument/2006/relationships/hyperlink" Target="https://www.accessdata.fda.gov/drugsatfda_docs/nda/2012/204384Orig1s000ClinPharmR.pdf" TargetMode="External"/><Relationship Id="rId42" Type="http://schemas.openxmlformats.org/officeDocument/2006/relationships/hyperlink" Target="https://accpjournals.onlinelibrary.wiley.com/doi/pdfdirect/10.1002/phar.1337" TargetMode="External"/><Relationship Id="rId47" Type="http://schemas.openxmlformats.org/officeDocument/2006/relationships/hyperlink" Target="https://accpjournals.onlinelibrary.wiley.com/doi/pdfdirect/10.1002/phar.1458" TargetMode="External"/><Relationship Id="rId63" Type="http://schemas.openxmlformats.org/officeDocument/2006/relationships/hyperlink" Target="https://pmc.ncbi.nlm.nih.gov/articles/PMC2737845/" TargetMode="External"/><Relationship Id="rId68" Type="http://schemas.openxmlformats.org/officeDocument/2006/relationships/hyperlink" Target="https://pmc.ncbi.nlm.nih.gov/articles/PMC2737845/" TargetMode="External"/><Relationship Id="rId84" Type="http://schemas.openxmlformats.org/officeDocument/2006/relationships/hyperlink" Target="https://bpspubs.onlinelibrary.wiley.com/doi/10.1111/bcp.15672" TargetMode="External"/><Relationship Id="rId89" Type="http://schemas.openxmlformats.org/officeDocument/2006/relationships/hyperlink" Target="https://pmc.ncbi.nlm.nih.gov/articles/PMC245547/" TargetMode="External"/><Relationship Id="rId16" Type="http://schemas.openxmlformats.org/officeDocument/2006/relationships/hyperlink" Target="https://journals.asm.org/doi/epub/10.1128/aac.01418-13?src=getftr&amp;utm_source=wiley&amp;getft_integrator=wiley" TargetMode="External"/><Relationship Id="rId11" Type="http://schemas.openxmlformats.org/officeDocument/2006/relationships/hyperlink" Target="https://www.accessdata.fda.gov/drugsatfda_docs/nda/99/21-085_Avelox_biopharmr.pdf" TargetMode="External"/><Relationship Id="rId32" Type="http://schemas.openxmlformats.org/officeDocument/2006/relationships/hyperlink" Target="https://citeseerx.ist.psu.edu/document?repid=rep1&amp;type=pdf&amp;doi=d4e42f0fb6287c2b204645dab694010d2388ef25" TargetMode="External"/><Relationship Id="rId3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5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58" Type="http://schemas.openxmlformats.org/officeDocument/2006/relationships/hyperlink" Target="https://serval.unil.ch/resource/serval:BIB_405A2D6AF487.P001/REF.pdf" TargetMode="External"/><Relationship Id="rId74" Type="http://schemas.openxmlformats.org/officeDocument/2006/relationships/hyperlink" Target="https://www.ema.europa.eu/en/documents/assessment-report/deltyba-epar-public-assessment-report_en.pdf" TargetMode="External"/><Relationship Id="rId79" Type="http://schemas.openxmlformats.org/officeDocument/2006/relationships/hyperlink" Target="https://www.ema.europa.eu/en/documents/assessment-report/deltyba-epar-public-assessment-report_en.pdf" TargetMode="External"/><Relationship Id="rId102" Type="http://schemas.openxmlformats.org/officeDocument/2006/relationships/hyperlink" Target="https://pmc.ncbi.nlm.nih.gov/articles/PMC4249404/" TargetMode="External"/><Relationship Id="rId5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90" Type="http://schemas.openxmlformats.org/officeDocument/2006/relationships/hyperlink" Target="https://pmc.ncbi.nlm.nih.gov/articles/PMC1087638/" TargetMode="External"/><Relationship Id="rId95" Type="http://schemas.openxmlformats.org/officeDocument/2006/relationships/hyperlink" Target="https://www.mdpi.com/1999-4923/16/11/1449" TargetMode="External"/><Relationship Id="rId22" Type="http://schemas.openxmlformats.org/officeDocument/2006/relationships/hyperlink" Target="https://www.accessdata.fda.gov/drugsatfda_docs/nda/2012/204384Orig1s000ClinPharmR.pdf" TargetMode="External"/><Relationship Id="rId27" Type="http://schemas.openxmlformats.org/officeDocument/2006/relationships/hyperlink" Target="https://www.ema.europa.eu/en/documents/assessment-report/sirturo-epar-public-assessment-report_en.pdf" TargetMode="External"/><Relationship Id="rId43" Type="http://schemas.openxmlformats.org/officeDocument/2006/relationships/hyperlink" Target="https://accpjournals.onlinelibrary.wiley.com/doi/pdfdirect/10.1002/phar.1337" TargetMode="External"/><Relationship Id="rId48" Type="http://schemas.openxmlformats.org/officeDocument/2006/relationships/hyperlink" Target="https://accpjournals.onlinelibrary.wiley.com/doi/pdfdirect/10.1002/phar.1458" TargetMode="External"/><Relationship Id="rId64" Type="http://schemas.openxmlformats.org/officeDocument/2006/relationships/hyperlink" Target="https://pmc.ncbi.nlm.nih.gov/articles/PMC2737845/" TargetMode="External"/><Relationship Id="rId69" Type="http://schemas.openxmlformats.org/officeDocument/2006/relationships/hyperlink" Target="https://pmc.ncbi.nlm.nih.gov/articles/PMC2737845/" TargetMode="External"/><Relationship Id="rId80" Type="http://schemas.openxmlformats.org/officeDocument/2006/relationships/hyperlink" Target="https://bpspubs.onlinelibrary.wiley.com/doi/10.1111/bcp.15672" TargetMode="External"/><Relationship Id="rId85" Type="http://schemas.openxmlformats.org/officeDocument/2006/relationships/hyperlink" Target="https://bpspubs.onlinelibrary.wiley.com/doi/10.1111/bcp.15672" TargetMode="External"/><Relationship Id="rId12" Type="http://schemas.openxmlformats.org/officeDocument/2006/relationships/hyperlink" Target="https://www.accessdata.fda.gov/drugsatfda_docs/nda/99/21-085_Avelox_biopharmr.pdf" TargetMode="External"/><Relationship Id="rId17" Type="http://schemas.openxmlformats.org/officeDocument/2006/relationships/hyperlink" Target="https://journals.asm.org/doi/epub/10.1128/aac.01418-13?src=getftr&amp;utm_source=wiley&amp;getft_integrator=wiley" TargetMode="External"/><Relationship Id="rId33" Type="http://schemas.openxmlformats.org/officeDocument/2006/relationships/hyperlink" Target="https://citeseerx.ist.psu.edu/document?repid=rep1&amp;type=pdf&amp;doi=d4e42f0fb6287c2b204645dab694010d2388ef25" TargetMode="External"/><Relationship Id="rId38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59" Type="http://schemas.openxmlformats.org/officeDocument/2006/relationships/hyperlink" Target="https://pmc.ncbi.nlm.nih.gov/articles/PMC6544242/" TargetMode="External"/><Relationship Id="rId103" Type="http://schemas.openxmlformats.org/officeDocument/2006/relationships/hyperlink" Target="https://accpjournals.onlinelibrary.wiley.com/doi/pdfdirect/10.1002/phar.1458" TargetMode="External"/><Relationship Id="rId20" Type="http://schemas.openxmlformats.org/officeDocument/2006/relationships/hyperlink" Target="https://www.accessdata.fda.gov/drugsatfda_docs/nda/2012/204384Orig1s000ClinPharmR.pdf" TargetMode="External"/><Relationship Id="rId41" Type="http://schemas.openxmlformats.org/officeDocument/2006/relationships/hyperlink" Target="https://accpjournals.onlinelibrary.wiley.com/doi/pdfdirect/10.1002/phar.1337" TargetMode="External"/><Relationship Id="rId5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62" Type="http://schemas.openxmlformats.org/officeDocument/2006/relationships/hyperlink" Target="https://pmc.ncbi.nlm.nih.gov/articles/PMC2737845/" TargetMode="External"/><Relationship Id="rId70" Type="http://schemas.openxmlformats.org/officeDocument/2006/relationships/hyperlink" Target="https://pmc.ncbi.nlm.nih.gov/articles/PMC3811266/" TargetMode="External"/><Relationship Id="rId75" Type="http://schemas.openxmlformats.org/officeDocument/2006/relationships/hyperlink" Target="https://www.ema.europa.eu/en/documents/assessment-report/deltyba-epar-public-assessment-report_en.pdf" TargetMode="External"/><Relationship Id="rId83" Type="http://schemas.openxmlformats.org/officeDocument/2006/relationships/hyperlink" Target="https://bpspubs.onlinelibrary.wiley.com/doi/10.1111/bcp.15672" TargetMode="External"/><Relationship Id="rId88" Type="http://schemas.openxmlformats.org/officeDocument/2006/relationships/hyperlink" Target="https://citeseerx.ist.psu.edu/document?repid=rep1&amp;type=pdf&amp;doi=c986b50db0b4fc8265f37a7be5a827282690abfa" TargetMode="External"/><Relationship Id="rId91" Type="http://schemas.openxmlformats.org/officeDocument/2006/relationships/hyperlink" Target="https://pmc.ncbi.nlm.nih.gov/articles/PMC1087638/" TargetMode="External"/><Relationship Id="rId96" Type="http://schemas.openxmlformats.org/officeDocument/2006/relationships/hyperlink" Target="https://www.mdpi.com/1999-4923/16/11/1449" TargetMode="External"/><Relationship Id="rId1" Type="http://schemas.openxmlformats.org/officeDocument/2006/relationships/hyperlink" Target="https://www.accessdata.fda.gov/drugsatfda_docs/label/2013/050420s075,050627s014lbl.pdf" TargetMode="External"/><Relationship Id="rId6" Type="http://schemas.openxmlformats.org/officeDocument/2006/relationships/hyperlink" Target="https://www.accessdata.fda.gov/drugsatfda_docs/label/2016/021085s063lbl.pdf" TargetMode="External"/><Relationship Id="rId15" Type="http://schemas.openxmlformats.org/officeDocument/2006/relationships/hyperlink" Target="https://journals.asm.org/doi/epub/10.1128/aac.01418-13?src=getftr&amp;utm_source=wiley&amp;getft_integrator=wiley" TargetMode="External"/><Relationship Id="rId23" Type="http://schemas.openxmlformats.org/officeDocument/2006/relationships/hyperlink" Target="https://www.accessdata.fda.gov/drugsatfda_docs/nda/2012/204384Orig1s000ClinPharmR.pdf" TargetMode="External"/><Relationship Id="rId28" Type="http://schemas.openxmlformats.org/officeDocument/2006/relationships/hyperlink" Target="https://citeseerx.ist.psu.edu/document?repid=rep1&amp;type=pdf&amp;doi=588491a8cc19861703f56475ca7cd78fee681b81" TargetMode="External"/><Relationship Id="rId3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49" Type="http://schemas.openxmlformats.org/officeDocument/2006/relationships/hyperlink" Target="https://pmc.ncbi.nlm.nih.gov/articles/PMC4249404/" TargetMode="External"/><Relationship Id="rId5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" Type="http://schemas.openxmlformats.org/officeDocument/2006/relationships/hyperlink" Target="https://www.accessdata.fda.gov/drugsatfda_docs/nda/99/21-085_Avelox_biopharmr.pdf" TargetMode="External"/><Relationship Id="rId31" Type="http://schemas.openxmlformats.org/officeDocument/2006/relationships/hyperlink" Target="https://citeseerx.ist.psu.edu/document?repid=rep1&amp;type=pdf&amp;doi=d4e42f0fb6287c2b204645dab694010d2388ef25" TargetMode="External"/><Relationship Id="rId44" Type="http://schemas.openxmlformats.org/officeDocument/2006/relationships/hyperlink" Target="https://accpjournals.onlinelibrary.wiley.com/doi/pdfdirect/10.1002/phar.1337" TargetMode="External"/><Relationship Id="rId5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60" Type="http://schemas.openxmlformats.org/officeDocument/2006/relationships/hyperlink" Target="https://pmc.ncbi.nlm.nih.gov/articles/PMC2737845/" TargetMode="External"/><Relationship Id="rId65" Type="http://schemas.openxmlformats.org/officeDocument/2006/relationships/hyperlink" Target="https://pmc.ncbi.nlm.nih.gov/articles/PMC2737845/" TargetMode="External"/><Relationship Id="rId73" Type="http://schemas.openxmlformats.org/officeDocument/2006/relationships/hyperlink" Target="https://www.ema.europa.eu/en/documents/assessment-report/deltyba-epar-public-assessment-report_en.pdf" TargetMode="External"/><Relationship Id="rId78" Type="http://schemas.openxmlformats.org/officeDocument/2006/relationships/hyperlink" Target="https://www.ema.europa.eu/en/documents/assessment-report/deltyba-epar-public-assessment-report_en.pdf" TargetMode="External"/><Relationship Id="rId81" Type="http://schemas.openxmlformats.org/officeDocument/2006/relationships/hyperlink" Target="https://bpspubs.onlinelibrary.wiley.com/doi/10.1111/bcp.15672" TargetMode="External"/><Relationship Id="rId86" Type="http://schemas.openxmlformats.org/officeDocument/2006/relationships/hyperlink" Target="https://citeseerx.ist.psu.edu/document?repid=rep1&amp;type=pdf&amp;doi=5b8c4c32934f844c9acab90c2be0e0fd59b801de" TargetMode="External"/><Relationship Id="rId94" Type="http://schemas.openxmlformats.org/officeDocument/2006/relationships/hyperlink" Target="https://www.mdpi.com/1999-4923/16/11/1449" TargetMode="External"/><Relationship Id="rId99" Type="http://schemas.openxmlformats.org/officeDocument/2006/relationships/hyperlink" Target="https://journals.asm.org/doi/epub/10.1128/aac.01418-13?src=getftr&amp;utm_source=wiley&amp;getft_integrator=wiley" TargetMode="External"/><Relationship Id="rId101" Type="http://schemas.openxmlformats.org/officeDocument/2006/relationships/hyperlink" Target="https://pmc.ncbi.nlm.nih.gov/articles/PMC4249404/" TargetMode="External"/><Relationship Id="rId4" Type="http://schemas.openxmlformats.org/officeDocument/2006/relationships/hyperlink" Target="https://www.accessdata.fda.gov/drugsatfda_docs/anda/97/064150review.pdf" TargetMode="External"/><Relationship Id="rId9" Type="http://schemas.openxmlformats.org/officeDocument/2006/relationships/hyperlink" Target="https://www.accessdata.fda.gov/drugsatfda_docs/nda/99/21-085_Avelox_biopharmr.pdf" TargetMode="External"/><Relationship Id="rId13" Type="http://schemas.openxmlformats.org/officeDocument/2006/relationships/hyperlink" Target="https://www.accessdata.fda.gov/drugsatfda_docs/nda/99/21-085_Avelox_biopharmr.pdf" TargetMode="External"/><Relationship Id="rId18" Type="http://schemas.openxmlformats.org/officeDocument/2006/relationships/hyperlink" Target="https://www.accessdata.fda.gov/drugsatfda_docs/nda/2012/204384Orig1s000ClinPharmR.pdf" TargetMode="External"/><Relationship Id="rId39" Type="http://schemas.openxmlformats.org/officeDocument/2006/relationships/hyperlink" Target="https://accpjournals.onlinelibrary.wiley.com/doi/pdfdirect/10.1002/phar.1337" TargetMode="External"/><Relationship Id="rId34" Type="http://schemas.openxmlformats.org/officeDocument/2006/relationships/hyperlink" Target="https://citeseerx.ist.psu.edu/document?repid=rep1&amp;type=pdf&amp;doi=d4e42f0fb6287c2b204645dab694010d2388ef25" TargetMode="External"/><Relationship Id="rId5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5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76" Type="http://schemas.openxmlformats.org/officeDocument/2006/relationships/hyperlink" Target="https://www.ema.europa.eu/en/documents/assessment-report/deltyba-epar-public-assessment-report_en.pdf" TargetMode="External"/><Relationship Id="rId97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0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7" Type="http://schemas.openxmlformats.org/officeDocument/2006/relationships/hyperlink" Target="https://www.accessdata.fda.gov/drugsatfda_docs/nda/99/21-085_Avelox_biopharmr.pdf" TargetMode="External"/><Relationship Id="rId71" Type="http://schemas.openxmlformats.org/officeDocument/2006/relationships/hyperlink" Target="https://pmc.ncbi.nlm.nih.gov/articles/PMC3811266/" TargetMode="External"/><Relationship Id="rId92" Type="http://schemas.openxmlformats.org/officeDocument/2006/relationships/hyperlink" Target="https://pmc.ncbi.nlm.nih.gov/articles/PMC1087638/" TargetMode="External"/><Relationship Id="rId2" Type="http://schemas.openxmlformats.org/officeDocument/2006/relationships/hyperlink" Target="https://www.accessdata.fda.gov/drugsatfda_docs/label/2013/050420s075,050627s014lbl.pdf" TargetMode="External"/><Relationship Id="rId29" Type="http://schemas.openxmlformats.org/officeDocument/2006/relationships/hyperlink" Target="https://citeseerx.ist.psu.edu/document?repid=rep1&amp;type=pdf&amp;doi=588491a8cc19861703f56475ca7cd78fee681b81" TargetMode="External"/><Relationship Id="rId24" Type="http://schemas.openxmlformats.org/officeDocument/2006/relationships/hyperlink" Target="https://www.accessdata.fda.gov/drugsatfda_docs/nda/2012/204384Orig1s000ClinPharmR.pdf" TargetMode="External"/><Relationship Id="rId40" Type="http://schemas.openxmlformats.org/officeDocument/2006/relationships/hyperlink" Target="https://accpjournals.onlinelibrary.wiley.com/doi/pdfdirect/10.1002/phar.1337" TargetMode="External"/><Relationship Id="rId45" Type="http://schemas.openxmlformats.org/officeDocument/2006/relationships/hyperlink" Target="https://accpjournals.onlinelibrary.wiley.com/doi/pdfdirect/10.1002/phar.1337" TargetMode="External"/><Relationship Id="rId66" Type="http://schemas.openxmlformats.org/officeDocument/2006/relationships/hyperlink" Target="https://pmc.ncbi.nlm.nih.gov/articles/PMC2737845/" TargetMode="External"/><Relationship Id="rId87" Type="http://schemas.openxmlformats.org/officeDocument/2006/relationships/hyperlink" Target="https://journals.asm.org/doi/pdf/10.1128/aac.36.7.1532" TargetMode="External"/><Relationship Id="rId61" Type="http://schemas.openxmlformats.org/officeDocument/2006/relationships/hyperlink" Target="https://pmc.ncbi.nlm.nih.gov/articles/PMC2737845/" TargetMode="External"/><Relationship Id="rId82" Type="http://schemas.openxmlformats.org/officeDocument/2006/relationships/hyperlink" Target="https://bpspubs.onlinelibrary.wiley.com/doi/10.1111/bcp.15672" TargetMode="External"/><Relationship Id="rId19" Type="http://schemas.openxmlformats.org/officeDocument/2006/relationships/hyperlink" Target="https://www.accessdata.fda.gov/drugsatfda_docs/nda/2012/204384Orig1s000ClinPharmR.pdf" TargetMode="External"/><Relationship Id="rId14" Type="http://schemas.openxmlformats.org/officeDocument/2006/relationships/hyperlink" Target="https://www.accessdata.fda.gov/drugsatfda_docs/label/2016/021085s063lbl.pdf" TargetMode="External"/><Relationship Id="rId30" Type="http://schemas.openxmlformats.org/officeDocument/2006/relationships/hyperlink" Target="https://citeseerx.ist.psu.edu/document?repid=rep1&amp;type=pdf&amp;doi=d4e42f0fb6287c2b204645dab694010d2388ef25" TargetMode="External"/><Relationship Id="rId3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5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77" Type="http://schemas.openxmlformats.org/officeDocument/2006/relationships/hyperlink" Target="https://www.ema.europa.eu/en/documents/assessment-report/deltyba-epar-public-assessment-report_en.pdf" TargetMode="External"/><Relationship Id="rId100" Type="http://schemas.openxmlformats.org/officeDocument/2006/relationships/hyperlink" Target="https://journals.asm.org/doi/epub/10.1128/aac.01418-13?src=getftr&amp;utm_source=wiley&amp;getft_integrator=wiley" TargetMode="External"/><Relationship Id="rId105" Type="http://schemas.openxmlformats.org/officeDocument/2006/relationships/hyperlink" Target="https://www.ema.europa.eu/en/documents/assessment-report/deltyba-epar-public-assessment-report_en.pdf" TargetMode="External"/><Relationship Id="rId8" Type="http://schemas.openxmlformats.org/officeDocument/2006/relationships/hyperlink" Target="https://www.accessdata.fda.gov/drugsatfda_docs/nda/99/21-085_Avelox_biopharmr.pdf" TargetMode="External"/><Relationship Id="rId5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72" Type="http://schemas.openxmlformats.org/officeDocument/2006/relationships/hyperlink" Target="https://pmc.ncbi.nlm.nih.gov/articles/PMC3811266/" TargetMode="External"/><Relationship Id="rId93" Type="http://schemas.openxmlformats.org/officeDocument/2006/relationships/hyperlink" Target="https://pmc.ncbi.nlm.nih.gov/articles/PMC1087638/" TargetMode="External"/><Relationship Id="rId98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3" Type="http://schemas.openxmlformats.org/officeDocument/2006/relationships/hyperlink" Target="https://www.accessdata.fda.gov/drugsatfda_docs/anda/97/064150review.pdf" TargetMode="External"/><Relationship Id="rId25" Type="http://schemas.openxmlformats.org/officeDocument/2006/relationships/hyperlink" Target="https://www.ema.europa.eu/en/documents/assessment-report/sirturo-epar-public-assessment-report_en.pdf" TargetMode="External"/><Relationship Id="rId46" Type="http://schemas.openxmlformats.org/officeDocument/2006/relationships/hyperlink" Target="https://accpjournals.onlinelibrary.wiley.com/doi/pdfdirect/10.1002/phar.1337" TargetMode="External"/><Relationship Id="rId67" Type="http://schemas.openxmlformats.org/officeDocument/2006/relationships/hyperlink" Target="https://pmc.ncbi.nlm.nih.gov/articles/PMC2737845/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citeseerx.ist.psu.edu/document?repid=rep1&amp;type=pdf&amp;doi=5b8c4c32934f844c9acab90c2be0e0fd59b801de" TargetMode="External"/><Relationship Id="rId21" Type="http://schemas.openxmlformats.org/officeDocument/2006/relationships/hyperlink" Target="https://www.accessdata.fda.gov/drugsatfda_docs/anda/97/064150review.pdf" TargetMode="External"/><Relationship Id="rId170" Type="http://schemas.openxmlformats.org/officeDocument/2006/relationships/hyperlink" Target="https://www.accessdata.fda.gov/drugsatfda_docs/nda/99/21-085_Avelox_biopharmr.pdf" TargetMode="External"/><Relationship Id="rId268" Type="http://schemas.openxmlformats.org/officeDocument/2006/relationships/hyperlink" Target="https://journals.asm.org/doi/epub/10.1128/aac.01418-13?src=getftr&amp;utm_source=wiley&amp;getft_integrator=wiley" TargetMode="External"/><Relationship Id="rId475" Type="http://schemas.openxmlformats.org/officeDocument/2006/relationships/hyperlink" Target="https://citeseerx.ist.psu.edu/document?repid=rep1&amp;type=pdf&amp;doi=d4e42f0fb6287c2b204645dab694010d2388ef25" TargetMode="External"/><Relationship Id="rId682" Type="http://schemas.openxmlformats.org/officeDocument/2006/relationships/hyperlink" Target="https://accpjournals.onlinelibrary.wiley.com/doi/pdfdirect/10.1002/phar.1458" TargetMode="External"/><Relationship Id="rId128" Type="http://schemas.openxmlformats.org/officeDocument/2006/relationships/hyperlink" Target="https://www.accessdata.fda.gov/drugsatfda_docs/nda/99/21-085_Avelox_biopharmr.pdf" TargetMode="External"/><Relationship Id="rId335" Type="http://schemas.openxmlformats.org/officeDocument/2006/relationships/hyperlink" Target="https://www.accessdata.fda.gov/drugsatfda_docs/nda/2012/204384Orig1s000ClinPharmR.pdf" TargetMode="External"/><Relationship Id="rId542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8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72" Type="http://schemas.openxmlformats.org/officeDocument/2006/relationships/hyperlink" Target="https://pmc.ncbi.nlm.nih.gov/articles/PMC2737845/" TargetMode="External"/><Relationship Id="rId402" Type="http://schemas.openxmlformats.org/officeDocument/2006/relationships/hyperlink" Target="https://citeseerx.ist.psu.edu/document?repid=rep1&amp;type=pdf&amp;doi=588491a8cc19861703f56475ca7cd78fee681b81" TargetMode="External"/><Relationship Id="rId847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32" Type="http://schemas.openxmlformats.org/officeDocument/2006/relationships/hyperlink" Target="https://pmc.ncbi.nlm.nih.gov/articles/PMC6544242/" TargetMode="External"/><Relationship Id="rId1477" Type="http://schemas.openxmlformats.org/officeDocument/2006/relationships/hyperlink" Target="https://bpspubs.onlinelibrary.wiley.com/doi/10.1111/bcp.15672" TargetMode="External"/><Relationship Id="rId1684" Type="http://schemas.openxmlformats.org/officeDocument/2006/relationships/hyperlink" Target="https://citeseerx.ist.psu.edu/document?repid=rep1&amp;type=pdf&amp;doi=c986b50db0b4fc8265f37a7be5a827282690abfa" TargetMode="External"/><Relationship Id="rId707" Type="http://schemas.openxmlformats.org/officeDocument/2006/relationships/hyperlink" Target="https://accpjournals.onlinelibrary.wiley.com/doi/pdfdirect/10.1002/phar.1458" TargetMode="External"/><Relationship Id="rId91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37" Type="http://schemas.openxmlformats.org/officeDocument/2006/relationships/hyperlink" Target="https://www.ema.europa.eu/en/documents/assessment-report/deltyba-epar-public-assessment-report_en.pdf" TargetMode="External"/><Relationship Id="rId1544" Type="http://schemas.openxmlformats.org/officeDocument/2006/relationships/hyperlink" Target="https://pmc.ncbi.nlm.nih.gov/articles/PMC1087638/" TargetMode="External"/><Relationship Id="rId175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43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404" Type="http://schemas.openxmlformats.org/officeDocument/2006/relationships/hyperlink" Target="https://www.ema.europa.eu/en/documents/assessment-report/deltyba-epar-public-assessment-report_en.pdf" TargetMode="External"/><Relationship Id="rId1611" Type="http://schemas.openxmlformats.org/officeDocument/2006/relationships/hyperlink" Target="https://pmc.ncbi.nlm.nih.gov/articles/PMC1087638/" TargetMode="External"/><Relationship Id="rId192" Type="http://schemas.openxmlformats.org/officeDocument/2006/relationships/hyperlink" Target="https://www.accessdata.fda.gov/drugsatfda_docs/nda/99/21-085_Avelox_biopharmr.pdf" TargetMode="External"/><Relationship Id="rId1709" Type="http://schemas.openxmlformats.org/officeDocument/2006/relationships/hyperlink" Target="https://www.mdpi.com/1999-4923/16/11/1449" TargetMode="External"/><Relationship Id="rId49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357" Type="http://schemas.openxmlformats.org/officeDocument/2006/relationships/hyperlink" Target="https://www.ema.europa.eu/en/documents/assessment-report/sirturo-epar-public-assessment-report_en.pdf" TargetMode="External"/><Relationship Id="rId1194" Type="http://schemas.openxmlformats.org/officeDocument/2006/relationships/hyperlink" Target="https://pmc.ncbi.nlm.nih.gov/articles/PMC2737845/" TargetMode="External"/><Relationship Id="rId217" Type="http://schemas.openxmlformats.org/officeDocument/2006/relationships/hyperlink" Target="https://www.accessdata.fda.gov/drugsatfda_docs/nda/2012/204384Orig1s000ClinPharmR.pdf" TargetMode="External"/><Relationship Id="rId564" Type="http://schemas.openxmlformats.org/officeDocument/2006/relationships/hyperlink" Target="https://accpjournals.onlinelibrary.wiley.com/doi/pdfdirect/10.1002/phar.1337" TargetMode="External"/><Relationship Id="rId771" Type="http://schemas.openxmlformats.org/officeDocument/2006/relationships/hyperlink" Target="https://accpjournals.onlinelibrary.wiley.com/doi/pdfdirect/10.1002/phar.1458" TargetMode="External"/><Relationship Id="rId869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499" Type="http://schemas.openxmlformats.org/officeDocument/2006/relationships/hyperlink" Target="https://bpspubs.onlinelibrary.wiley.com/doi/10.1111/bcp.15672" TargetMode="External"/><Relationship Id="rId424" Type="http://schemas.openxmlformats.org/officeDocument/2006/relationships/hyperlink" Target="https://citeseerx.ist.psu.edu/document?repid=rep1&amp;type=pdf&amp;doi=d4e42f0fb6287c2b204645dab694010d2388ef25" TargetMode="External"/><Relationship Id="rId631" Type="http://schemas.openxmlformats.org/officeDocument/2006/relationships/hyperlink" Target="https://accpjournals.onlinelibrary.wiley.com/doi/pdfdirect/10.1002/phar.1337" TargetMode="External"/><Relationship Id="rId729" Type="http://schemas.openxmlformats.org/officeDocument/2006/relationships/hyperlink" Target="https://pmc.ncbi.nlm.nih.gov/articles/PMC4249404/" TargetMode="External"/><Relationship Id="rId1054" Type="http://schemas.openxmlformats.org/officeDocument/2006/relationships/hyperlink" Target="https://pmc.ncbi.nlm.nih.gov/articles/PMC2737845/" TargetMode="External"/><Relationship Id="rId1261" Type="http://schemas.openxmlformats.org/officeDocument/2006/relationships/hyperlink" Target="https://pmc.ncbi.nlm.nih.gov/articles/PMC2737845/" TargetMode="External"/><Relationship Id="rId1359" Type="http://schemas.openxmlformats.org/officeDocument/2006/relationships/hyperlink" Target="https://www.ema.europa.eu/en/documents/assessment-report/deltyba-epar-public-assessment-report_en.pdf" TargetMode="External"/><Relationship Id="rId93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21" Type="http://schemas.openxmlformats.org/officeDocument/2006/relationships/hyperlink" Target="https://pmc.ncbi.nlm.nih.gov/articles/PMC2737845/" TargetMode="External"/><Relationship Id="rId1219" Type="http://schemas.openxmlformats.org/officeDocument/2006/relationships/hyperlink" Target="https://pmc.ncbi.nlm.nih.gov/articles/PMC3811266/" TargetMode="External"/><Relationship Id="rId1566" Type="http://schemas.openxmlformats.org/officeDocument/2006/relationships/hyperlink" Target="https://pmc.ncbi.nlm.nih.gov/articles/PMC1087638/" TargetMode="External"/><Relationship Id="rId65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426" Type="http://schemas.openxmlformats.org/officeDocument/2006/relationships/hyperlink" Target="https://www.ema.europa.eu/en/documents/assessment-report/deltyba-epar-public-assessment-report_en.pdf" TargetMode="External"/><Relationship Id="rId1633" Type="http://schemas.openxmlformats.org/officeDocument/2006/relationships/hyperlink" Target="https://pmc.ncbi.nlm.nih.gov/articles/PMC1087638/" TargetMode="External"/><Relationship Id="rId1700" Type="http://schemas.openxmlformats.org/officeDocument/2006/relationships/hyperlink" Target="https://www.mdpi.com/1999-4923/16/11/1449" TargetMode="External"/><Relationship Id="rId281" Type="http://schemas.openxmlformats.org/officeDocument/2006/relationships/hyperlink" Target="https://journals.asm.org/doi/epub/10.1128/aac.01418-13?src=getftr&amp;utm_source=wiley&amp;getft_integrator=wiley" TargetMode="External"/><Relationship Id="rId141" Type="http://schemas.openxmlformats.org/officeDocument/2006/relationships/hyperlink" Target="https://www.accessdata.fda.gov/drugsatfda_docs/nda/99/21-085_Avelox_biopharmr.pdf" TargetMode="External"/><Relationship Id="rId379" Type="http://schemas.openxmlformats.org/officeDocument/2006/relationships/hyperlink" Target="https://www.ema.europa.eu/en/documents/assessment-report/sirturo-epar-public-assessment-report_en.pdf" TargetMode="External"/><Relationship Id="rId586" Type="http://schemas.openxmlformats.org/officeDocument/2006/relationships/hyperlink" Target="https://accpjournals.onlinelibrary.wiley.com/doi/pdfdirect/10.1002/phar.1337" TargetMode="External"/><Relationship Id="rId793" Type="http://schemas.openxmlformats.org/officeDocument/2006/relationships/hyperlink" Target="https://accpjournals.onlinelibrary.wiley.com/doi/pdfdirect/10.1002/phar.1458" TargetMode="External"/><Relationship Id="rId7" Type="http://schemas.openxmlformats.org/officeDocument/2006/relationships/hyperlink" Target="https://www.accessdata.fda.gov/drugsatfda_docs/label/2013/050420s075,050627s014lbl.pdf" TargetMode="External"/><Relationship Id="rId239" Type="http://schemas.openxmlformats.org/officeDocument/2006/relationships/hyperlink" Target="https://www.accessdata.fda.gov/drugsatfda_docs/nda/2012/204384Orig1s000ClinPharmR.pdf" TargetMode="External"/><Relationship Id="rId446" Type="http://schemas.openxmlformats.org/officeDocument/2006/relationships/hyperlink" Target="https://citeseerx.ist.psu.edu/document?repid=rep1&amp;type=pdf&amp;doi=d4e42f0fb6287c2b204645dab694010d2388ef25" TargetMode="External"/><Relationship Id="rId653" Type="http://schemas.openxmlformats.org/officeDocument/2006/relationships/hyperlink" Target="https://accpjournals.onlinelibrary.wiley.com/doi/pdfdirect/10.1002/phar.1458" TargetMode="External"/><Relationship Id="rId1076" Type="http://schemas.openxmlformats.org/officeDocument/2006/relationships/hyperlink" Target="https://pmc.ncbi.nlm.nih.gov/articles/PMC2737845/" TargetMode="External"/><Relationship Id="rId1283" Type="http://schemas.openxmlformats.org/officeDocument/2006/relationships/hyperlink" Target="https://pmc.ncbi.nlm.nih.gov/articles/PMC2737845/" TargetMode="External"/><Relationship Id="rId1490" Type="http://schemas.openxmlformats.org/officeDocument/2006/relationships/hyperlink" Target="https://bpspubs.onlinelibrary.wiley.com/doi/10.1111/bcp.15672" TargetMode="External"/><Relationship Id="rId306" Type="http://schemas.openxmlformats.org/officeDocument/2006/relationships/hyperlink" Target="https://www.accessdata.fda.gov/drugsatfda_docs/nda/2012/204384Orig1s000ClinPharmR.pdf" TargetMode="External"/><Relationship Id="rId86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5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43" Type="http://schemas.openxmlformats.org/officeDocument/2006/relationships/hyperlink" Target="https://pmc.ncbi.nlm.nih.gov/articles/PMC2737845/" TargetMode="External"/><Relationship Id="rId1588" Type="http://schemas.openxmlformats.org/officeDocument/2006/relationships/hyperlink" Target="https://citeseerx.ist.psu.edu/document?repid=rep1&amp;type=pdf&amp;doi=c986b50db0b4fc8265f37a7be5a827282690abfa" TargetMode="External"/><Relationship Id="rId87" Type="http://schemas.openxmlformats.org/officeDocument/2006/relationships/hyperlink" Target="https://www.accessdata.fda.gov/drugsatfda_docs/label/2016/021085s063lbl.pdf" TargetMode="External"/><Relationship Id="rId513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20" Type="http://schemas.openxmlformats.org/officeDocument/2006/relationships/hyperlink" Target="https://accpjournals.onlinelibrary.wiley.com/doi/pdfdirect/10.1002/phar.1458" TargetMode="External"/><Relationship Id="rId818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350" Type="http://schemas.openxmlformats.org/officeDocument/2006/relationships/hyperlink" Target="https://www.ema.europa.eu/en/documents/assessment-report/deltyba-epar-public-assessment-report_en.pdf" TargetMode="External"/><Relationship Id="rId1448" Type="http://schemas.openxmlformats.org/officeDocument/2006/relationships/hyperlink" Target="https://www.ema.europa.eu/en/documents/assessment-report/deltyba-epar-public-assessment-report_en.pdf" TargetMode="External"/><Relationship Id="rId1655" Type="http://schemas.openxmlformats.org/officeDocument/2006/relationships/hyperlink" Target="https://pmc.ncbi.nlm.nih.gov/articles/PMC1087638/" TargetMode="External"/><Relationship Id="rId100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10" Type="http://schemas.openxmlformats.org/officeDocument/2006/relationships/hyperlink" Target="https://pmc.ncbi.nlm.nih.gov/articles/PMC3811266/" TargetMode="External"/><Relationship Id="rId1308" Type="http://schemas.openxmlformats.org/officeDocument/2006/relationships/hyperlink" Target="https://www.ema.europa.eu/en/documents/assessment-report/deltyba-epar-public-assessment-report_en.pdf" TargetMode="External"/><Relationship Id="rId1515" Type="http://schemas.openxmlformats.org/officeDocument/2006/relationships/hyperlink" Target="https://citeseerx.ist.psu.edu/document?repid=rep1&amp;type=pdf&amp;doi=5b8c4c32934f844c9acab90c2be0e0fd59b801de" TargetMode="External"/><Relationship Id="rId172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" Type="http://schemas.openxmlformats.org/officeDocument/2006/relationships/hyperlink" Target="https://www.accessdata.fda.gov/drugsatfda_docs/anda/97/064150review.pdf" TargetMode="External"/><Relationship Id="rId163" Type="http://schemas.openxmlformats.org/officeDocument/2006/relationships/hyperlink" Target="https://www.accessdata.fda.gov/drugsatfda_docs/nda/99/21-085_Avelox_biopharmr.pdf" TargetMode="External"/><Relationship Id="rId370" Type="http://schemas.openxmlformats.org/officeDocument/2006/relationships/hyperlink" Target="https://www.ema.europa.eu/en/documents/assessment-report/sirturo-epar-public-assessment-report_en.pdf" TargetMode="External"/><Relationship Id="rId230" Type="http://schemas.openxmlformats.org/officeDocument/2006/relationships/hyperlink" Target="https://www.accessdata.fda.gov/drugsatfda_docs/nda/2012/204384Orig1s000ClinPharmR.pdf" TargetMode="External"/><Relationship Id="rId468" Type="http://schemas.openxmlformats.org/officeDocument/2006/relationships/hyperlink" Target="https://citeseerx.ist.psu.edu/document?repid=rep1&amp;type=pdf&amp;doi=d4e42f0fb6287c2b204645dab694010d2388ef25" TargetMode="External"/><Relationship Id="rId675" Type="http://schemas.openxmlformats.org/officeDocument/2006/relationships/hyperlink" Target="https://pmc.ncbi.nlm.nih.gov/articles/PMC4249404/" TargetMode="External"/><Relationship Id="rId88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98" Type="http://schemas.openxmlformats.org/officeDocument/2006/relationships/hyperlink" Target="https://pmc.ncbi.nlm.nih.gov/articles/PMC2737845/" TargetMode="External"/><Relationship Id="rId328" Type="http://schemas.openxmlformats.org/officeDocument/2006/relationships/hyperlink" Target="https://www.accessdata.fda.gov/drugsatfda_docs/nda/2012/204384Orig1s000ClinPharmR.pdf" TargetMode="External"/><Relationship Id="rId53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42" Type="http://schemas.openxmlformats.org/officeDocument/2006/relationships/hyperlink" Target="https://pmc.ncbi.nlm.nih.gov/articles/PMC4249404/" TargetMode="External"/><Relationship Id="rId1165" Type="http://schemas.openxmlformats.org/officeDocument/2006/relationships/hyperlink" Target="https://pmc.ncbi.nlm.nih.gov/articles/PMC2737845/" TargetMode="External"/><Relationship Id="rId1372" Type="http://schemas.openxmlformats.org/officeDocument/2006/relationships/hyperlink" Target="https://www.ema.europa.eu/en/documents/assessment-report/deltyba-epar-public-assessment-report_en.pdf" TargetMode="External"/><Relationship Id="rId602" Type="http://schemas.openxmlformats.org/officeDocument/2006/relationships/hyperlink" Target="https://accpjournals.onlinelibrary.wiley.com/doi/pdfdirect/10.1002/phar.1337" TargetMode="External"/><Relationship Id="rId102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32" Type="http://schemas.openxmlformats.org/officeDocument/2006/relationships/hyperlink" Target="https://pmc.ncbi.nlm.nih.gov/articles/PMC3811266/" TargetMode="External"/><Relationship Id="rId1677" Type="http://schemas.openxmlformats.org/officeDocument/2006/relationships/hyperlink" Target="https://pmc.ncbi.nlm.nih.gov/articles/PMC1087638/" TargetMode="External"/><Relationship Id="rId90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537" Type="http://schemas.openxmlformats.org/officeDocument/2006/relationships/hyperlink" Target="https://pmc.ncbi.nlm.nih.gov/articles/PMC1087638/" TargetMode="External"/><Relationship Id="rId174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6" Type="http://schemas.openxmlformats.org/officeDocument/2006/relationships/hyperlink" Target="https://www.accessdata.fda.gov/drugsatfda_docs/anda/97/064150review.pdf" TargetMode="External"/><Relationship Id="rId1604" Type="http://schemas.openxmlformats.org/officeDocument/2006/relationships/hyperlink" Target="https://pmc.ncbi.nlm.nih.gov/articles/PMC1087638/" TargetMode="External"/><Relationship Id="rId185" Type="http://schemas.openxmlformats.org/officeDocument/2006/relationships/hyperlink" Target="https://www.accessdata.fda.gov/drugsatfda_docs/label/2016/021085s063lbl.pdf" TargetMode="External"/><Relationship Id="rId392" Type="http://schemas.openxmlformats.org/officeDocument/2006/relationships/hyperlink" Target="https://citeseerx.ist.psu.edu/document?repid=rep1&amp;type=pdf&amp;doi=588491a8cc19861703f56475ca7cd78fee681b81" TargetMode="External"/><Relationship Id="rId697" Type="http://schemas.openxmlformats.org/officeDocument/2006/relationships/hyperlink" Target="https://accpjournals.onlinelibrary.wiley.com/doi/pdfdirect/10.1002/phar.1458" TargetMode="External"/><Relationship Id="rId252" Type="http://schemas.openxmlformats.org/officeDocument/2006/relationships/hyperlink" Target="https://www.ema.europa.eu/en/documents/assessment-report/sirturo-epar-public-assessment-report_en.pdf" TargetMode="External"/><Relationship Id="rId1187" Type="http://schemas.openxmlformats.org/officeDocument/2006/relationships/hyperlink" Target="https://pmc.ncbi.nlm.nih.gov/articles/PMC2737845/" TargetMode="External"/><Relationship Id="rId112" Type="http://schemas.openxmlformats.org/officeDocument/2006/relationships/hyperlink" Target="https://www.accessdata.fda.gov/drugsatfda_docs/nda/99/21-085_Avelox_biopharmr.pdf" TargetMode="External"/><Relationship Id="rId557" Type="http://schemas.openxmlformats.org/officeDocument/2006/relationships/hyperlink" Target="https://accpjournals.onlinelibrary.wiley.com/doi/pdfdirect/10.1002/phar.1337" TargetMode="External"/><Relationship Id="rId764" Type="http://schemas.openxmlformats.org/officeDocument/2006/relationships/hyperlink" Target="https://accpjournals.onlinelibrary.wiley.com/doi/pdfdirect/10.1002/phar.1337" TargetMode="External"/><Relationship Id="rId97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94" Type="http://schemas.openxmlformats.org/officeDocument/2006/relationships/hyperlink" Target="https://www.ema.europa.eu/en/documents/assessment-report/deltyba-epar-public-assessment-report_en.pdf" TargetMode="External"/><Relationship Id="rId1699" Type="http://schemas.openxmlformats.org/officeDocument/2006/relationships/hyperlink" Target="https://www.mdpi.com/1999-4923/16/11/1449" TargetMode="External"/><Relationship Id="rId417" Type="http://schemas.openxmlformats.org/officeDocument/2006/relationships/hyperlink" Target="https://citeseerx.ist.psu.edu/document?repid=rep1&amp;type=pdf&amp;doi=d4e42f0fb6287c2b204645dab694010d2388ef25" TargetMode="External"/><Relationship Id="rId624" Type="http://schemas.openxmlformats.org/officeDocument/2006/relationships/hyperlink" Target="https://accpjournals.onlinelibrary.wiley.com/doi/pdfdirect/10.1002/phar.1337" TargetMode="External"/><Relationship Id="rId83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47" Type="http://schemas.openxmlformats.org/officeDocument/2006/relationships/hyperlink" Target="https://serval.unil.ch/resource/serval:BIB_405A2D6AF487.P001/REF.pdf" TargetMode="External"/><Relationship Id="rId1254" Type="http://schemas.openxmlformats.org/officeDocument/2006/relationships/hyperlink" Target="https://pmc.ncbi.nlm.nih.gov/articles/PMC2737845/" TargetMode="External"/><Relationship Id="rId1461" Type="http://schemas.openxmlformats.org/officeDocument/2006/relationships/hyperlink" Target="https://www.ema.europa.eu/en/documents/assessment-report/deltyba-epar-public-assessment-report_en.pdf" TargetMode="External"/><Relationship Id="rId92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14" Type="http://schemas.openxmlformats.org/officeDocument/2006/relationships/hyperlink" Target="https://pmc.ncbi.nlm.nih.gov/articles/PMC2737845/" TargetMode="External"/><Relationship Id="rId1321" Type="http://schemas.openxmlformats.org/officeDocument/2006/relationships/hyperlink" Target="https://www.ema.europa.eu/en/documents/assessment-report/deltyba-epar-public-assessment-report_en.pdf" TargetMode="External"/><Relationship Id="rId1559" Type="http://schemas.openxmlformats.org/officeDocument/2006/relationships/hyperlink" Target="https://pmc.ncbi.nlm.nih.gov/articles/PMC1087638/" TargetMode="External"/><Relationship Id="rId58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419" Type="http://schemas.openxmlformats.org/officeDocument/2006/relationships/hyperlink" Target="https://www.ema.europa.eu/en/documents/assessment-report/deltyba-epar-public-assessment-report_en.pdf" TargetMode="External"/><Relationship Id="rId1626" Type="http://schemas.openxmlformats.org/officeDocument/2006/relationships/hyperlink" Target="https://pmc.ncbi.nlm.nih.gov/articles/PMC1087638/" TargetMode="External"/><Relationship Id="rId274" Type="http://schemas.openxmlformats.org/officeDocument/2006/relationships/hyperlink" Target="https://journals.asm.org/doi/epub/10.1128/aac.01418-13?src=getftr&amp;utm_source=wiley&amp;getft_integrator=wiley" TargetMode="External"/><Relationship Id="rId481" Type="http://schemas.openxmlformats.org/officeDocument/2006/relationships/hyperlink" Target="https://citeseerx.ist.psu.edu/document?repid=rep1&amp;type=pdf&amp;doi=d4e42f0fb6287c2b204645dab694010d2388ef25" TargetMode="External"/><Relationship Id="rId134" Type="http://schemas.openxmlformats.org/officeDocument/2006/relationships/hyperlink" Target="https://www.accessdata.fda.gov/drugsatfda_docs/nda/99/21-085_Avelox_biopharmr.pdf" TargetMode="External"/><Relationship Id="rId579" Type="http://schemas.openxmlformats.org/officeDocument/2006/relationships/hyperlink" Target="https://accpjournals.onlinelibrary.wiley.com/doi/pdfdirect/10.1002/phar.1337" TargetMode="External"/><Relationship Id="rId786" Type="http://schemas.openxmlformats.org/officeDocument/2006/relationships/hyperlink" Target="https://accpjournals.onlinelibrary.wiley.com/doi/pdfdirect/10.1002/phar.1458" TargetMode="External"/><Relationship Id="rId99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41" Type="http://schemas.openxmlformats.org/officeDocument/2006/relationships/hyperlink" Target="https://www.accessdata.fda.gov/drugsatfda_docs/nda/2012/204384Orig1s000ClinPharmR.pdf" TargetMode="External"/><Relationship Id="rId439" Type="http://schemas.openxmlformats.org/officeDocument/2006/relationships/hyperlink" Target="https://citeseerx.ist.psu.edu/document?repid=rep1&amp;type=pdf&amp;doi=d4e42f0fb6287c2b204645dab694010d2388ef25" TargetMode="External"/><Relationship Id="rId646" Type="http://schemas.openxmlformats.org/officeDocument/2006/relationships/hyperlink" Target="https://accpjournals.onlinelibrary.wiley.com/doi/pdfdirect/10.1002/phar.1458" TargetMode="External"/><Relationship Id="rId1069" Type="http://schemas.openxmlformats.org/officeDocument/2006/relationships/hyperlink" Target="https://pmc.ncbi.nlm.nih.gov/articles/PMC2737845/" TargetMode="External"/><Relationship Id="rId1276" Type="http://schemas.openxmlformats.org/officeDocument/2006/relationships/hyperlink" Target="https://pmc.ncbi.nlm.nih.gov/articles/PMC2737845/" TargetMode="External"/><Relationship Id="rId1483" Type="http://schemas.openxmlformats.org/officeDocument/2006/relationships/hyperlink" Target="https://bpspubs.onlinelibrary.wiley.com/doi/10.1111/bcp.15672" TargetMode="External"/><Relationship Id="rId201" Type="http://schemas.openxmlformats.org/officeDocument/2006/relationships/hyperlink" Target="https://www.accessdata.fda.gov/drugsatfda_docs/nda/2012/204384Orig1s000ClinPharmR.pdf" TargetMode="External"/><Relationship Id="rId50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85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136" Type="http://schemas.openxmlformats.org/officeDocument/2006/relationships/hyperlink" Target="https://pmc.ncbi.nlm.nih.gov/articles/PMC2737845/" TargetMode="External"/><Relationship Id="rId1690" Type="http://schemas.openxmlformats.org/officeDocument/2006/relationships/hyperlink" Target="https://www.mdpi.com/1999-4923/16/11/1449" TargetMode="External"/><Relationship Id="rId713" Type="http://schemas.openxmlformats.org/officeDocument/2006/relationships/hyperlink" Target="https://accpjournals.onlinelibrary.wiley.com/doi/pdfdirect/10.1002/phar.1458" TargetMode="External"/><Relationship Id="rId92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43" Type="http://schemas.openxmlformats.org/officeDocument/2006/relationships/hyperlink" Target="https://www.ema.europa.eu/en/documents/assessment-report/deltyba-epar-public-assessment-report_en.pdf" TargetMode="External"/><Relationship Id="rId1550" Type="http://schemas.openxmlformats.org/officeDocument/2006/relationships/hyperlink" Target="https://pmc.ncbi.nlm.nih.gov/articles/PMC1087638/" TargetMode="External"/><Relationship Id="rId1648" Type="http://schemas.openxmlformats.org/officeDocument/2006/relationships/hyperlink" Target="https://pmc.ncbi.nlm.nih.gov/articles/PMC1087638/" TargetMode="External"/><Relationship Id="rId1203" Type="http://schemas.openxmlformats.org/officeDocument/2006/relationships/hyperlink" Target="https://pmc.ncbi.nlm.nih.gov/articles/PMC2737845/" TargetMode="External"/><Relationship Id="rId1410" Type="http://schemas.openxmlformats.org/officeDocument/2006/relationships/hyperlink" Target="https://www.ema.europa.eu/en/documents/assessment-report/deltyba-epar-public-assessment-report_en.pdf" TargetMode="External"/><Relationship Id="rId1508" Type="http://schemas.openxmlformats.org/officeDocument/2006/relationships/hyperlink" Target="https://bpspubs.onlinelibrary.wiley.com/doi/10.1111/bcp.15672" TargetMode="External"/><Relationship Id="rId1715" Type="http://schemas.openxmlformats.org/officeDocument/2006/relationships/hyperlink" Target="https://www.mdpi.com/1999-4923/16/11/1449" TargetMode="External"/><Relationship Id="rId296" Type="http://schemas.openxmlformats.org/officeDocument/2006/relationships/hyperlink" Target="https://journals.asm.org/doi/epub/10.1128/aac.01418-13?src=getftr&amp;utm_source=wiley&amp;getft_integrator=wiley" TargetMode="External"/><Relationship Id="rId156" Type="http://schemas.openxmlformats.org/officeDocument/2006/relationships/hyperlink" Target="https://www.accessdata.fda.gov/drugsatfda_docs/nda/99/21-085_Avelox_biopharmr.pdf" TargetMode="External"/><Relationship Id="rId363" Type="http://schemas.openxmlformats.org/officeDocument/2006/relationships/hyperlink" Target="https://www.ema.europa.eu/en/documents/assessment-report/sirturo-epar-public-assessment-report_en.pdf" TargetMode="External"/><Relationship Id="rId570" Type="http://schemas.openxmlformats.org/officeDocument/2006/relationships/hyperlink" Target="https://accpjournals.onlinelibrary.wiley.com/doi/pdfdirect/10.1002/phar.1337" TargetMode="External"/><Relationship Id="rId223" Type="http://schemas.openxmlformats.org/officeDocument/2006/relationships/hyperlink" Target="https://www.accessdata.fda.gov/drugsatfda_docs/nda/2012/204384Orig1s000ClinPharmR.pdf" TargetMode="External"/><Relationship Id="rId430" Type="http://schemas.openxmlformats.org/officeDocument/2006/relationships/hyperlink" Target="https://citeseerx.ist.psu.edu/document?repid=rep1&amp;type=pdf&amp;doi=d4e42f0fb6287c2b204645dab694010d2388ef25" TargetMode="External"/><Relationship Id="rId668" Type="http://schemas.openxmlformats.org/officeDocument/2006/relationships/hyperlink" Target="https://pmc.ncbi.nlm.nih.gov/articles/PMC4249404/" TargetMode="External"/><Relationship Id="rId87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60" Type="http://schemas.openxmlformats.org/officeDocument/2006/relationships/hyperlink" Target="https://pmc.ncbi.nlm.nih.gov/articles/PMC2737845/" TargetMode="External"/><Relationship Id="rId1298" Type="http://schemas.openxmlformats.org/officeDocument/2006/relationships/hyperlink" Target="https://www.ema.europa.eu/en/documents/assessment-report/deltyba-epar-public-assessment-report_en.pdf" TargetMode="External"/><Relationship Id="rId528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35" Type="http://schemas.openxmlformats.org/officeDocument/2006/relationships/hyperlink" Target="https://pmc.ncbi.nlm.nih.gov/articles/PMC4249404/" TargetMode="External"/><Relationship Id="rId94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58" Type="http://schemas.openxmlformats.org/officeDocument/2006/relationships/hyperlink" Target="https://pmc.ncbi.nlm.nih.gov/articles/PMC2737845/" TargetMode="External"/><Relationship Id="rId1365" Type="http://schemas.openxmlformats.org/officeDocument/2006/relationships/hyperlink" Target="https://www.ema.europa.eu/en/documents/assessment-report/deltyba-epar-public-assessment-report_en.pdf" TargetMode="External"/><Relationship Id="rId1572" Type="http://schemas.openxmlformats.org/officeDocument/2006/relationships/hyperlink" Target="https://pmc.ncbi.nlm.nih.gov/articles/PMC1087638/" TargetMode="External"/><Relationship Id="rId101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25" Type="http://schemas.openxmlformats.org/officeDocument/2006/relationships/hyperlink" Target="https://pmc.ncbi.nlm.nih.gov/articles/PMC3811266/" TargetMode="External"/><Relationship Id="rId1432" Type="http://schemas.openxmlformats.org/officeDocument/2006/relationships/hyperlink" Target="https://www.ema.europa.eu/en/documents/assessment-report/deltyba-epar-public-assessment-report_en.pdf" TargetMode="External"/><Relationship Id="rId71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80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73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9" Type="http://schemas.openxmlformats.org/officeDocument/2006/relationships/hyperlink" Target="https://www.accessdata.fda.gov/drugsatfda_docs/anda/97/064150review.pdf" TargetMode="External"/><Relationship Id="rId178" Type="http://schemas.openxmlformats.org/officeDocument/2006/relationships/hyperlink" Target="https://www.accessdata.fda.gov/drugsatfda_docs/label/2016/021085s063lbl.pdf" TargetMode="External"/><Relationship Id="rId385" Type="http://schemas.openxmlformats.org/officeDocument/2006/relationships/hyperlink" Target="https://citeseerx.ist.psu.edu/document?repid=rep1&amp;type=pdf&amp;doi=d4e42f0fb6287c2b204645dab694010d2388ef25" TargetMode="External"/><Relationship Id="rId592" Type="http://schemas.openxmlformats.org/officeDocument/2006/relationships/hyperlink" Target="https://accpjournals.onlinelibrary.wiley.com/doi/pdfdirect/10.1002/phar.1337" TargetMode="External"/><Relationship Id="rId245" Type="http://schemas.openxmlformats.org/officeDocument/2006/relationships/hyperlink" Target="https://www.accessdata.fda.gov/drugsatfda_docs/nda/2012/204384Orig1s000ClinPharmR.pdf" TargetMode="External"/><Relationship Id="rId452" Type="http://schemas.openxmlformats.org/officeDocument/2006/relationships/hyperlink" Target="https://citeseerx.ist.psu.edu/document?repid=rep1&amp;type=pdf&amp;doi=d4e42f0fb6287c2b204645dab694010d2388ef25" TargetMode="External"/><Relationship Id="rId89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82" Type="http://schemas.openxmlformats.org/officeDocument/2006/relationships/hyperlink" Target="https://pmc.ncbi.nlm.nih.gov/articles/PMC2737845/" TargetMode="External"/><Relationship Id="rId105" Type="http://schemas.openxmlformats.org/officeDocument/2006/relationships/hyperlink" Target="https://www.accessdata.fda.gov/drugsatfda_docs/nda/99/21-085_Avelox_biopharmr.pdf" TargetMode="External"/><Relationship Id="rId312" Type="http://schemas.openxmlformats.org/officeDocument/2006/relationships/hyperlink" Target="https://www.accessdata.fda.gov/drugsatfda_docs/nda/2012/204384Orig1s000ClinPharmR.pdf" TargetMode="External"/><Relationship Id="rId757" Type="http://schemas.openxmlformats.org/officeDocument/2006/relationships/hyperlink" Target="https://accpjournals.onlinelibrary.wiley.com/doi/pdfdirect/10.1002/phar.1337" TargetMode="External"/><Relationship Id="rId96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87" Type="http://schemas.openxmlformats.org/officeDocument/2006/relationships/hyperlink" Target="https://www.ema.europa.eu/en/documents/assessment-report/deltyba-epar-public-assessment-report_en.pdf" TargetMode="External"/><Relationship Id="rId1594" Type="http://schemas.openxmlformats.org/officeDocument/2006/relationships/hyperlink" Target="https://citeseerx.ist.psu.edu/document?repid=rep1&amp;type=pdf&amp;doi=c986b50db0b4fc8265f37a7be5a827282690abfa" TargetMode="External"/><Relationship Id="rId93" Type="http://schemas.openxmlformats.org/officeDocument/2006/relationships/hyperlink" Target="https://www.accessdata.fda.gov/drugsatfda_docs/nda/99/21-085_Avelox_biopharmr.pdf" TargetMode="External"/><Relationship Id="rId617" Type="http://schemas.openxmlformats.org/officeDocument/2006/relationships/hyperlink" Target="https://accpjournals.onlinelibrary.wiley.com/doi/pdfdirect/10.1002/phar.1337" TargetMode="External"/><Relationship Id="rId82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47" Type="http://schemas.openxmlformats.org/officeDocument/2006/relationships/hyperlink" Target="https://pmc.ncbi.nlm.nih.gov/articles/PMC3811266/" TargetMode="External"/><Relationship Id="rId1454" Type="http://schemas.openxmlformats.org/officeDocument/2006/relationships/hyperlink" Target="https://www.ema.europa.eu/en/documents/assessment-report/deltyba-epar-public-assessment-report_en.pdf" TargetMode="External"/><Relationship Id="rId1661" Type="http://schemas.openxmlformats.org/officeDocument/2006/relationships/hyperlink" Target="https://pmc.ncbi.nlm.nih.gov/articles/PMC1087638/" TargetMode="External"/><Relationship Id="rId1107" Type="http://schemas.openxmlformats.org/officeDocument/2006/relationships/hyperlink" Target="https://pmc.ncbi.nlm.nih.gov/articles/PMC2737845/" TargetMode="External"/><Relationship Id="rId1314" Type="http://schemas.openxmlformats.org/officeDocument/2006/relationships/hyperlink" Target="https://www.ema.europa.eu/en/documents/assessment-report/deltyba-epar-public-assessment-report_en.pdf" TargetMode="External"/><Relationship Id="rId1521" Type="http://schemas.openxmlformats.org/officeDocument/2006/relationships/hyperlink" Target="https://citeseerx.ist.psu.edu/document?repid=rep1&amp;type=pdf&amp;doi=5b8c4c32934f844c9acab90c2be0e0fd59b801de" TargetMode="External"/><Relationship Id="rId1619" Type="http://schemas.openxmlformats.org/officeDocument/2006/relationships/hyperlink" Target="https://pmc.ncbi.nlm.nih.gov/articles/PMC1087638/" TargetMode="External"/><Relationship Id="rId20" Type="http://schemas.openxmlformats.org/officeDocument/2006/relationships/hyperlink" Target="https://www.accessdata.fda.gov/drugsatfda_docs/anda/97/064150review.pdf" TargetMode="External"/><Relationship Id="rId267" Type="http://schemas.openxmlformats.org/officeDocument/2006/relationships/hyperlink" Target="https://journals.asm.org/doi/epub/10.1128/aac.01418-13?src=getftr&amp;utm_source=wiley&amp;getft_integrator=wiley" TargetMode="External"/><Relationship Id="rId474" Type="http://schemas.openxmlformats.org/officeDocument/2006/relationships/hyperlink" Target="https://citeseerx.ist.psu.edu/document?repid=rep1&amp;type=pdf&amp;doi=d4e42f0fb6287c2b204645dab694010d2388ef25" TargetMode="External"/><Relationship Id="rId127" Type="http://schemas.openxmlformats.org/officeDocument/2006/relationships/hyperlink" Target="https://www.accessdata.fda.gov/drugsatfda_docs/nda/99/21-085_Avelox_biopharmr.pdf" TargetMode="External"/><Relationship Id="rId681" Type="http://schemas.openxmlformats.org/officeDocument/2006/relationships/hyperlink" Target="https://accpjournals.onlinelibrary.wiley.com/doi/pdfdirect/10.1002/phar.1458" TargetMode="External"/><Relationship Id="rId779" Type="http://schemas.openxmlformats.org/officeDocument/2006/relationships/hyperlink" Target="https://accpjournals.onlinelibrary.wiley.com/doi/pdfdirect/10.1002/phar.1458" TargetMode="External"/><Relationship Id="rId98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34" Type="http://schemas.openxmlformats.org/officeDocument/2006/relationships/hyperlink" Target="https://www.accessdata.fda.gov/drugsatfda_docs/nda/2012/204384Orig1s000ClinPharmR.pdf" TargetMode="External"/><Relationship Id="rId541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39" Type="http://schemas.openxmlformats.org/officeDocument/2006/relationships/hyperlink" Target="https://accpjournals.onlinelibrary.wiley.com/doi/pdfdirect/10.1002/phar.1458" TargetMode="External"/><Relationship Id="rId1171" Type="http://schemas.openxmlformats.org/officeDocument/2006/relationships/hyperlink" Target="https://pmc.ncbi.nlm.nih.gov/articles/PMC2737845/" TargetMode="External"/><Relationship Id="rId1269" Type="http://schemas.openxmlformats.org/officeDocument/2006/relationships/hyperlink" Target="https://pmc.ncbi.nlm.nih.gov/articles/PMC2737845/" TargetMode="External"/><Relationship Id="rId1476" Type="http://schemas.openxmlformats.org/officeDocument/2006/relationships/hyperlink" Target="https://bpspubs.onlinelibrary.wiley.com/doi/10.1111/bcp.15672" TargetMode="External"/><Relationship Id="rId401" Type="http://schemas.openxmlformats.org/officeDocument/2006/relationships/hyperlink" Target="https://citeseerx.ist.psu.edu/document?repid=rep1&amp;type=pdf&amp;doi=588491a8cc19861703f56475ca7cd78fee681b81" TargetMode="External"/><Relationship Id="rId846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31" Type="http://schemas.openxmlformats.org/officeDocument/2006/relationships/hyperlink" Target="https://pmc.ncbi.nlm.nih.gov/articles/PMC6544242/" TargetMode="External"/><Relationship Id="rId1129" Type="http://schemas.openxmlformats.org/officeDocument/2006/relationships/hyperlink" Target="https://pmc.ncbi.nlm.nih.gov/articles/PMC2737845/" TargetMode="External"/><Relationship Id="rId1683" Type="http://schemas.openxmlformats.org/officeDocument/2006/relationships/hyperlink" Target="https://citeseerx.ist.psu.edu/document?repid=rep1&amp;type=pdf&amp;doi=c986b50db0b4fc8265f37a7be5a827282690abfa" TargetMode="External"/><Relationship Id="rId706" Type="http://schemas.openxmlformats.org/officeDocument/2006/relationships/hyperlink" Target="https://accpjournals.onlinelibrary.wiley.com/doi/pdfdirect/10.1002/phar.1458" TargetMode="External"/><Relationship Id="rId91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36" Type="http://schemas.openxmlformats.org/officeDocument/2006/relationships/hyperlink" Target="https://www.ema.europa.eu/en/documents/assessment-report/deltyba-epar-public-assessment-report_en.pdf" TargetMode="External"/><Relationship Id="rId1543" Type="http://schemas.openxmlformats.org/officeDocument/2006/relationships/hyperlink" Target="https://pmc.ncbi.nlm.nih.gov/articles/PMC1087638/" TargetMode="External"/><Relationship Id="rId175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42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403" Type="http://schemas.openxmlformats.org/officeDocument/2006/relationships/hyperlink" Target="https://www.ema.europa.eu/en/documents/assessment-report/deltyba-epar-public-assessment-report_en.pdf" TargetMode="External"/><Relationship Id="rId1610" Type="http://schemas.openxmlformats.org/officeDocument/2006/relationships/hyperlink" Target="https://pmc.ncbi.nlm.nih.gov/articles/PMC1087638/" TargetMode="External"/><Relationship Id="rId191" Type="http://schemas.openxmlformats.org/officeDocument/2006/relationships/hyperlink" Target="https://www.accessdata.fda.gov/drugsatfda_docs/nda/99/21-085_Avelox_biopharmr.pdf" TargetMode="External"/><Relationship Id="rId1708" Type="http://schemas.openxmlformats.org/officeDocument/2006/relationships/hyperlink" Target="https://www.mdpi.com/1999-4923/16/11/1449" TargetMode="External"/><Relationship Id="rId289" Type="http://schemas.openxmlformats.org/officeDocument/2006/relationships/hyperlink" Target="https://journals.asm.org/doi/epub/10.1128/aac.01418-13?src=getftr&amp;utm_source=wiley&amp;getft_integrator=wiley" TargetMode="External"/><Relationship Id="rId49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49" Type="http://schemas.openxmlformats.org/officeDocument/2006/relationships/hyperlink" Target="https://www.accessdata.fda.gov/drugsatfda_docs/nda/99/21-085_Avelox_biopharmr.pdf" TargetMode="External"/><Relationship Id="rId356" Type="http://schemas.openxmlformats.org/officeDocument/2006/relationships/hyperlink" Target="https://www.ema.europa.eu/en/documents/assessment-report/sirturo-epar-public-assessment-report_en.pdf" TargetMode="External"/><Relationship Id="rId563" Type="http://schemas.openxmlformats.org/officeDocument/2006/relationships/hyperlink" Target="https://accpjournals.onlinelibrary.wiley.com/doi/pdfdirect/10.1002/phar.1337" TargetMode="External"/><Relationship Id="rId770" Type="http://schemas.openxmlformats.org/officeDocument/2006/relationships/hyperlink" Target="https://accpjournals.onlinelibrary.wiley.com/doi/pdfdirect/10.1002/phar.1458" TargetMode="External"/><Relationship Id="rId1193" Type="http://schemas.openxmlformats.org/officeDocument/2006/relationships/hyperlink" Target="https://pmc.ncbi.nlm.nih.gov/articles/PMC2737845/" TargetMode="External"/><Relationship Id="rId216" Type="http://schemas.openxmlformats.org/officeDocument/2006/relationships/hyperlink" Target="https://www.accessdata.fda.gov/drugsatfda_docs/nda/2012/204384Orig1s000ClinPharmR.pdf" TargetMode="External"/><Relationship Id="rId423" Type="http://schemas.openxmlformats.org/officeDocument/2006/relationships/hyperlink" Target="https://citeseerx.ist.psu.edu/document?repid=rep1&amp;type=pdf&amp;doi=d4e42f0fb6287c2b204645dab694010d2388ef25" TargetMode="External"/><Relationship Id="rId868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53" Type="http://schemas.openxmlformats.org/officeDocument/2006/relationships/hyperlink" Target="https://pmc.ncbi.nlm.nih.gov/articles/PMC2737845/" TargetMode="External"/><Relationship Id="rId1260" Type="http://schemas.openxmlformats.org/officeDocument/2006/relationships/hyperlink" Target="https://pmc.ncbi.nlm.nih.gov/articles/PMC2737845/" TargetMode="External"/><Relationship Id="rId1498" Type="http://schemas.openxmlformats.org/officeDocument/2006/relationships/hyperlink" Target="https://bpspubs.onlinelibrary.wiley.com/doi/10.1111/bcp.15672" TargetMode="External"/><Relationship Id="rId630" Type="http://schemas.openxmlformats.org/officeDocument/2006/relationships/hyperlink" Target="https://accpjournals.onlinelibrary.wiley.com/doi/pdfdirect/10.1002/phar.1337" TargetMode="External"/><Relationship Id="rId728" Type="http://schemas.openxmlformats.org/officeDocument/2006/relationships/hyperlink" Target="https://pmc.ncbi.nlm.nih.gov/articles/PMC4249404/" TargetMode="External"/><Relationship Id="rId93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58" Type="http://schemas.openxmlformats.org/officeDocument/2006/relationships/hyperlink" Target="https://www.ema.europa.eu/en/documents/assessment-report/deltyba-epar-public-assessment-report_en.pdf" TargetMode="External"/><Relationship Id="rId1565" Type="http://schemas.openxmlformats.org/officeDocument/2006/relationships/hyperlink" Target="https://pmc.ncbi.nlm.nih.gov/articles/PMC1087638/" TargetMode="External"/><Relationship Id="rId64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120" Type="http://schemas.openxmlformats.org/officeDocument/2006/relationships/hyperlink" Target="https://pmc.ncbi.nlm.nih.gov/articles/PMC2737845/" TargetMode="External"/><Relationship Id="rId1218" Type="http://schemas.openxmlformats.org/officeDocument/2006/relationships/hyperlink" Target="https://pmc.ncbi.nlm.nih.gov/articles/PMC3811266/" TargetMode="External"/><Relationship Id="rId1425" Type="http://schemas.openxmlformats.org/officeDocument/2006/relationships/hyperlink" Target="https://www.ema.europa.eu/en/documents/assessment-report/deltyba-epar-public-assessment-report_en.pdf" TargetMode="External"/><Relationship Id="rId1632" Type="http://schemas.openxmlformats.org/officeDocument/2006/relationships/hyperlink" Target="https://pmc.ncbi.nlm.nih.gov/articles/PMC1087638/" TargetMode="External"/><Relationship Id="rId280" Type="http://schemas.openxmlformats.org/officeDocument/2006/relationships/hyperlink" Target="https://journals.asm.org/doi/epub/10.1128/aac.01418-13?src=getftr&amp;utm_source=wiley&amp;getft_integrator=wiley" TargetMode="External"/><Relationship Id="rId140" Type="http://schemas.openxmlformats.org/officeDocument/2006/relationships/hyperlink" Target="https://www.accessdata.fda.gov/drugsatfda_docs/nda/99/21-085_Avelox_biopharmr.pdf" TargetMode="External"/><Relationship Id="rId378" Type="http://schemas.openxmlformats.org/officeDocument/2006/relationships/hyperlink" Target="https://www.ema.europa.eu/en/documents/assessment-report/sirturo-epar-public-assessment-report_en.pdf" TargetMode="External"/><Relationship Id="rId585" Type="http://schemas.openxmlformats.org/officeDocument/2006/relationships/hyperlink" Target="https://accpjournals.onlinelibrary.wiley.com/doi/pdfdirect/10.1002/phar.1337" TargetMode="External"/><Relationship Id="rId792" Type="http://schemas.openxmlformats.org/officeDocument/2006/relationships/hyperlink" Target="https://accpjournals.onlinelibrary.wiley.com/doi/pdfdirect/10.1002/phar.1458" TargetMode="External"/><Relationship Id="rId6" Type="http://schemas.openxmlformats.org/officeDocument/2006/relationships/hyperlink" Target="https://www.accessdata.fda.gov/drugsatfda_docs/label/2013/050420s075,050627s014lbl.pdf" TargetMode="External"/><Relationship Id="rId238" Type="http://schemas.openxmlformats.org/officeDocument/2006/relationships/hyperlink" Target="https://www.accessdata.fda.gov/drugsatfda_docs/nda/2012/204384Orig1s000ClinPharmR.pdf" TargetMode="External"/><Relationship Id="rId445" Type="http://schemas.openxmlformats.org/officeDocument/2006/relationships/hyperlink" Target="https://citeseerx.ist.psu.edu/document?repid=rep1&amp;type=pdf&amp;doi=d4e42f0fb6287c2b204645dab694010d2388ef25" TargetMode="External"/><Relationship Id="rId652" Type="http://schemas.openxmlformats.org/officeDocument/2006/relationships/hyperlink" Target="https://accpjournals.onlinelibrary.wiley.com/doi/pdfdirect/10.1002/phar.1458" TargetMode="External"/><Relationship Id="rId1075" Type="http://schemas.openxmlformats.org/officeDocument/2006/relationships/hyperlink" Target="https://pmc.ncbi.nlm.nih.gov/articles/PMC2737845/" TargetMode="External"/><Relationship Id="rId1282" Type="http://schemas.openxmlformats.org/officeDocument/2006/relationships/hyperlink" Target="https://pmc.ncbi.nlm.nih.gov/articles/PMC2737845/" TargetMode="External"/><Relationship Id="rId305" Type="http://schemas.openxmlformats.org/officeDocument/2006/relationships/hyperlink" Target="https://journals.asm.org/doi/epub/10.1128/aac.01418-13?src=getftr&amp;utm_source=wiley&amp;getft_integrator=wiley" TargetMode="External"/><Relationship Id="rId512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5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42" Type="http://schemas.openxmlformats.org/officeDocument/2006/relationships/hyperlink" Target="https://pmc.ncbi.nlm.nih.gov/articles/PMC2737845/" TargetMode="External"/><Relationship Id="rId1587" Type="http://schemas.openxmlformats.org/officeDocument/2006/relationships/hyperlink" Target="https://citeseerx.ist.psu.edu/document?repid=rep1&amp;type=pdf&amp;doi=c986b50db0b4fc8265f37a7be5a827282690abfa" TargetMode="External"/><Relationship Id="rId86" Type="http://schemas.openxmlformats.org/officeDocument/2006/relationships/hyperlink" Target="https://www.accessdata.fda.gov/drugsatfda_docs/label/2016/021085s063lbl.pdf" TargetMode="External"/><Relationship Id="rId817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0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47" Type="http://schemas.openxmlformats.org/officeDocument/2006/relationships/hyperlink" Target="https://www.ema.europa.eu/en/documents/assessment-report/deltyba-epar-public-assessment-report_en.pdf" TargetMode="External"/><Relationship Id="rId1654" Type="http://schemas.openxmlformats.org/officeDocument/2006/relationships/hyperlink" Target="https://pmc.ncbi.nlm.nih.gov/articles/PMC1087638/" TargetMode="External"/><Relationship Id="rId1307" Type="http://schemas.openxmlformats.org/officeDocument/2006/relationships/hyperlink" Target="https://www.ema.europa.eu/en/documents/assessment-report/deltyba-epar-public-assessment-report_en.pdf" TargetMode="External"/><Relationship Id="rId1514" Type="http://schemas.openxmlformats.org/officeDocument/2006/relationships/hyperlink" Target="https://pmc.ncbi.nlm.nih.gov/articles/PMC1087638/" TargetMode="External"/><Relationship Id="rId172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" Type="http://schemas.openxmlformats.org/officeDocument/2006/relationships/hyperlink" Target="https://www.accessdata.fda.gov/drugsatfda_docs/anda/97/064150review.pdf" TargetMode="External"/><Relationship Id="rId162" Type="http://schemas.openxmlformats.org/officeDocument/2006/relationships/hyperlink" Target="https://www.accessdata.fda.gov/drugsatfda_docs/nda/99/21-085_Avelox_biopharmr.pdf" TargetMode="External"/><Relationship Id="rId467" Type="http://schemas.openxmlformats.org/officeDocument/2006/relationships/hyperlink" Target="https://citeseerx.ist.psu.edu/document?repid=rep1&amp;type=pdf&amp;doi=d4e42f0fb6287c2b204645dab694010d2388ef25" TargetMode="External"/><Relationship Id="rId1097" Type="http://schemas.openxmlformats.org/officeDocument/2006/relationships/hyperlink" Target="https://pmc.ncbi.nlm.nih.gov/articles/PMC2737845/" TargetMode="External"/><Relationship Id="rId674" Type="http://schemas.openxmlformats.org/officeDocument/2006/relationships/hyperlink" Target="https://pmc.ncbi.nlm.nih.gov/articles/PMC4249404/" TargetMode="External"/><Relationship Id="rId88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97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27" Type="http://schemas.openxmlformats.org/officeDocument/2006/relationships/hyperlink" Target="https://www.accessdata.fda.gov/drugsatfda_docs/nda/2012/204384Orig1s000ClinPharmR.pdf" TargetMode="External"/><Relationship Id="rId534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41" Type="http://schemas.openxmlformats.org/officeDocument/2006/relationships/hyperlink" Target="https://pmc.ncbi.nlm.nih.gov/articles/PMC4249404/" TargetMode="External"/><Relationship Id="rId839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164" Type="http://schemas.openxmlformats.org/officeDocument/2006/relationships/hyperlink" Target="https://pmc.ncbi.nlm.nih.gov/articles/PMC2737845/" TargetMode="External"/><Relationship Id="rId1371" Type="http://schemas.openxmlformats.org/officeDocument/2006/relationships/hyperlink" Target="https://www.ema.europa.eu/en/documents/assessment-report/deltyba-epar-public-assessment-report_en.pdf" TargetMode="External"/><Relationship Id="rId1469" Type="http://schemas.openxmlformats.org/officeDocument/2006/relationships/hyperlink" Target="https://bpspubs.onlinelibrary.wiley.com/doi/10.1111/bcp.15672" TargetMode="External"/><Relationship Id="rId601" Type="http://schemas.openxmlformats.org/officeDocument/2006/relationships/hyperlink" Target="https://accpjournals.onlinelibrary.wiley.com/doi/pdfdirect/10.1002/phar.1337" TargetMode="External"/><Relationship Id="rId102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31" Type="http://schemas.openxmlformats.org/officeDocument/2006/relationships/hyperlink" Target="https://pmc.ncbi.nlm.nih.gov/articles/PMC3811266/" TargetMode="External"/><Relationship Id="rId1676" Type="http://schemas.openxmlformats.org/officeDocument/2006/relationships/hyperlink" Target="https://pmc.ncbi.nlm.nih.gov/articles/PMC1087638/" TargetMode="External"/><Relationship Id="rId90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29" Type="http://schemas.openxmlformats.org/officeDocument/2006/relationships/hyperlink" Target="https://www.ema.europa.eu/en/documents/assessment-report/deltyba-epar-public-assessment-report_en.pdf" TargetMode="External"/><Relationship Id="rId1536" Type="http://schemas.openxmlformats.org/officeDocument/2006/relationships/hyperlink" Target="https://pmc.ncbi.nlm.nih.gov/articles/PMC1087638/" TargetMode="External"/><Relationship Id="rId174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5" Type="http://schemas.openxmlformats.org/officeDocument/2006/relationships/hyperlink" Target="https://www.accessdata.fda.gov/drugsatfda_docs/anda/97/064150review.pdf" TargetMode="External"/><Relationship Id="rId1603" Type="http://schemas.openxmlformats.org/officeDocument/2006/relationships/hyperlink" Target="https://pmc.ncbi.nlm.nih.gov/articles/PMC1087638/" TargetMode="External"/><Relationship Id="rId184" Type="http://schemas.openxmlformats.org/officeDocument/2006/relationships/hyperlink" Target="https://www.accessdata.fda.gov/drugsatfda_docs/label/2016/021085s063lbl.pdf" TargetMode="External"/><Relationship Id="rId391" Type="http://schemas.openxmlformats.org/officeDocument/2006/relationships/hyperlink" Target="https://citeseerx.ist.psu.edu/document?repid=rep1&amp;type=pdf&amp;doi=588491a8cc19861703f56475ca7cd78fee681b81" TargetMode="External"/><Relationship Id="rId251" Type="http://schemas.openxmlformats.org/officeDocument/2006/relationships/hyperlink" Target="https://www.ema.europa.eu/en/documents/assessment-report/sirturo-epar-public-assessment-report_en.pdf" TargetMode="External"/><Relationship Id="rId489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96" Type="http://schemas.openxmlformats.org/officeDocument/2006/relationships/hyperlink" Target="https://accpjournals.onlinelibrary.wiley.com/doi/pdfdirect/10.1002/phar.1458" TargetMode="External"/><Relationship Id="rId349" Type="http://schemas.openxmlformats.org/officeDocument/2006/relationships/hyperlink" Target="https://www.ema.europa.eu/en/documents/assessment-report/sirturo-epar-public-assessment-report_en.pdf" TargetMode="External"/><Relationship Id="rId556" Type="http://schemas.openxmlformats.org/officeDocument/2006/relationships/hyperlink" Target="https://accpjournals.onlinelibrary.wiley.com/doi/pdfdirect/10.1002/phar.1337" TargetMode="External"/><Relationship Id="rId763" Type="http://schemas.openxmlformats.org/officeDocument/2006/relationships/hyperlink" Target="https://accpjournals.onlinelibrary.wiley.com/doi/pdfdirect/10.1002/phar.1337" TargetMode="External"/><Relationship Id="rId1186" Type="http://schemas.openxmlformats.org/officeDocument/2006/relationships/hyperlink" Target="https://pmc.ncbi.nlm.nih.gov/articles/PMC2737845/" TargetMode="External"/><Relationship Id="rId1393" Type="http://schemas.openxmlformats.org/officeDocument/2006/relationships/hyperlink" Target="https://www.ema.europa.eu/en/documents/assessment-report/deltyba-epar-public-assessment-report_en.pdf" TargetMode="External"/><Relationship Id="rId111" Type="http://schemas.openxmlformats.org/officeDocument/2006/relationships/hyperlink" Target="https://www.accessdata.fda.gov/drugsatfda_docs/nda/99/21-085_Avelox_biopharmr.pdf" TargetMode="External"/><Relationship Id="rId209" Type="http://schemas.openxmlformats.org/officeDocument/2006/relationships/hyperlink" Target="https://www.accessdata.fda.gov/drugsatfda_docs/nda/2012/204384Orig1s000ClinPharmR.pdf" TargetMode="External"/><Relationship Id="rId416" Type="http://schemas.openxmlformats.org/officeDocument/2006/relationships/hyperlink" Target="https://citeseerx.ist.psu.edu/document?repid=rep1&amp;type=pdf&amp;doi=d4e42f0fb6287c2b204645dab694010d2388ef25" TargetMode="External"/><Relationship Id="rId97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46" Type="http://schemas.openxmlformats.org/officeDocument/2006/relationships/hyperlink" Target="https://serval.unil.ch/resource/serval:BIB_405A2D6AF487.P001/REF.pdf" TargetMode="External"/><Relationship Id="rId1253" Type="http://schemas.openxmlformats.org/officeDocument/2006/relationships/hyperlink" Target="https://pmc.ncbi.nlm.nih.gov/articles/PMC2737845/" TargetMode="External"/><Relationship Id="rId1698" Type="http://schemas.openxmlformats.org/officeDocument/2006/relationships/hyperlink" Target="https://www.mdpi.com/1999-4923/16/11/1449" TargetMode="External"/><Relationship Id="rId623" Type="http://schemas.openxmlformats.org/officeDocument/2006/relationships/hyperlink" Target="https://accpjournals.onlinelibrary.wiley.com/doi/pdfdirect/10.1002/phar.1337" TargetMode="External"/><Relationship Id="rId83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2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60" Type="http://schemas.openxmlformats.org/officeDocument/2006/relationships/hyperlink" Target="https://www.ema.europa.eu/en/documents/assessment-report/deltyba-epar-public-assessment-report_en.pdf" TargetMode="External"/><Relationship Id="rId1558" Type="http://schemas.openxmlformats.org/officeDocument/2006/relationships/hyperlink" Target="https://pmc.ncbi.nlm.nih.gov/articles/PMC1087638/" TargetMode="External"/><Relationship Id="rId57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113" Type="http://schemas.openxmlformats.org/officeDocument/2006/relationships/hyperlink" Target="https://pmc.ncbi.nlm.nih.gov/articles/PMC2737845/" TargetMode="External"/><Relationship Id="rId1320" Type="http://schemas.openxmlformats.org/officeDocument/2006/relationships/hyperlink" Target="https://www.ema.europa.eu/en/documents/assessment-report/deltyba-epar-public-assessment-report_en.pdf" TargetMode="External"/><Relationship Id="rId1418" Type="http://schemas.openxmlformats.org/officeDocument/2006/relationships/hyperlink" Target="https://www.ema.europa.eu/en/documents/assessment-report/deltyba-epar-public-assessment-report_en.pdf" TargetMode="External"/><Relationship Id="rId1625" Type="http://schemas.openxmlformats.org/officeDocument/2006/relationships/hyperlink" Target="https://pmc.ncbi.nlm.nih.gov/articles/PMC1087638/" TargetMode="External"/><Relationship Id="rId273" Type="http://schemas.openxmlformats.org/officeDocument/2006/relationships/hyperlink" Target="https://journals.asm.org/doi/epub/10.1128/aac.01418-13?src=getftr&amp;utm_source=wiley&amp;getft_integrator=wiley" TargetMode="External"/><Relationship Id="rId480" Type="http://schemas.openxmlformats.org/officeDocument/2006/relationships/hyperlink" Target="https://citeseerx.ist.psu.edu/document?repid=rep1&amp;type=pdf&amp;doi=d4e42f0fb6287c2b204645dab694010d2388ef25" TargetMode="External"/><Relationship Id="rId133" Type="http://schemas.openxmlformats.org/officeDocument/2006/relationships/hyperlink" Target="https://www.accessdata.fda.gov/drugsatfda_docs/nda/99/21-085_Avelox_biopharmr.pdf" TargetMode="External"/><Relationship Id="rId340" Type="http://schemas.openxmlformats.org/officeDocument/2006/relationships/hyperlink" Target="https://www.accessdata.fda.gov/drugsatfda_docs/nda/2012/204384Orig1s000ClinPharmR.pdf" TargetMode="External"/><Relationship Id="rId578" Type="http://schemas.openxmlformats.org/officeDocument/2006/relationships/hyperlink" Target="https://accpjournals.onlinelibrary.wiley.com/doi/pdfdirect/10.1002/phar.1337" TargetMode="External"/><Relationship Id="rId785" Type="http://schemas.openxmlformats.org/officeDocument/2006/relationships/hyperlink" Target="https://accpjournals.onlinelibrary.wiley.com/doi/pdfdirect/10.1002/phar.1458" TargetMode="External"/><Relationship Id="rId99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00" Type="http://schemas.openxmlformats.org/officeDocument/2006/relationships/hyperlink" Target="https://www.accessdata.fda.gov/drugsatfda_docs/nda/2012/204384Orig1s000ClinPharmR.pdf" TargetMode="External"/><Relationship Id="rId438" Type="http://schemas.openxmlformats.org/officeDocument/2006/relationships/hyperlink" Target="https://citeseerx.ist.psu.edu/document?repid=rep1&amp;type=pdf&amp;doi=d4e42f0fb6287c2b204645dab694010d2388ef25" TargetMode="External"/><Relationship Id="rId645" Type="http://schemas.openxmlformats.org/officeDocument/2006/relationships/hyperlink" Target="https://accpjournals.onlinelibrary.wiley.com/doi/pdfdirect/10.1002/phar.1458" TargetMode="External"/><Relationship Id="rId85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68" Type="http://schemas.openxmlformats.org/officeDocument/2006/relationships/hyperlink" Target="https://pmc.ncbi.nlm.nih.gov/articles/PMC2737845/" TargetMode="External"/><Relationship Id="rId1275" Type="http://schemas.openxmlformats.org/officeDocument/2006/relationships/hyperlink" Target="https://pmc.ncbi.nlm.nih.gov/articles/PMC2737845/" TargetMode="External"/><Relationship Id="rId1482" Type="http://schemas.openxmlformats.org/officeDocument/2006/relationships/hyperlink" Target="https://bpspubs.onlinelibrary.wiley.com/doi/10.1111/bcp.15672" TargetMode="External"/><Relationship Id="rId50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12" Type="http://schemas.openxmlformats.org/officeDocument/2006/relationships/hyperlink" Target="https://accpjournals.onlinelibrary.wiley.com/doi/pdfdirect/10.1002/phar.1458" TargetMode="External"/><Relationship Id="rId1135" Type="http://schemas.openxmlformats.org/officeDocument/2006/relationships/hyperlink" Target="https://pmc.ncbi.nlm.nih.gov/articles/PMC2737845/" TargetMode="External"/><Relationship Id="rId1342" Type="http://schemas.openxmlformats.org/officeDocument/2006/relationships/hyperlink" Target="https://www.ema.europa.eu/en/documents/assessment-report/deltyba-epar-public-assessment-report_en.pdf" TargetMode="External"/><Relationship Id="rId79" Type="http://schemas.openxmlformats.org/officeDocument/2006/relationships/hyperlink" Target="https://www.accessdata.fda.gov/drugsatfda_docs/label/2016/021085s063lbl.pdf" TargetMode="External"/><Relationship Id="rId1202" Type="http://schemas.openxmlformats.org/officeDocument/2006/relationships/hyperlink" Target="https://pmc.ncbi.nlm.nih.gov/articles/PMC2737845/" TargetMode="External"/><Relationship Id="rId1647" Type="http://schemas.openxmlformats.org/officeDocument/2006/relationships/hyperlink" Target="https://pmc.ncbi.nlm.nih.gov/articles/PMC1087638/" TargetMode="External"/><Relationship Id="rId1507" Type="http://schemas.openxmlformats.org/officeDocument/2006/relationships/hyperlink" Target="https://bpspubs.onlinelibrary.wiley.com/doi/10.1111/bcp.15672" TargetMode="External"/><Relationship Id="rId1714" Type="http://schemas.openxmlformats.org/officeDocument/2006/relationships/hyperlink" Target="https://www.mdpi.com/1999-4923/16/11/1449" TargetMode="External"/><Relationship Id="rId295" Type="http://schemas.openxmlformats.org/officeDocument/2006/relationships/hyperlink" Target="https://journals.asm.org/doi/epub/10.1128/aac.01418-13?src=getftr&amp;utm_source=wiley&amp;getft_integrator=wiley" TargetMode="External"/><Relationship Id="rId155" Type="http://schemas.openxmlformats.org/officeDocument/2006/relationships/hyperlink" Target="https://www.accessdata.fda.gov/drugsatfda_docs/nda/99/21-085_Avelox_biopharmr.pdf" TargetMode="External"/><Relationship Id="rId362" Type="http://schemas.openxmlformats.org/officeDocument/2006/relationships/hyperlink" Target="https://www.ema.europa.eu/en/documents/assessment-report/sirturo-epar-public-assessment-report_en.pdf" TargetMode="External"/><Relationship Id="rId1297" Type="http://schemas.openxmlformats.org/officeDocument/2006/relationships/hyperlink" Target="https://pmc.ncbi.nlm.nih.gov/articles/PMC2737845/" TargetMode="External"/><Relationship Id="rId222" Type="http://schemas.openxmlformats.org/officeDocument/2006/relationships/hyperlink" Target="https://www.accessdata.fda.gov/drugsatfda_docs/nda/2012/204384Orig1s000ClinPharmR.pdf" TargetMode="External"/><Relationship Id="rId667" Type="http://schemas.openxmlformats.org/officeDocument/2006/relationships/hyperlink" Target="https://pmc.ncbi.nlm.nih.gov/articles/PMC4249404/" TargetMode="External"/><Relationship Id="rId87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52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34" Type="http://schemas.openxmlformats.org/officeDocument/2006/relationships/hyperlink" Target="https://pmc.ncbi.nlm.nih.gov/articles/PMC4249404/" TargetMode="External"/><Relationship Id="rId94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57" Type="http://schemas.openxmlformats.org/officeDocument/2006/relationships/hyperlink" Target="https://pmc.ncbi.nlm.nih.gov/articles/PMC2737845/" TargetMode="External"/><Relationship Id="rId1364" Type="http://schemas.openxmlformats.org/officeDocument/2006/relationships/hyperlink" Target="https://www.ema.europa.eu/en/documents/assessment-report/deltyba-epar-public-assessment-report_en.pdf" TargetMode="External"/><Relationship Id="rId1571" Type="http://schemas.openxmlformats.org/officeDocument/2006/relationships/hyperlink" Target="https://pmc.ncbi.nlm.nih.gov/articles/PMC1087638/" TargetMode="External"/><Relationship Id="rId70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80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1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24" Type="http://schemas.openxmlformats.org/officeDocument/2006/relationships/hyperlink" Target="https://pmc.ncbi.nlm.nih.gov/articles/PMC3811266/" TargetMode="External"/><Relationship Id="rId1431" Type="http://schemas.openxmlformats.org/officeDocument/2006/relationships/hyperlink" Target="https://www.ema.europa.eu/en/documents/assessment-report/deltyba-epar-public-assessment-report_en.pdf" TargetMode="External"/><Relationship Id="rId1669" Type="http://schemas.openxmlformats.org/officeDocument/2006/relationships/hyperlink" Target="https://pmc.ncbi.nlm.nih.gov/articles/PMC1087638/" TargetMode="External"/><Relationship Id="rId1529" Type="http://schemas.openxmlformats.org/officeDocument/2006/relationships/hyperlink" Target="https://journals.asm.org/doi/pdf/10.1128/aac.36.7.1532" TargetMode="External"/><Relationship Id="rId173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8" Type="http://schemas.openxmlformats.org/officeDocument/2006/relationships/hyperlink" Target="https://www.accessdata.fda.gov/drugsatfda_docs/anda/97/064150review.pdf" TargetMode="External"/><Relationship Id="rId177" Type="http://schemas.openxmlformats.org/officeDocument/2006/relationships/hyperlink" Target="https://www.accessdata.fda.gov/drugsatfda_docs/label/2016/021085s063lbl.pdf" TargetMode="External"/><Relationship Id="rId384" Type="http://schemas.openxmlformats.org/officeDocument/2006/relationships/hyperlink" Target="https://citeseerx.ist.psu.edu/document?repid=rep1&amp;type=pdf&amp;doi=d4e42f0fb6287c2b204645dab694010d2388ef25" TargetMode="External"/><Relationship Id="rId591" Type="http://schemas.openxmlformats.org/officeDocument/2006/relationships/hyperlink" Target="https://accpjournals.onlinelibrary.wiley.com/doi/pdfdirect/10.1002/phar.1337" TargetMode="External"/><Relationship Id="rId244" Type="http://schemas.openxmlformats.org/officeDocument/2006/relationships/hyperlink" Target="https://www.accessdata.fda.gov/drugsatfda_docs/nda/2012/204384Orig1s000ClinPharmR.pdf" TargetMode="External"/><Relationship Id="rId689" Type="http://schemas.openxmlformats.org/officeDocument/2006/relationships/hyperlink" Target="https://accpjournals.onlinelibrary.wiley.com/doi/pdfdirect/10.1002/phar.1458" TargetMode="External"/><Relationship Id="rId89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81" Type="http://schemas.openxmlformats.org/officeDocument/2006/relationships/hyperlink" Target="https://pmc.ncbi.nlm.nih.gov/articles/PMC2737845/" TargetMode="External"/><Relationship Id="rId451" Type="http://schemas.openxmlformats.org/officeDocument/2006/relationships/hyperlink" Target="https://citeseerx.ist.psu.edu/document?repid=rep1&amp;type=pdf&amp;doi=d4e42f0fb6287c2b204645dab694010d2388ef25" TargetMode="External"/><Relationship Id="rId549" Type="http://schemas.openxmlformats.org/officeDocument/2006/relationships/hyperlink" Target="https://accpjournals.onlinelibrary.wiley.com/doi/pdfdirect/10.1002/phar.1337" TargetMode="External"/><Relationship Id="rId756" Type="http://schemas.openxmlformats.org/officeDocument/2006/relationships/hyperlink" Target="https://accpjournals.onlinelibrary.wiley.com/doi/pdfdirect/10.1002/phar.1337" TargetMode="External"/><Relationship Id="rId1179" Type="http://schemas.openxmlformats.org/officeDocument/2006/relationships/hyperlink" Target="https://pmc.ncbi.nlm.nih.gov/articles/PMC2737845/" TargetMode="External"/><Relationship Id="rId1386" Type="http://schemas.openxmlformats.org/officeDocument/2006/relationships/hyperlink" Target="https://www.ema.europa.eu/en/documents/assessment-report/deltyba-epar-public-assessment-report_en.pdf" TargetMode="External"/><Relationship Id="rId1593" Type="http://schemas.openxmlformats.org/officeDocument/2006/relationships/hyperlink" Target="https://citeseerx.ist.psu.edu/document?repid=rep1&amp;type=pdf&amp;doi=c986b50db0b4fc8265f37a7be5a827282690abfa" TargetMode="External"/><Relationship Id="rId104" Type="http://schemas.openxmlformats.org/officeDocument/2006/relationships/hyperlink" Target="https://www.accessdata.fda.gov/drugsatfda_docs/nda/99/21-085_Avelox_biopharmr.pdf" TargetMode="External"/><Relationship Id="rId311" Type="http://schemas.openxmlformats.org/officeDocument/2006/relationships/hyperlink" Target="https://www.accessdata.fda.gov/drugsatfda_docs/nda/2012/204384Orig1s000ClinPharmR.pdf" TargetMode="External"/><Relationship Id="rId409" Type="http://schemas.openxmlformats.org/officeDocument/2006/relationships/hyperlink" Target="https://citeseerx.ist.psu.edu/document?repid=rep1&amp;type=pdf&amp;doi=588491a8cc19861703f56475ca7cd78fee681b81" TargetMode="External"/><Relationship Id="rId96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39" Type="http://schemas.openxmlformats.org/officeDocument/2006/relationships/hyperlink" Target="https://serval.unil.ch/resource/serval:BIB_405A2D6AF487.P001/REF.pdf" TargetMode="External"/><Relationship Id="rId1246" Type="http://schemas.openxmlformats.org/officeDocument/2006/relationships/hyperlink" Target="https://pmc.ncbi.nlm.nih.gov/articles/PMC3811266/" TargetMode="External"/><Relationship Id="rId92" Type="http://schemas.openxmlformats.org/officeDocument/2006/relationships/hyperlink" Target="https://www.accessdata.fda.gov/drugsatfda_docs/nda/99/21-085_Avelox_biopharmr.pdf" TargetMode="External"/><Relationship Id="rId616" Type="http://schemas.openxmlformats.org/officeDocument/2006/relationships/hyperlink" Target="https://accpjournals.onlinelibrary.wiley.com/doi/pdfdirect/10.1002/phar.1337" TargetMode="External"/><Relationship Id="rId82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453" Type="http://schemas.openxmlformats.org/officeDocument/2006/relationships/hyperlink" Target="https://www.ema.europa.eu/en/documents/assessment-report/deltyba-epar-public-assessment-report_en.pdf" TargetMode="External"/><Relationship Id="rId1660" Type="http://schemas.openxmlformats.org/officeDocument/2006/relationships/hyperlink" Target="https://pmc.ncbi.nlm.nih.gov/articles/PMC1087638/" TargetMode="External"/><Relationship Id="rId1106" Type="http://schemas.openxmlformats.org/officeDocument/2006/relationships/hyperlink" Target="https://pmc.ncbi.nlm.nih.gov/articles/PMC2737845/" TargetMode="External"/><Relationship Id="rId1313" Type="http://schemas.openxmlformats.org/officeDocument/2006/relationships/hyperlink" Target="https://www.ema.europa.eu/en/documents/assessment-report/deltyba-epar-public-assessment-report_en.pdf" TargetMode="External"/><Relationship Id="rId1520" Type="http://schemas.openxmlformats.org/officeDocument/2006/relationships/hyperlink" Target="https://citeseerx.ist.psu.edu/document?repid=rep1&amp;type=pdf&amp;doi=5b8c4c32934f844c9acab90c2be0e0fd59b801de" TargetMode="External"/><Relationship Id="rId1618" Type="http://schemas.openxmlformats.org/officeDocument/2006/relationships/hyperlink" Target="https://pmc.ncbi.nlm.nih.gov/articles/PMC1087638/" TargetMode="External"/><Relationship Id="rId199" Type="http://schemas.openxmlformats.org/officeDocument/2006/relationships/hyperlink" Target="https://www.accessdata.fda.gov/drugsatfda_docs/nda/2012/204384Orig1s000ClinPharmR.pdf" TargetMode="External"/><Relationship Id="rId266" Type="http://schemas.openxmlformats.org/officeDocument/2006/relationships/hyperlink" Target="https://journals.asm.org/doi/epub/10.1128/aac.01418-13?src=getftr&amp;utm_source=wiley&amp;getft_integrator=wiley" TargetMode="External"/><Relationship Id="rId473" Type="http://schemas.openxmlformats.org/officeDocument/2006/relationships/hyperlink" Target="https://citeseerx.ist.psu.edu/document?repid=rep1&amp;type=pdf&amp;doi=d4e42f0fb6287c2b204645dab694010d2388ef25" TargetMode="External"/><Relationship Id="rId680" Type="http://schemas.openxmlformats.org/officeDocument/2006/relationships/hyperlink" Target="https://accpjournals.onlinelibrary.wiley.com/doi/pdfdirect/10.1002/phar.1458" TargetMode="External"/><Relationship Id="rId126" Type="http://schemas.openxmlformats.org/officeDocument/2006/relationships/hyperlink" Target="https://www.accessdata.fda.gov/drugsatfda_docs/nda/99/21-085_Avelox_biopharmr.pdf" TargetMode="External"/><Relationship Id="rId333" Type="http://schemas.openxmlformats.org/officeDocument/2006/relationships/hyperlink" Target="https://www.accessdata.fda.gov/drugsatfda_docs/nda/2012/204384Orig1s000ClinPharmR.pdf" TargetMode="External"/><Relationship Id="rId540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78" Type="http://schemas.openxmlformats.org/officeDocument/2006/relationships/hyperlink" Target="https://accpjournals.onlinelibrary.wiley.com/doi/pdfdirect/10.1002/phar.1458" TargetMode="External"/><Relationship Id="rId98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70" Type="http://schemas.openxmlformats.org/officeDocument/2006/relationships/hyperlink" Target="https://pmc.ncbi.nlm.nih.gov/articles/PMC2737845/" TargetMode="External"/><Relationship Id="rId638" Type="http://schemas.openxmlformats.org/officeDocument/2006/relationships/hyperlink" Target="https://accpjournals.onlinelibrary.wiley.com/doi/pdfdirect/10.1002/phar.1458" TargetMode="External"/><Relationship Id="rId84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30" Type="http://schemas.openxmlformats.org/officeDocument/2006/relationships/hyperlink" Target="https://pmc.ncbi.nlm.nih.gov/articles/PMC6544242/" TargetMode="External"/><Relationship Id="rId1268" Type="http://schemas.openxmlformats.org/officeDocument/2006/relationships/hyperlink" Target="https://pmc.ncbi.nlm.nih.gov/articles/PMC2737845/" TargetMode="External"/><Relationship Id="rId1475" Type="http://schemas.openxmlformats.org/officeDocument/2006/relationships/hyperlink" Target="https://bpspubs.onlinelibrary.wiley.com/doi/10.1111/bcp.15672" TargetMode="External"/><Relationship Id="rId1682" Type="http://schemas.openxmlformats.org/officeDocument/2006/relationships/hyperlink" Target="https://citeseerx.ist.psu.edu/document?repid=rep1&amp;type=pdf&amp;doi=c986b50db0b4fc8265f37a7be5a827282690abfa" TargetMode="External"/><Relationship Id="rId400" Type="http://schemas.openxmlformats.org/officeDocument/2006/relationships/hyperlink" Target="https://citeseerx.ist.psu.edu/document?repid=rep1&amp;type=pdf&amp;doi=588491a8cc19861703f56475ca7cd78fee681b81" TargetMode="External"/><Relationship Id="rId705" Type="http://schemas.openxmlformats.org/officeDocument/2006/relationships/hyperlink" Target="https://accpjournals.onlinelibrary.wiley.com/doi/pdfdirect/10.1002/phar.1458" TargetMode="External"/><Relationship Id="rId1128" Type="http://schemas.openxmlformats.org/officeDocument/2006/relationships/hyperlink" Target="https://pmc.ncbi.nlm.nih.gov/articles/PMC2737845/" TargetMode="External"/><Relationship Id="rId1335" Type="http://schemas.openxmlformats.org/officeDocument/2006/relationships/hyperlink" Target="https://www.ema.europa.eu/en/documents/assessment-report/deltyba-epar-public-assessment-report_en.pdf" TargetMode="External"/><Relationship Id="rId1542" Type="http://schemas.openxmlformats.org/officeDocument/2006/relationships/hyperlink" Target="https://pmc.ncbi.nlm.nih.gov/articles/PMC1087638/" TargetMode="External"/><Relationship Id="rId91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41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402" Type="http://schemas.openxmlformats.org/officeDocument/2006/relationships/hyperlink" Target="https://www.ema.europa.eu/en/documents/assessment-report/deltyba-epar-public-assessment-report_en.pdf" TargetMode="External"/><Relationship Id="rId1707" Type="http://schemas.openxmlformats.org/officeDocument/2006/relationships/hyperlink" Target="https://www.mdpi.com/1999-4923/16/11/1449" TargetMode="External"/><Relationship Id="rId190" Type="http://schemas.openxmlformats.org/officeDocument/2006/relationships/hyperlink" Target="https://www.accessdata.fda.gov/drugsatfda_docs/nda/99/21-085_Avelox_biopharmr.pdf" TargetMode="External"/><Relationship Id="rId288" Type="http://schemas.openxmlformats.org/officeDocument/2006/relationships/hyperlink" Target="https://journals.asm.org/doi/epub/10.1128/aac.01418-13?src=getftr&amp;utm_source=wiley&amp;getft_integrator=wiley" TargetMode="External"/><Relationship Id="rId49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48" Type="http://schemas.openxmlformats.org/officeDocument/2006/relationships/hyperlink" Target="https://www.accessdata.fda.gov/drugsatfda_docs/nda/99/21-085_Avelox_biopharmr.pdf" TargetMode="External"/><Relationship Id="rId355" Type="http://schemas.openxmlformats.org/officeDocument/2006/relationships/hyperlink" Target="https://www.ema.europa.eu/en/documents/assessment-report/sirturo-epar-public-assessment-report_en.pdf" TargetMode="External"/><Relationship Id="rId562" Type="http://schemas.openxmlformats.org/officeDocument/2006/relationships/hyperlink" Target="https://accpjournals.onlinelibrary.wiley.com/doi/pdfdirect/10.1002/phar.1337" TargetMode="External"/><Relationship Id="rId1192" Type="http://schemas.openxmlformats.org/officeDocument/2006/relationships/hyperlink" Target="https://pmc.ncbi.nlm.nih.gov/articles/PMC2737845/" TargetMode="External"/><Relationship Id="rId215" Type="http://schemas.openxmlformats.org/officeDocument/2006/relationships/hyperlink" Target="https://www.accessdata.fda.gov/drugsatfda_docs/nda/2012/204384Orig1s000ClinPharmR.pdf" TargetMode="External"/><Relationship Id="rId422" Type="http://schemas.openxmlformats.org/officeDocument/2006/relationships/hyperlink" Target="https://citeseerx.ist.psu.edu/document?repid=rep1&amp;type=pdf&amp;doi=d4e42f0fb6287c2b204645dab694010d2388ef25" TargetMode="External"/><Relationship Id="rId867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52" Type="http://schemas.openxmlformats.org/officeDocument/2006/relationships/hyperlink" Target="https://pmc.ncbi.nlm.nih.gov/articles/PMC2737845/" TargetMode="External"/><Relationship Id="rId1497" Type="http://schemas.openxmlformats.org/officeDocument/2006/relationships/hyperlink" Target="https://bpspubs.onlinelibrary.wiley.com/doi/10.1111/bcp.15672" TargetMode="External"/><Relationship Id="rId727" Type="http://schemas.openxmlformats.org/officeDocument/2006/relationships/hyperlink" Target="https://accpjournals.onlinelibrary.wiley.com/doi/pdfdirect/10.1002/phar.1458" TargetMode="External"/><Relationship Id="rId93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57" Type="http://schemas.openxmlformats.org/officeDocument/2006/relationships/hyperlink" Target="https://www.ema.europa.eu/en/documents/assessment-report/deltyba-epar-public-assessment-report_en.pdf" TargetMode="External"/><Relationship Id="rId1564" Type="http://schemas.openxmlformats.org/officeDocument/2006/relationships/hyperlink" Target="https://pmc.ncbi.nlm.nih.gov/articles/PMC1087638/" TargetMode="External"/><Relationship Id="rId63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217" Type="http://schemas.openxmlformats.org/officeDocument/2006/relationships/hyperlink" Target="https://pmc.ncbi.nlm.nih.gov/articles/PMC3811266/" TargetMode="External"/><Relationship Id="rId1424" Type="http://schemas.openxmlformats.org/officeDocument/2006/relationships/hyperlink" Target="https://www.ema.europa.eu/en/documents/assessment-report/deltyba-epar-public-assessment-report_en.pdf" TargetMode="External"/><Relationship Id="rId1631" Type="http://schemas.openxmlformats.org/officeDocument/2006/relationships/hyperlink" Target="https://pmc.ncbi.nlm.nih.gov/articles/PMC1087638/" TargetMode="External"/><Relationship Id="rId172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77" Type="http://schemas.openxmlformats.org/officeDocument/2006/relationships/hyperlink" Target="https://www.ema.europa.eu/en/documents/assessment-report/sirturo-epar-public-assessment-report_en.pdf" TargetMode="External"/><Relationship Id="rId584" Type="http://schemas.openxmlformats.org/officeDocument/2006/relationships/hyperlink" Target="https://accpjournals.onlinelibrary.wiley.com/doi/pdfdirect/10.1002/phar.1337" TargetMode="External"/><Relationship Id="rId5" Type="http://schemas.openxmlformats.org/officeDocument/2006/relationships/hyperlink" Target="https://www.accessdata.fda.gov/drugsatfda_docs/label/2013/050420s075,050627s014lbl.pdf" TargetMode="External"/><Relationship Id="rId237" Type="http://schemas.openxmlformats.org/officeDocument/2006/relationships/hyperlink" Target="https://www.accessdata.fda.gov/drugsatfda_docs/nda/2012/204384Orig1s000ClinPharmR.pdf" TargetMode="External"/><Relationship Id="rId791" Type="http://schemas.openxmlformats.org/officeDocument/2006/relationships/hyperlink" Target="https://accpjournals.onlinelibrary.wiley.com/doi/pdfdirect/10.1002/phar.1458" TargetMode="External"/><Relationship Id="rId88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74" Type="http://schemas.openxmlformats.org/officeDocument/2006/relationships/hyperlink" Target="https://pmc.ncbi.nlm.nih.gov/articles/PMC2737845/" TargetMode="External"/><Relationship Id="rId444" Type="http://schemas.openxmlformats.org/officeDocument/2006/relationships/hyperlink" Target="https://citeseerx.ist.psu.edu/document?repid=rep1&amp;type=pdf&amp;doi=d4e42f0fb6287c2b204645dab694010d2388ef25" TargetMode="External"/><Relationship Id="rId651" Type="http://schemas.openxmlformats.org/officeDocument/2006/relationships/hyperlink" Target="https://accpjournals.onlinelibrary.wiley.com/doi/pdfdirect/10.1002/phar.1458" TargetMode="External"/><Relationship Id="rId749" Type="http://schemas.openxmlformats.org/officeDocument/2006/relationships/hyperlink" Target="https://pmc.ncbi.nlm.nih.gov/articles/PMC4249404/" TargetMode="External"/><Relationship Id="rId1281" Type="http://schemas.openxmlformats.org/officeDocument/2006/relationships/hyperlink" Target="https://pmc.ncbi.nlm.nih.gov/articles/PMC2737845/" TargetMode="External"/><Relationship Id="rId1379" Type="http://schemas.openxmlformats.org/officeDocument/2006/relationships/hyperlink" Target="https://www.ema.europa.eu/en/documents/assessment-report/deltyba-epar-public-assessment-report_en.pdf" TargetMode="External"/><Relationship Id="rId1586" Type="http://schemas.openxmlformats.org/officeDocument/2006/relationships/hyperlink" Target="https://citeseerx.ist.psu.edu/document?repid=rep1&amp;type=pdf&amp;doi=c986b50db0b4fc8265f37a7be5a827282690abfa" TargetMode="External"/><Relationship Id="rId304" Type="http://schemas.openxmlformats.org/officeDocument/2006/relationships/hyperlink" Target="https://journals.asm.org/doi/epub/10.1128/aac.01418-13?src=getftr&amp;utm_source=wiley&amp;getft_integrator=wiley" TargetMode="External"/><Relationship Id="rId511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09" Type="http://schemas.openxmlformats.org/officeDocument/2006/relationships/hyperlink" Target="https://accpjournals.onlinelibrary.wiley.com/doi/pdfdirect/10.1002/phar.1337" TargetMode="External"/><Relationship Id="rId95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41" Type="http://schemas.openxmlformats.org/officeDocument/2006/relationships/hyperlink" Target="https://pmc.ncbi.nlm.nih.gov/articles/PMC2737845/" TargetMode="External"/><Relationship Id="rId1239" Type="http://schemas.openxmlformats.org/officeDocument/2006/relationships/hyperlink" Target="https://pmc.ncbi.nlm.nih.gov/articles/PMC3811266/" TargetMode="External"/><Relationship Id="rId85" Type="http://schemas.openxmlformats.org/officeDocument/2006/relationships/hyperlink" Target="https://www.accessdata.fda.gov/drugsatfda_docs/label/2016/021085s063lbl.pdf" TargetMode="External"/><Relationship Id="rId816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0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46" Type="http://schemas.openxmlformats.org/officeDocument/2006/relationships/hyperlink" Target="https://www.ema.europa.eu/en/documents/assessment-report/deltyba-epar-public-assessment-report_en.pdf" TargetMode="External"/><Relationship Id="rId1653" Type="http://schemas.openxmlformats.org/officeDocument/2006/relationships/hyperlink" Target="https://pmc.ncbi.nlm.nih.gov/articles/PMC1087638/" TargetMode="External"/><Relationship Id="rId1306" Type="http://schemas.openxmlformats.org/officeDocument/2006/relationships/hyperlink" Target="https://www.ema.europa.eu/en/documents/assessment-report/deltyba-epar-public-assessment-report_en.pdf" TargetMode="External"/><Relationship Id="rId1513" Type="http://schemas.openxmlformats.org/officeDocument/2006/relationships/hyperlink" Target="https://pmc.ncbi.nlm.nih.gov/articles/PMC1087638/" TargetMode="External"/><Relationship Id="rId172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" Type="http://schemas.openxmlformats.org/officeDocument/2006/relationships/hyperlink" Target="https://www.accessdata.fda.gov/drugsatfda_docs/anda/97/064150review.pdf" TargetMode="External"/><Relationship Id="rId161" Type="http://schemas.openxmlformats.org/officeDocument/2006/relationships/hyperlink" Target="https://www.accessdata.fda.gov/drugsatfda_docs/nda/99/21-085_Avelox_biopharmr.pdf" TargetMode="External"/><Relationship Id="rId399" Type="http://schemas.openxmlformats.org/officeDocument/2006/relationships/hyperlink" Target="https://citeseerx.ist.psu.edu/document?repid=rep1&amp;type=pdf&amp;doi=588491a8cc19861703f56475ca7cd78fee681b81" TargetMode="External"/><Relationship Id="rId259" Type="http://schemas.openxmlformats.org/officeDocument/2006/relationships/hyperlink" Target="https://journals.asm.org/doi/epub/10.1128/aac.01418-13?src=getftr&amp;utm_source=wiley&amp;getft_integrator=wiley" TargetMode="External"/><Relationship Id="rId466" Type="http://schemas.openxmlformats.org/officeDocument/2006/relationships/hyperlink" Target="https://citeseerx.ist.psu.edu/document?repid=rep1&amp;type=pdf&amp;doi=d4e42f0fb6287c2b204645dab694010d2388ef25" TargetMode="External"/><Relationship Id="rId673" Type="http://schemas.openxmlformats.org/officeDocument/2006/relationships/hyperlink" Target="https://pmc.ncbi.nlm.nih.gov/articles/PMC4249404/" TargetMode="External"/><Relationship Id="rId88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96" Type="http://schemas.openxmlformats.org/officeDocument/2006/relationships/hyperlink" Target="https://pmc.ncbi.nlm.nih.gov/articles/PMC2737845/" TargetMode="External"/><Relationship Id="rId119" Type="http://schemas.openxmlformats.org/officeDocument/2006/relationships/hyperlink" Target="https://www.accessdata.fda.gov/drugsatfda_docs/nda/99/21-085_Avelox_biopharmr.pdf" TargetMode="External"/><Relationship Id="rId326" Type="http://schemas.openxmlformats.org/officeDocument/2006/relationships/hyperlink" Target="https://www.accessdata.fda.gov/drugsatfda_docs/nda/2012/204384Orig1s000ClinPharmR.pdf" TargetMode="External"/><Relationship Id="rId533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7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63" Type="http://schemas.openxmlformats.org/officeDocument/2006/relationships/hyperlink" Target="https://pmc.ncbi.nlm.nih.gov/articles/PMC2737845/" TargetMode="External"/><Relationship Id="rId1370" Type="http://schemas.openxmlformats.org/officeDocument/2006/relationships/hyperlink" Target="https://www.ema.europa.eu/en/documents/assessment-report/deltyba-epar-public-assessment-report_en.pdf" TargetMode="External"/><Relationship Id="rId740" Type="http://schemas.openxmlformats.org/officeDocument/2006/relationships/hyperlink" Target="https://pmc.ncbi.nlm.nih.gov/articles/PMC4249404/" TargetMode="External"/><Relationship Id="rId838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2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68" Type="http://schemas.openxmlformats.org/officeDocument/2006/relationships/hyperlink" Target="https://bpspubs.onlinelibrary.wiley.com/doi/10.1111/bcp.15672" TargetMode="External"/><Relationship Id="rId1675" Type="http://schemas.openxmlformats.org/officeDocument/2006/relationships/hyperlink" Target="https://pmc.ncbi.nlm.nih.gov/articles/PMC1087638/" TargetMode="External"/><Relationship Id="rId600" Type="http://schemas.openxmlformats.org/officeDocument/2006/relationships/hyperlink" Target="https://accpjournals.onlinelibrary.wiley.com/doi/pdfdirect/10.1002/phar.1337" TargetMode="External"/><Relationship Id="rId1230" Type="http://schemas.openxmlformats.org/officeDocument/2006/relationships/hyperlink" Target="https://pmc.ncbi.nlm.nih.gov/articles/PMC3811266/" TargetMode="External"/><Relationship Id="rId1328" Type="http://schemas.openxmlformats.org/officeDocument/2006/relationships/hyperlink" Target="https://www.ema.europa.eu/en/documents/assessment-report/deltyba-epar-public-assessment-report_en.pdf" TargetMode="External"/><Relationship Id="rId1535" Type="http://schemas.openxmlformats.org/officeDocument/2006/relationships/hyperlink" Target="https://pmc.ncbi.nlm.nih.gov/articles/PMC245547/" TargetMode="External"/><Relationship Id="rId90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74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4" Type="http://schemas.openxmlformats.org/officeDocument/2006/relationships/hyperlink" Target="https://www.accessdata.fda.gov/drugsatfda_docs/anda/97/064150review.pdf" TargetMode="External"/><Relationship Id="rId1602" Type="http://schemas.openxmlformats.org/officeDocument/2006/relationships/hyperlink" Target="https://pmc.ncbi.nlm.nih.gov/articles/PMC1087638/" TargetMode="External"/><Relationship Id="rId183" Type="http://schemas.openxmlformats.org/officeDocument/2006/relationships/hyperlink" Target="https://www.accessdata.fda.gov/drugsatfda_docs/label/2016/021085s063lbl.pdf" TargetMode="External"/><Relationship Id="rId390" Type="http://schemas.openxmlformats.org/officeDocument/2006/relationships/hyperlink" Target="https://citeseerx.ist.psu.edu/document?repid=rep1&amp;type=pdf&amp;doi=588491a8cc19861703f56475ca7cd78fee681b81" TargetMode="External"/><Relationship Id="rId250" Type="http://schemas.openxmlformats.org/officeDocument/2006/relationships/hyperlink" Target="https://www.ema.europa.eu/en/documents/assessment-report/sirturo-epar-public-assessment-report_en.pdf" TargetMode="External"/><Relationship Id="rId488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95" Type="http://schemas.openxmlformats.org/officeDocument/2006/relationships/hyperlink" Target="https://accpjournals.onlinelibrary.wiley.com/doi/pdfdirect/10.1002/phar.1458" TargetMode="External"/><Relationship Id="rId110" Type="http://schemas.openxmlformats.org/officeDocument/2006/relationships/hyperlink" Target="https://www.accessdata.fda.gov/drugsatfda_docs/nda/99/21-085_Avelox_biopharmr.pdf" TargetMode="External"/><Relationship Id="rId348" Type="http://schemas.openxmlformats.org/officeDocument/2006/relationships/hyperlink" Target="https://www.ema.europa.eu/en/documents/assessment-report/sirturo-epar-public-assessment-report_en.pdf" TargetMode="External"/><Relationship Id="rId555" Type="http://schemas.openxmlformats.org/officeDocument/2006/relationships/hyperlink" Target="https://accpjournals.onlinelibrary.wiley.com/doi/pdfdirect/10.1002/phar.1337" TargetMode="External"/><Relationship Id="rId762" Type="http://schemas.openxmlformats.org/officeDocument/2006/relationships/hyperlink" Target="https://accpjournals.onlinelibrary.wiley.com/doi/pdfdirect/10.1002/phar.1337" TargetMode="External"/><Relationship Id="rId1185" Type="http://schemas.openxmlformats.org/officeDocument/2006/relationships/hyperlink" Target="https://pmc.ncbi.nlm.nih.gov/articles/PMC2737845/" TargetMode="External"/><Relationship Id="rId1392" Type="http://schemas.openxmlformats.org/officeDocument/2006/relationships/hyperlink" Target="https://www.ema.europa.eu/en/documents/assessment-report/deltyba-epar-public-assessment-report_en.pdf" TargetMode="External"/><Relationship Id="rId208" Type="http://schemas.openxmlformats.org/officeDocument/2006/relationships/hyperlink" Target="https://www.accessdata.fda.gov/drugsatfda_docs/nda/2012/204384Orig1s000ClinPharmR.pdf" TargetMode="External"/><Relationship Id="rId415" Type="http://schemas.openxmlformats.org/officeDocument/2006/relationships/hyperlink" Target="https://citeseerx.ist.psu.edu/document?repid=rep1&amp;type=pdf&amp;doi=d4e42f0fb6287c2b204645dab694010d2388ef25" TargetMode="External"/><Relationship Id="rId622" Type="http://schemas.openxmlformats.org/officeDocument/2006/relationships/hyperlink" Target="https://accpjournals.onlinelibrary.wiley.com/doi/pdfdirect/10.1002/phar.1337" TargetMode="External"/><Relationship Id="rId1045" Type="http://schemas.openxmlformats.org/officeDocument/2006/relationships/hyperlink" Target="https://serval.unil.ch/resource/serval:BIB_405A2D6AF487.P001/REF.pdf" TargetMode="External"/><Relationship Id="rId1252" Type="http://schemas.openxmlformats.org/officeDocument/2006/relationships/hyperlink" Target="https://pmc.ncbi.nlm.nih.gov/articles/PMC2737845/" TargetMode="External"/><Relationship Id="rId1697" Type="http://schemas.openxmlformats.org/officeDocument/2006/relationships/hyperlink" Target="https://www.mdpi.com/1999-4923/16/11/1449" TargetMode="External"/><Relationship Id="rId92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12" Type="http://schemas.openxmlformats.org/officeDocument/2006/relationships/hyperlink" Target="https://pmc.ncbi.nlm.nih.gov/articles/PMC2737845/" TargetMode="External"/><Relationship Id="rId1557" Type="http://schemas.openxmlformats.org/officeDocument/2006/relationships/hyperlink" Target="https://pmc.ncbi.nlm.nih.gov/articles/PMC1087638/" TargetMode="External"/><Relationship Id="rId56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417" Type="http://schemas.openxmlformats.org/officeDocument/2006/relationships/hyperlink" Target="https://www.ema.europa.eu/en/documents/assessment-report/deltyba-epar-public-assessment-report_en.pdf" TargetMode="External"/><Relationship Id="rId1624" Type="http://schemas.openxmlformats.org/officeDocument/2006/relationships/hyperlink" Target="https://pmc.ncbi.nlm.nih.gov/articles/PMC1087638/" TargetMode="External"/><Relationship Id="rId272" Type="http://schemas.openxmlformats.org/officeDocument/2006/relationships/hyperlink" Target="https://journals.asm.org/doi/epub/10.1128/aac.01418-13?src=getftr&amp;utm_source=wiley&amp;getft_integrator=wiley" TargetMode="External"/><Relationship Id="rId577" Type="http://schemas.openxmlformats.org/officeDocument/2006/relationships/hyperlink" Target="https://accpjournals.onlinelibrary.wiley.com/doi/pdfdirect/10.1002/phar.1337" TargetMode="External"/><Relationship Id="rId132" Type="http://schemas.openxmlformats.org/officeDocument/2006/relationships/hyperlink" Target="https://www.accessdata.fda.gov/drugsatfda_docs/nda/99/21-085_Avelox_biopharmr.pdf" TargetMode="External"/><Relationship Id="rId784" Type="http://schemas.openxmlformats.org/officeDocument/2006/relationships/hyperlink" Target="https://accpjournals.onlinelibrary.wiley.com/doi/pdfdirect/10.1002/phar.1458" TargetMode="External"/><Relationship Id="rId99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67" Type="http://schemas.openxmlformats.org/officeDocument/2006/relationships/hyperlink" Target="https://pmc.ncbi.nlm.nih.gov/articles/PMC2737845/" TargetMode="External"/><Relationship Id="rId437" Type="http://schemas.openxmlformats.org/officeDocument/2006/relationships/hyperlink" Target="https://citeseerx.ist.psu.edu/document?repid=rep1&amp;type=pdf&amp;doi=d4e42f0fb6287c2b204645dab694010d2388ef25" TargetMode="External"/><Relationship Id="rId644" Type="http://schemas.openxmlformats.org/officeDocument/2006/relationships/hyperlink" Target="https://accpjournals.onlinelibrary.wiley.com/doi/pdfdirect/10.1002/phar.1458" TargetMode="External"/><Relationship Id="rId85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74" Type="http://schemas.openxmlformats.org/officeDocument/2006/relationships/hyperlink" Target="https://pmc.ncbi.nlm.nih.gov/articles/PMC2737845/" TargetMode="External"/><Relationship Id="rId1481" Type="http://schemas.openxmlformats.org/officeDocument/2006/relationships/hyperlink" Target="https://bpspubs.onlinelibrary.wiley.com/doi/10.1111/bcp.15672" TargetMode="External"/><Relationship Id="rId1579" Type="http://schemas.openxmlformats.org/officeDocument/2006/relationships/hyperlink" Target="https://citeseerx.ist.psu.edu/document?repid=rep1&amp;type=pdf&amp;doi=c986b50db0b4fc8265f37a7be5a827282690abfa" TargetMode="External"/><Relationship Id="rId504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11" Type="http://schemas.openxmlformats.org/officeDocument/2006/relationships/hyperlink" Target="https://accpjournals.onlinelibrary.wiley.com/doi/pdfdirect/10.1002/phar.1458" TargetMode="External"/><Relationship Id="rId94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34" Type="http://schemas.openxmlformats.org/officeDocument/2006/relationships/hyperlink" Target="https://pmc.ncbi.nlm.nih.gov/articles/PMC2737845/" TargetMode="External"/><Relationship Id="rId1341" Type="http://schemas.openxmlformats.org/officeDocument/2006/relationships/hyperlink" Target="https://www.ema.europa.eu/en/documents/assessment-report/deltyba-epar-public-assessment-report_en.pdf" TargetMode="External"/><Relationship Id="rId78" Type="http://schemas.openxmlformats.org/officeDocument/2006/relationships/hyperlink" Target="https://www.accessdata.fda.gov/drugsatfda_docs/label/2016/021085s063lbl.pdf" TargetMode="External"/><Relationship Id="rId809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01" Type="http://schemas.openxmlformats.org/officeDocument/2006/relationships/hyperlink" Target="https://pmc.ncbi.nlm.nih.gov/articles/PMC2737845/" TargetMode="External"/><Relationship Id="rId1439" Type="http://schemas.openxmlformats.org/officeDocument/2006/relationships/hyperlink" Target="https://www.ema.europa.eu/en/documents/assessment-report/deltyba-epar-public-assessment-report_en.pdf" TargetMode="External"/><Relationship Id="rId1646" Type="http://schemas.openxmlformats.org/officeDocument/2006/relationships/hyperlink" Target="https://pmc.ncbi.nlm.nih.gov/articles/PMC1087638/" TargetMode="External"/><Relationship Id="rId1506" Type="http://schemas.openxmlformats.org/officeDocument/2006/relationships/hyperlink" Target="https://bpspubs.onlinelibrary.wiley.com/doi/10.1111/bcp.15672" TargetMode="External"/><Relationship Id="rId1713" Type="http://schemas.openxmlformats.org/officeDocument/2006/relationships/hyperlink" Target="https://www.mdpi.com/1999-4923/16/11/1449" TargetMode="External"/><Relationship Id="rId294" Type="http://schemas.openxmlformats.org/officeDocument/2006/relationships/hyperlink" Target="https://journals.asm.org/doi/epub/10.1128/aac.01418-13?src=getftr&amp;utm_source=wiley&amp;getft_integrator=wiley" TargetMode="External"/><Relationship Id="rId154" Type="http://schemas.openxmlformats.org/officeDocument/2006/relationships/hyperlink" Target="https://www.accessdata.fda.gov/drugsatfda_docs/nda/99/21-085_Avelox_biopharmr.pdf" TargetMode="External"/><Relationship Id="rId361" Type="http://schemas.openxmlformats.org/officeDocument/2006/relationships/hyperlink" Target="https://www.ema.europa.eu/en/documents/assessment-report/sirturo-epar-public-assessment-report_en.pdf" TargetMode="External"/><Relationship Id="rId599" Type="http://schemas.openxmlformats.org/officeDocument/2006/relationships/hyperlink" Target="https://accpjournals.onlinelibrary.wiley.com/doi/pdfdirect/10.1002/phar.1337" TargetMode="External"/><Relationship Id="rId459" Type="http://schemas.openxmlformats.org/officeDocument/2006/relationships/hyperlink" Target="https://citeseerx.ist.psu.edu/document?repid=rep1&amp;type=pdf&amp;doi=d4e42f0fb6287c2b204645dab694010d2388ef25" TargetMode="External"/><Relationship Id="rId666" Type="http://schemas.openxmlformats.org/officeDocument/2006/relationships/hyperlink" Target="https://pmc.ncbi.nlm.nih.gov/articles/PMC4249404/" TargetMode="External"/><Relationship Id="rId87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89" Type="http://schemas.openxmlformats.org/officeDocument/2006/relationships/hyperlink" Target="https://pmc.ncbi.nlm.nih.gov/articles/PMC2737845/" TargetMode="External"/><Relationship Id="rId1296" Type="http://schemas.openxmlformats.org/officeDocument/2006/relationships/hyperlink" Target="https://pmc.ncbi.nlm.nih.gov/articles/PMC2737845/" TargetMode="External"/><Relationship Id="rId221" Type="http://schemas.openxmlformats.org/officeDocument/2006/relationships/hyperlink" Target="https://www.accessdata.fda.gov/drugsatfda_docs/nda/2012/204384Orig1s000ClinPharmR.pdf" TargetMode="External"/><Relationship Id="rId319" Type="http://schemas.openxmlformats.org/officeDocument/2006/relationships/hyperlink" Target="https://www.accessdata.fda.gov/drugsatfda_docs/nda/2012/204384Orig1s000ClinPharmR.pdf" TargetMode="External"/><Relationship Id="rId52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156" Type="http://schemas.openxmlformats.org/officeDocument/2006/relationships/hyperlink" Target="https://pmc.ncbi.nlm.nih.gov/articles/PMC2737845/" TargetMode="External"/><Relationship Id="rId1363" Type="http://schemas.openxmlformats.org/officeDocument/2006/relationships/hyperlink" Target="https://www.ema.europa.eu/en/documents/assessment-report/deltyba-epar-public-assessment-report_en.pdf" TargetMode="External"/><Relationship Id="rId733" Type="http://schemas.openxmlformats.org/officeDocument/2006/relationships/hyperlink" Target="https://pmc.ncbi.nlm.nih.gov/articles/PMC4249404/" TargetMode="External"/><Relationship Id="rId94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1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570" Type="http://schemas.openxmlformats.org/officeDocument/2006/relationships/hyperlink" Target="https://pmc.ncbi.nlm.nih.gov/articles/PMC1087638/" TargetMode="External"/><Relationship Id="rId1668" Type="http://schemas.openxmlformats.org/officeDocument/2006/relationships/hyperlink" Target="https://pmc.ncbi.nlm.nih.gov/articles/PMC1087638/" TargetMode="External"/><Relationship Id="rId800" Type="http://schemas.openxmlformats.org/officeDocument/2006/relationships/hyperlink" Target="https://accpjournals.onlinelibrary.wiley.com/doi/pdfdirect/10.1002/phar.1458" TargetMode="External"/><Relationship Id="rId1223" Type="http://schemas.openxmlformats.org/officeDocument/2006/relationships/hyperlink" Target="https://pmc.ncbi.nlm.nih.gov/articles/PMC3811266/" TargetMode="External"/><Relationship Id="rId1430" Type="http://schemas.openxmlformats.org/officeDocument/2006/relationships/hyperlink" Target="https://www.ema.europa.eu/en/documents/assessment-report/deltyba-epar-public-assessment-report_en.pdf" TargetMode="External"/><Relationship Id="rId1528" Type="http://schemas.openxmlformats.org/officeDocument/2006/relationships/hyperlink" Target="https://journals.asm.org/doi/pdf/10.1128/aac.36.7.1532" TargetMode="External"/><Relationship Id="rId173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7" Type="http://schemas.openxmlformats.org/officeDocument/2006/relationships/hyperlink" Target="https://www.accessdata.fda.gov/drugsatfda_docs/anda/97/064150review.pdf" TargetMode="External"/><Relationship Id="rId176" Type="http://schemas.openxmlformats.org/officeDocument/2006/relationships/hyperlink" Target="https://www.accessdata.fda.gov/drugsatfda_docs/label/2016/021085s063lbl.pdf" TargetMode="External"/><Relationship Id="rId383" Type="http://schemas.openxmlformats.org/officeDocument/2006/relationships/hyperlink" Target="https://citeseerx.ist.psu.edu/document?repid=rep1&amp;type=pdf&amp;doi=d4e42f0fb6287c2b204645dab694010d2388ef25" TargetMode="External"/><Relationship Id="rId590" Type="http://schemas.openxmlformats.org/officeDocument/2006/relationships/hyperlink" Target="https://accpjournals.onlinelibrary.wiley.com/doi/pdfdirect/10.1002/phar.1337" TargetMode="External"/><Relationship Id="rId243" Type="http://schemas.openxmlformats.org/officeDocument/2006/relationships/hyperlink" Target="https://www.accessdata.fda.gov/drugsatfda_docs/nda/2012/204384Orig1s000ClinPharmR.pdf" TargetMode="External"/><Relationship Id="rId450" Type="http://schemas.openxmlformats.org/officeDocument/2006/relationships/hyperlink" Target="https://citeseerx.ist.psu.edu/document?repid=rep1&amp;type=pdf&amp;doi=d4e42f0fb6287c2b204645dab694010d2388ef25" TargetMode="External"/><Relationship Id="rId688" Type="http://schemas.openxmlformats.org/officeDocument/2006/relationships/hyperlink" Target="https://accpjournals.onlinelibrary.wiley.com/doi/pdfdirect/10.1002/phar.1458" TargetMode="External"/><Relationship Id="rId89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80" Type="http://schemas.openxmlformats.org/officeDocument/2006/relationships/hyperlink" Target="https://pmc.ncbi.nlm.nih.gov/articles/PMC2737845/" TargetMode="External"/><Relationship Id="rId103" Type="http://schemas.openxmlformats.org/officeDocument/2006/relationships/hyperlink" Target="https://www.accessdata.fda.gov/drugsatfda_docs/nda/99/21-085_Avelox_biopharmr.pdf" TargetMode="External"/><Relationship Id="rId310" Type="http://schemas.openxmlformats.org/officeDocument/2006/relationships/hyperlink" Target="https://www.accessdata.fda.gov/drugsatfda_docs/nda/2012/204384Orig1s000ClinPharmR.pdf" TargetMode="External"/><Relationship Id="rId548" Type="http://schemas.openxmlformats.org/officeDocument/2006/relationships/hyperlink" Target="https://accpjournals.onlinelibrary.wiley.com/doi/pdfdirect/10.1002/phar.1337" TargetMode="External"/><Relationship Id="rId755" Type="http://schemas.openxmlformats.org/officeDocument/2006/relationships/hyperlink" Target="https://pmc.ncbi.nlm.nih.gov/articles/PMC4249404/" TargetMode="External"/><Relationship Id="rId96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78" Type="http://schemas.openxmlformats.org/officeDocument/2006/relationships/hyperlink" Target="https://pmc.ncbi.nlm.nih.gov/articles/PMC2737845/" TargetMode="External"/><Relationship Id="rId1385" Type="http://schemas.openxmlformats.org/officeDocument/2006/relationships/hyperlink" Target="https://www.ema.europa.eu/en/documents/assessment-report/deltyba-epar-public-assessment-report_en.pdf" TargetMode="External"/><Relationship Id="rId1592" Type="http://schemas.openxmlformats.org/officeDocument/2006/relationships/hyperlink" Target="https://citeseerx.ist.psu.edu/document?repid=rep1&amp;type=pdf&amp;doi=c986b50db0b4fc8265f37a7be5a827282690abfa" TargetMode="External"/><Relationship Id="rId91" Type="http://schemas.openxmlformats.org/officeDocument/2006/relationships/hyperlink" Target="https://www.accessdata.fda.gov/drugsatfda_docs/nda/99/21-085_Avelox_biopharmr.pdf" TargetMode="External"/><Relationship Id="rId408" Type="http://schemas.openxmlformats.org/officeDocument/2006/relationships/hyperlink" Target="https://citeseerx.ist.psu.edu/document?repid=rep1&amp;type=pdf&amp;doi=588491a8cc19861703f56475ca7cd78fee681b81" TargetMode="External"/><Relationship Id="rId615" Type="http://schemas.openxmlformats.org/officeDocument/2006/relationships/hyperlink" Target="https://accpjournals.onlinelibrary.wiley.com/doi/pdfdirect/10.1002/phar.1337" TargetMode="External"/><Relationship Id="rId82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38" Type="http://schemas.openxmlformats.org/officeDocument/2006/relationships/hyperlink" Target="https://pmc.ncbi.nlm.nih.gov/articles/PMC6544242/" TargetMode="External"/><Relationship Id="rId1245" Type="http://schemas.openxmlformats.org/officeDocument/2006/relationships/hyperlink" Target="https://pmc.ncbi.nlm.nih.gov/articles/PMC3811266/" TargetMode="External"/><Relationship Id="rId1452" Type="http://schemas.openxmlformats.org/officeDocument/2006/relationships/hyperlink" Target="https://www.ema.europa.eu/en/documents/assessment-report/deltyba-epar-public-assessment-report_en.pdf" TargetMode="External"/><Relationship Id="rId1105" Type="http://schemas.openxmlformats.org/officeDocument/2006/relationships/hyperlink" Target="https://pmc.ncbi.nlm.nih.gov/articles/PMC2737845/" TargetMode="External"/><Relationship Id="rId1312" Type="http://schemas.openxmlformats.org/officeDocument/2006/relationships/hyperlink" Target="https://www.ema.europa.eu/en/documents/assessment-report/deltyba-epar-public-assessment-report_en.pdf" TargetMode="External"/><Relationship Id="rId49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617" Type="http://schemas.openxmlformats.org/officeDocument/2006/relationships/hyperlink" Target="https://pmc.ncbi.nlm.nih.gov/articles/PMC1087638/" TargetMode="External"/><Relationship Id="rId198" Type="http://schemas.openxmlformats.org/officeDocument/2006/relationships/hyperlink" Target="https://www.accessdata.fda.gov/drugsatfda_docs/nda/2012/204384Orig1s000ClinPharmR.pdf" TargetMode="External"/><Relationship Id="rId265" Type="http://schemas.openxmlformats.org/officeDocument/2006/relationships/hyperlink" Target="https://journals.asm.org/doi/epub/10.1128/aac.01418-13?src=getftr&amp;utm_source=wiley&amp;getft_integrator=wiley" TargetMode="External"/><Relationship Id="rId472" Type="http://schemas.openxmlformats.org/officeDocument/2006/relationships/hyperlink" Target="https://citeseerx.ist.psu.edu/document?repid=rep1&amp;type=pdf&amp;doi=d4e42f0fb6287c2b204645dab694010d2388ef25" TargetMode="External"/><Relationship Id="rId125" Type="http://schemas.openxmlformats.org/officeDocument/2006/relationships/hyperlink" Target="https://www.accessdata.fda.gov/drugsatfda_docs/nda/99/21-085_Avelox_biopharmr.pdf" TargetMode="External"/><Relationship Id="rId332" Type="http://schemas.openxmlformats.org/officeDocument/2006/relationships/hyperlink" Target="https://www.accessdata.fda.gov/drugsatfda_docs/nda/2012/204384Orig1s000ClinPharmR.pdf" TargetMode="External"/><Relationship Id="rId777" Type="http://schemas.openxmlformats.org/officeDocument/2006/relationships/hyperlink" Target="https://accpjournals.onlinelibrary.wiley.com/doi/pdfdirect/10.1002/phar.1458" TargetMode="External"/><Relationship Id="rId98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637" Type="http://schemas.openxmlformats.org/officeDocument/2006/relationships/hyperlink" Target="https://accpjournals.onlinelibrary.wiley.com/doi/pdfdirect/10.1002/phar.1458" TargetMode="External"/><Relationship Id="rId84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67" Type="http://schemas.openxmlformats.org/officeDocument/2006/relationships/hyperlink" Target="https://pmc.ncbi.nlm.nih.gov/articles/PMC2737845/" TargetMode="External"/><Relationship Id="rId1474" Type="http://schemas.openxmlformats.org/officeDocument/2006/relationships/hyperlink" Target="https://bpspubs.onlinelibrary.wiley.com/doi/10.1111/bcp.15672" TargetMode="External"/><Relationship Id="rId1681" Type="http://schemas.openxmlformats.org/officeDocument/2006/relationships/hyperlink" Target="https://citeseerx.ist.psu.edu/document?repid=rep1&amp;type=pdf&amp;doi=c986b50db0b4fc8265f37a7be5a827282690abfa" TargetMode="External"/><Relationship Id="rId704" Type="http://schemas.openxmlformats.org/officeDocument/2006/relationships/hyperlink" Target="https://accpjournals.onlinelibrary.wiley.com/doi/pdfdirect/10.1002/phar.1458" TargetMode="External"/><Relationship Id="rId91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27" Type="http://schemas.openxmlformats.org/officeDocument/2006/relationships/hyperlink" Target="https://pmc.ncbi.nlm.nih.gov/articles/PMC2737845/" TargetMode="External"/><Relationship Id="rId1334" Type="http://schemas.openxmlformats.org/officeDocument/2006/relationships/hyperlink" Target="https://www.ema.europa.eu/en/documents/assessment-report/deltyba-epar-public-assessment-report_en.pdf" TargetMode="External"/><Relationship Id="rId1541" Type="http://schemas.openxmlformats.org/officeDocument/2006/relationships/hyperlink" Target="https://pmc.ncbi.nlm.nih.gov/articles/PMC1087638/" TargetMode="External"/><Relationship Id="rId40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401" Type="http://schemas.openxmlformats.org/officeDocument/2006/relationships/hyperlink" Target="https://www.ema.europa.eu/en/documents/assessment-report/deltyba-epar-public-assessment-report_en.pdf" TargetMode="External"/><Relationship Id="rId1639" Type="http://schemas.openxmlformats.org/officeDocument/2006/relationships/hyperlink" Target="https://pmc.ncbi.nlm.nih.gov/articles/PMC1087638/" TargetMode="External"/><Relationship Id="rId1706" Type="http://schemas.openxmlformats.org/officeDocument/2006/relationships/hyperlink" Target="https://www.mdpi.com/1999-4923/16/11/1449" TargetMode="External"/><Relationship Id="rId287" Type="http://schemas.openxmlformats.org/officeDocument/2006/relationships/hyperlink" Target="https://journals.asm.org/doi/epub/10.1128/aac.01418-13?src=getftr&amp;utm_source=wiley&amp;getft_integrator=wiley" TargetMode="External"/><Relationship Id="rId494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47" Type="http://schemas.openxmlformats.org/officeDocument/2006/relationships/hyperlink" Target="https://www.accessdata.fda.gov/drugsatfda_docs/nda/99/21-085_Avelox_biopharmr.pdf" TargetMode="External"/><Relationship Id="rId354" Type="http://schemas.openxmlformats.org/officeDocument/2006/relationships/hyperlink" Target="https://www.ema.europa.eu/en/documents/assessment-report/sirturo-epar-public-assessment-report_en.pdf" TargetMode="External"/><Relationship Id="rId799" Type="http://schemas.openxmlformats.org/officeDocument/2006/relationships/hyperlink" Target="https://accpjournals.onlinelibrary.wiley.com/doi/pdfdirect/10.1002/phar.1458" TargetMode="External"/><Relationship Id="rId1191" Type="http://schemas.openxmlformats.org/officeDocument/2006/relationships/hyperlink" Target="https://pmc.ncbi.nlm.nih.gov/articles/PMC2737845/" TargetMode="External"/><Relationship Id="rId1205" Type="http://schemas.openxmlformats.org/officeDocument/2006/relationships/hyperlink" Target="https://pmc.ncbi.nlm.nih.gov/articles/PMC2737845/" TargetMode="External"/><Relationship Id="rId51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561" Type="http://schemas.openxmlformats.org/officeDocument/2006/relationships/hyperlink" Target="https://accpjournals.onlinelibrary.wiley.com/doi/pdfdirect/10.1002/phar.1337" TargetMode="External"/><Relationship Id="rId659" Type="http://schemas.openxmlformats.org/officeDocument/2006/relationships/hyperlink" Target="https://accpjournals.onlinelibrary.wiley.com/doi/pdfdirect/10.1002/phar.1458" TargetMode="External"/><Relationship Id="rId866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89" Type="http://schemas.openxmlformats.org/officeDocument/2006/relationships/hyperlink" Target="https://pmc.ncbi.nlm.nih.gov/articles/PMC2737845/" TargetMode="External"/><Relationship Id="rId1412" Type="http://schemas.openxmlformats.org/officeDocument/2006/relationships/hyperlink" Target="https://www.ema.europa.eu/en/documents/assessment-report/deltyba-epar-public-assessment-report_en.pdf" TargetMode="External"/><Relationship Id="rId1496" Type="http://schemas.openxmlformats.org/officeDocument/2006/relationships/hyperlink" Target="https://bpspubs.onlinelibrary.wiley.com/doi/10.1111/bcp.15672" TargetMode="External"/><Relationship Id="rId1717" Type="http://schemas.openxmlformats.org/officeDocument/2006/relationships/hyperlink" Target="https://www.mdpi.com/1999-4923/16/11/1449" TargetMode="External"/><Relationship Id="rId214" Type="http://schemas.openxmlformats.org/officeDocument/2006/relationships/hyperlink" Target="https://www.accessdata.fda.gov/drugsatfda_docs/nda/2012/204384Orig1s000ClinPharmR.pdf" TargetMode="External"/><Relationship Id="rId298" Type="http://schemas.openxmlformats.org/officeDocument/2006/relationships/hyperlink" Target="https://journals.asm.org/doi/epub/10.1128/aac.01418-13?src=getftr&amp;utm_source=wiley&amp;getft_integrator=wiley" TargetMode="External"/><Relationship Id="rId421" Type="http://schemas.openxmlformats.org/officeDocument/2006/relationships/hyperlink" Target="https://citeseerx.ist.psu.edu/document?repid=rep1&amp;type=pdf&amp;doi=d4e42f0fb6287c2b204645dab694010d2388ef25" TargetMode="External"/><Relationship Id="rId519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051" Type="http://schemas.openxmlformats.org/officeDocument/2006/relationships/hyperlink" Target="https://serval.unil.ch/resource/serval:BIB_405A2D6AF487.P001/REF.pdf" TargetMode="External"/><Relationship Id="rId1149" Type="http://schemas.openxmlformats.org/officeDocument/2006/relationships/hyperlink" Target="https://pmc.ncbi.nlm.nih.gov/articles/PMC2737845/" TargetMode="External"/><Relationship Id="rId1356" Type="http://schemas.openxmlformats.org/officeDocument/2006/relationships/hyperlink" Target="https://www.ema.europa.eu/en/documents/assessment-report/deltyba-epar-public-assessment-report_en.pdf" TargetMode="External"/><Relationship Id="rId158" Type="http://schemas.openxmlformats.org/officeDocument/2006/relationships/hyperlink" Target="https://www.accessdata.fda.gov/drugsatfda_docs/nda/99/21-085_Avelox_biopharmr.pdf" TargetMode="External"/><Relationship Id="rId726" Type="http://schemas.openxmlformats.org/officeDocument/2006/relationships/hyperlink" Target="https://accpjournals.onlinelibrary.wiley.com/doi/pdfdirect/10.1002/phar.1458" TargetMode="External"/><Relationship Id="rId93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0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563" Type="http://schemas.openxmlformats.org/officeDocument/2006/relationships/hyperlink" Target="https://pmc.ncbi.nlm.nih.gov/articles/PMC1087638/" TargetMode="External"/><Relationship Id="rId62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365" Type="http://schemas.openxmlformats.org/officeDocument/2006/relationships/hyperlink" Target="https://www.ema.europa.eu/en/documents/assessment-report/sirturo-epar-public-assessment-report_en.pdf" TargetMode="External"/><Relationship Id="rId572" Type="http://schemas.openxmlformats.org/officeDocument/2006/relationships/hyperlink" Target="https://accpjournals.onlinelibrary.wiley.com/doi/pdfdirect/10.1002/phar.1337" TargetMode="External"/><Relationship Id="rId1216" Type="http://schemas.openxmlformats.org/officeDocument/2006/relationships/hyperlink" Target="https://pmc.ncbi.nlm.nih.gov/articles/PMC3811266/" TargetMode="External"/><Relationship Id="rId1423" Type="http://schemas.openxmlformats.org/officeDocument/2006/relationships/hyperlink" Target="https://www.ema.europa.eu/en/documents/assessment-report/deltyba-epar-public-assessment-report_en.pdf" TargetMode="External"/><Relationship Id="rId1630" Type="http://schemas.openxmlformats.org/officeDocument/2006/relationships/hyperlink" Target="https://pmc.ncbi.nlm.nih.gov/articles/PMC1087638/" TargetMode="External"/><Relationship Id="rId225" Type="http://schemas.openxmlformats.org/officeDocument/2006/relationships/hyperlink" Target="https://www.accessdata.fda.gov/drugsatfda_docs/nda/2012/204384Orig1s000ClinPharmR.pdf" TargetMode="External"/><Relationship Id="rId432" Type="http://schemas.openxmlformats.org/officeDocument/2006/relationships/hyperlink" Target="https://citeseerx.ist.psu.edu/document?repid=rep1&amp;type=pdf&amp;doi=d4e42f0fb6287c2b204645dab694010d2388ef25" TargetMode="External"/><Relationship Id="rId87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62" Type="http://schemas.openxmlformats.org/officeDocument/2006/relationships/hyperlink" Target="https://pmc.ncbi.nlm.nih.gov/articles/PMC3811266/" TargetMode="External"/><Relationship Id="rId172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737" Type="http://schemas.openxmlformats.org/officeDocument/2006/relationships/hyperlink" Target="https://pmc.ncbi.nlm.nih.gov/articles/PMC4249404/" TargetMode="External"/><Relationship Id="rId94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67" Type="http://schemas.openxmlformats.org/officeDocument/2006/relationships/hyperlink" Target="https://www.ema.europa.eu/en/documents/assessment-report/deltyba-epar-public-assessment-report_en.pdf" TargetMode="External"/><Relationship Id="rId1574" Type="http://schemas.openxmlformats.org/officeDocument/2006/relationships/hyperlink" Target="https://pmc.ncbi.nlm.nih.gov/articles/PMC1087638/" TargetMode="External"/><Relationship Id="rId73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69" Type="http://schemas.openxmlformats.org/officeDocument/2006/relationships/hyperlink" Target="https://www.accessdata.fda.gov/drugsatfda_docs/nda/99/21-085_Avelox_biopharmr.pdf" TargetMode="External"/><Relationship Id="rId376" Type="http://schemas.openxmlformats.org/officeDocument/2006/relationships/hyperlink" Target="https://www.ema.europa.eu/en/documents/assessment-report/sirturo-epar-public-assessment-report_en.pdf" TargetMode="External"/><Relationship Id="rId583" Type="http://schemas.openxmlformats.org/officeDocument/2006/relationships/hyperlink" Target="https://accpjournals.onlinelibrary.wiley.com/doi/pdfdirect/10.1002/phar.1337" TargetMode="External"/><Relationship Id="rId790" Type="http://schemas.openxmlformats.org/officeDocument/2006/relationships/hyperlink" Target="https://accpjournals.onlinelibrary.wiley.com/doi/pdfdirect/10.1002/phar.1458" TargetMode="External"/><Relationship Id="rId80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27" Type="http://schemas.openxmlformats.org/officeDocument/2006/relationships/hyperlink" Target="https://pmc.ncbi.nlm.nih.gov/articles/PMC3811266/" TargetMode="External"/><Relationship Id="rId1434" Type="http://schemas.openxmlformats.org/officeDocument/2006/relationships/hyperlink" Target="https://www.ema.europa.eu/en/documents/assessment-report/deltyba-epar-public-assessment-report_en.pdf" TargetMode="External"/><Relationship Id="rId1641" Type="http://schemas.openxmlformats.org/officeDocument/2006/relationships/hyperlink" Target="https://pmc.ncbi.nlm.nih.gov/articles/PMC1087638/" TargetMode="External"/><Relationship Id="rId4" Type="http://schemas.openxmlformats.org/officeDocument/2006/relationships/hyperlink" Target="https://www.accessdata.fda.gov/drugsatfda_docs/label/2013/050420s075,050627s014lbl.pdf" TargetMode="External"/><Relationship Id="rId236" Type="http://schemas.openxmlformats.org/officeDocument/2006/relationships/hyperlink" Target="https://www.accessdata.fda.gov/drugsatfda_docs/nda/2012/204384Orig1s000ClinPharmR.pdf" TargetMode="External"/><Relationship Id="rId443" Type="http://schemas.openxmlformats.org/officeDocument/2006/relationships/hyperlink" Target="https://citeseerx.ist.psu.edu/document?repid=rep1&amp;type=pdf&amp;doi=d4e42f0fb6287c2b204645dab694010d2388ef25" TargetMode="External"/><Relationship Id="rId650" Type="http://schemas.openxmlformats.org/officeDocument/2006/relationships/hyperlink" Target="https://accpjournals.onlinelibrary.wiley.com/doi/pdfdirect/10.1002/phar.1458" TargetMode="External"/><Relationship Id="rId88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73" Type="http://schemas.openxmlformats.org/officeDocument/2006/relationships/hyperlink" Target="https://pmc.ncbi.nlm.nih.gov/articles/PMC2737845/" TargetMode="External"/><Relationship Id="rId1280" Type="http://schemas.openxmlformats.org/officeDocument/2006/relationships/hyperlink" Target="https://pmc.ncbi.nlm.nih.gov/articles/PMC2737845/" TargetMode="External"/><Relationship Id="rId1501" Type="http://schemas.openxmlformats.org/officeDocument/2006/relationships/hyperlink" Target="https://bpspubs.onlinelibrary.wiley.com/doi/10.1111/bcp.15672" TargetMode="External"/><Relationship Id="rId173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03" Type="http://schemas.openxmlformats.org/officeDocument/2006/relationships/hyperlink" Target="https://journals.asm.org/doi/epub/10.1128/aac.01418-13?src=getftr&amp;utm_source=wiley&amp;getft_integrator=wiley" TargetMode="External"/><Relationship Id="rId748" Type="http://schemas.openxmlformats.org/officeDocument/2006/relationships/hyperlink" Target="https://pmc.ncbi.nlm.nih.gov/articles/PMC4249404/" TargetMode="External"/><Relationship Id="rId95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40" Type="http://schemas.openxmlformats.org/officeDocument/2006/relationships/hyperlink" Target="https://pmc.ncbi.nlm.nih.gov/articles/PMC2737845/" TargetMode="External"/><Relationship Id="rId1378" Type="http://schemas.openxmlformats.org/officeDocument/2006/relationships/hyperlink" Target="https://www.ema.europa.eu/en/documents/assessment-report/deltyba-epar-public-assessment-report_en.pdf" TargetMode="External"/><Relationship Id="rId1585" Type="http://schemas.openxmlformats.org/officeDocument/2006/relationships/hyperlink" Target="https://citeseerx.ist.psu.edu/document?repid=rep1&amp;type=pdf&amp;doi=c986b50db0b4fc8265f37a7be5a827282690abfa" TargetMode="External"/><Relationship Id="rId84" Type="http://schemas.openxmlformats.org/officeDocument/2006/relationships/hyperlink" Target="https://www.accessdata.fda.gov/drugsatfda_docs/label/2016/021085s063lbl.pdf" TargetMode="External"/><Relationship Id="rId387" Type="http://schemas.openxmlformats.org/officeDocument/2006/relationships/hyperlink" Target="https://citeseerx.ist.psu.edu/document?repid=rep1&amp;type=pdf&amp;doi=d4e42f0fb6287c2b204645dab694010d2388ef25" TargetMode="External"/><Relationship Id="rId510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594" Type="http://schemas.openxmlformats.org/officeDocument/2006/relationships/hyperlink" Target="https://accpjournals.onlinelibrary.wiley.com/doi/pdfdirect/10.1002/phar.1337" TargetMode="External"/><Relationship Id="rId608" Type="http://schemas.openxmlformats.org/officeDocument/2006/relationships/hyperlink" Target="https://accpjournals.onlinelibrary.wiley.com/doi/pdfdirect/10.1002/phar.1337" TargetMode="External"/><Relationship Id="rId81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38" Type="http://schemas.openxmlformats.org/officeDocument/2006/relationships/hyperlink" Target="https://pmc.ncbi.nlm.nih.gov/articles/PMC3811266/" TargetMode="External"/><Relationship Id="rId1445" Type="http://schemas.openxmlformats.org/officeDocument/2006/relationships/hyperlink" Target="https://www.ema.europa.eu/en/documents/assessment-report/deltyba-epar-public-assessment-report_en.pdf" TargetMode="External"/><Relationship Id="rId1652" Type="http://schemas.openxmlformats.org/officeDocument/2006/relationships/hyperlink" Target="https://pmc.ncbi.nlm.nih.gov/articles/PMC1087638/" TargetMode="External"/><Relationship Id="rId247" Type="http://schemas.openxmlformats.org/officeDocument/2006/relationships/hyperlink" Target="https://www.ema.europa.eu/en/documents/assessment-report/sirturo-epar-public-assessment-report_en.pdf" TargetMode="External"/><Relationship Id="rId89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0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84" Type="http://schemas.openxmlformats.org/officeDocument/2006/relationships/hyperlink" Target="https://pmc.ncbi.nlm.nih.gov/articles/PMC2737845/" TargetMode="External"/><Relationship Id="rId1305" Type="http://schemas.openxmlformats.org/officeDocument/2006/relationships/hyperlink" Target="https://www.ema.europa.eu/en/documents/assessment-report/deltyba-epar-public-assessment-report_en.pdf" TargetMode="External"/><Relationship Id="rId107" Type="http://schemas.openxmlformats.org/officeDocument/2006/relationships/hyperlink" Target="https://www.accessdata.fda.gov/drugsatfda_docs/nda/99/21-085_Avelox_biopharmr.pdf" TargetMode="External"/><Relationship Id="rId454" Type="http://schemas.openxmlformats.org/officeDocument/2006/relationships/hyperlink" Target="https://citeseerx.ist.psu.edu/document?repid=rep1&amp;type=pdf&amp;doi=d4e42f0fb6287c2b204645dab694010d2388ef25" TargetMode="External"/><Relationship Id="rId661" Type="http://schemas.openxmlformats.org/officeDocument/2006/relationships/hyperlink" Target="https://accpjournals.onlinelibrary.wiley.com/doi/pdfdirect/10.1002/phar.1458" TargetMode="External"/><Relationship Id="rId759" Type="http://schemas.openxmlformats.org/officeDocument/2006/relationships/hyperlink" Target="https://accpjournals.onlinelibrary.wiley.com/doi/pdfdirect/10.1002/phar.1337" TargetMode="External"/><Relationship Id="rId96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91" Type="http://schemas.openxmlformats.org/officeDocument/2006/relationships/hyperlink" Target="https://pmc.ncbi.nlm.nih.gov/articles/PMC2737845/" TargetMode="External"/><Relationship Id="rId1389" Type="http://schemas.openxmlformats.org/officeDocument/2006/relationships/hyperlink" Target="https://www.ema.europa.eu/en/documents/assessment-report/deltyba-epar-public-assessment-report_en.pdf" TargetMode="External"/><Relationship Id="rId1512" Type="http://schemas.openxmlformats.org/officeDocument/2006/relationships/hyperlink" Target="https://pmc.ncbi.nlm.nih.gov/articles/PMC245547/" TargetMode="External"/><Relationship Id="rId1596" Type="http://schemas.openxmlformats.org/officeDocument/2006/relationships/hyperlink" Target="https://citeseerx.ist.psu.edu/document?repid=rep1&amp;type=pdf&amp;doi=c986b50db0b4fc8265f37a7be5a827282690abfa" TargetMode="External"/><Relationship Id="rId11" Type="http://schemas.openxmlformats.org/officeDocument/2006/relationships/hyperlink" Target="https://www.accessdata.fda.gov/drugsatfda_docs/label/2013/050420s075,050627s014lbl.pdf" TargetMode="External"/><Relationship Id="rId314" Type="http://schemas.openxmlformats.org/officeDocument/2006/relationships/hyperlink" Target="https://www.accessdata.fda.gov/drugsatfda_docs/nda/2012/204384Orig1s000ClinPharmR.pdf" TargetMode="External"/><Relationship Id="rId398" Type="http://schemas.openxmlformats.org/officeDocument/2006/relationships/hyperlink" Target="https://citeseerx.ist.psu.edu/document?repid=rep1&amp;type=pdf&amp;doi=588491a8cc19861703f56475ca7cd78fee681b81" TargetMode="External"/><Relationship Id="rId521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19" Type="http://schemas.openxmlformats.org/officeDocument/2006/relationships/hyperlink" Target="https://accpjournals.onlinelibrary.wiley.com/doi/pdfdirect/10.1002/phar.1337" TargetMode="External"/><Relationship Id="rId1151" Type="http://schemas.openxmlformats.org/officeDocument/2006/relationships/hyperlink" Target="https://pmc.ncbi.nlm.nih.gov/articles/PMC2737845/" TargetMode="External"/><Relationship Id="rId1249" Type="http://schemas.openxmlformats.org/officeDocument/2006/relationships/hyperlink" Target="https://pmc.ncbi.nlm.nih.gov/articles/PMC3811266/" TargetMode="External"/><Relationship Id="rId95" Type="http://schemas.openxmlformats.org/officeDocument/2006/relationships/hyperlink" Target="https://www.accessdata.fda.gov/drugsatfda_docs/nda/99/21-085_Avelox_biopharmr.pdf" TargetMode="External"/><Relationship Id="rId160" Type="http://schemas.openxmlformats.org/officeDocument/2006/relationships/hyperlink" Target="https://www.accessdata.fda.gov/drugsatfda_docs/nda/99/21-085_Avelox_biopharmr.pdf" TargetMode="External"/><Relationship Id="rId826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1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09" Type="http://schemas.openxmlformats.org/officeDocument/2006/relationships/hyperlink" Target="https://pmc.ncbi.nlm.nih.gov/articles/PMC2737845/" TargetMode="External"/><Relationship Id="rId1456" Type="http://schemas.openxmlformats.org/officeDocument/2006/relationships/hyperlink" Target="https://www.ema.europa.eu/en/documents/assessment-report/deltyba-epar-public-assessment-report_en.pdf" TargetMode="External"/><Relationship Id="rId1663" Type="http://schemas.openxmlformats.org/officeDocument/2006/relationships/hyperlink" Target="https://pmc.ncbi.nlm.nih.gov/articles/PMC1087638/" TargetMode="External"/><Relationship Id="rId258" Type="http://schemas.openxmlformats.org/officeDocument/2006/relationships/hyperlink" Target="https://www.ema.europa.eu/en/documents/assessment-report/sirturo-epar-public-assessment-report_en.pdf" TargetMode="External"/><Relationship Id="rId465" Type="http://schemas.openxmlformats.org/officeDocument/2006/relationships/hyperlink" Target="https://citeseerx.ist.psu.edu/document?repid=rep1&amp;type=pdf&amp;doi=d4e42f0fb6287c2b204645dab694010d2388ef25" TargetMode="External"/><Relationship Id="rId672" Type="http://schemas.openxmlformats.org/officeDocument/2006/relationships/hyperlink" Target="https://pmc.ncbi.nlm.nih.gov/articles/PMC4249404/" TargetMode="External"/><Relationship Id="rId1095" Type="http://schemas.openxmlformats.org/officeDocument/2006/relationships/hyperlink" Target="https://pmc.ncbi.nlm.nih.gov/articles/PMC2737845/" TargetMode="External"/><Relationship Id="rId1316" Type="http://schemas.openxmlformats.org/officeDocument/2006/relationships/hyperlink" Target="https://www.ema.europa.eu/en/documents/assessment-report/deltyba-epar-public-assessment-report_en.pdf" TargetMode="External"/><Relationship Id="rId1523" Type="http://schemas.openxmlformats.org/officeDocument/2006/relationships/hyperlink" Target="https://citeseerx.ist.psu.edu/document?repid=rep1&amp;type=pdf&amp;doi=5b8c4c32934f844c9acab90c2be0e0fd59b801de" TargetMode="External"/><Relationship Id="rId173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2" Type="http://schemas.openxmlformats.org/officeDocument/2006/relationships/hyperlink" Target="https://www.accessdata.fda.gov/drugsatfda_docs/anda/97/064150review.pdf" TargetMode="External"/><Relationship Id="rId118" Type="http://schemas.openxmlformats.org/officeDocument/2006/relationships/hyperlink" Target="https://www.accessdata.fda.gov/drugsatfda_docs/nda/99/21-085_Avelox_biopharmr.pdf" TargetMode="External"/><Relationship Id="rId325" Type="http://schemas.openxmlformats.org/officeDocument/2006/relationships/hyperlink" Target="https://www.accessdata.fda.gov/drugsatfda_docs/nda/2012/204384Orig1s000ClinPharmR.pdf" TargetMode="External"/><Relationship Id="rId532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7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62" Type="http://schemas.openxmlformats.org/officeDocument/2006/relationships/hyperlink" Target="https://pmc.ncbi.nlm.nih.gov/articles/PMC2737845/" TargetMode="External"/><Relationship Id="rId171" Type="http://schemas.openxmlformats.org/officeDocument/2006/relationships/hyperlink" Target="https://www.accessdata.fda.gov/drugsatfda_docs/nda/99/21-085_Avelox_biopharmr.pdf" TargetMode="External"/><Relationship Id="rId837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2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67" Type="http://schemas.openxmlformats.org/officeDocument/2006/relationships/hyperlink" Target="https://www.ema.europa.eu/en/documents/assessment-report/deltyba-epar-public-assessment-report_en.pdf" TargetMode="External"/><Relationship Id="rId1674" Type="http://schemas.openxmlformats.org/officeDocument/2006/relationships/hyperlink" Target="https://pmc.ncbi.nlm.nih.gov/articles/PMC1087638/" TargetMode="External"/><Relationship Id="rId269" Type="http://schemas.openxmlformats.org/officeDocument/2006/relationships/hyperlink" Target="https://journals.asm.org/doi/epub/10.1128/aac.01418-13?src=getftr&amp;utm_source=wiley&amp;getft_integrator=wiley" TargetMode="External"/><Relationship Id="rId476" Type="http://schemas.openxmlformats.org/officeDocument/2006/relationships/hyperlink" Target="https://citeseerx.ist.psu.edu/document?repid=rep1&amp;type=pdf&amp;doi=d4e42f0fb6287c2b204645dab694010d2388ef25" TargetMode="External"/><Relationship Id="rId683" Type="http://schemas.openxmlformats.org/officeDocument/2006/relationships/hyperlink" Target="https://accpjournals.onlinelibrary.wiley.com/doi/pdfdirect/10.1002/phar.1458" TargetMode="External"/><Relationship Id="rId89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90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27" Type="http://schemas.openxmlformats.org/officeDocument/2006/relationships/hyperlink" Target="https://www.ema.europa.eu/en/documents/assessment-report/deltyba-epar-public-assessment-report_en.pdf" TargetMode="External"/><Relationship Id="rId1534" Type="http://schemas.openxmlformats.org/officeDocument/2006/relationships/hyperlink" Target="https://pmc.ncbi.nlm.nih.gov/articles/PMC245547/" TargetMode="External"/><Relationship Id="rId174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3" Type="http://schemas.openxmlformats.org/officeDocument/2006/relationships/hyperlink" Target="https://www.accessdata.fda.gov/drugsatfda_docs/anda/97/064150review.pdf" TargetMode="External"/><Relationship Id="rId129" Type="http://schemas.openxmlformats.org/officeDocument/2006/relationships/hyperlink" Target="https://www.accessdata.fda.gov/drugsatfda_docs/nda/99/21-085_Avelox_biopharmr.pdf" TargetMode="External"/><Relationship Id="rId336" Type="http://schemas.openxmlformats.org/officeDocument/2006/relationships/hyperlink" Target="https://www.accessdata.fda.gov/drugsatfda_docs/nda/2012/204384Orig1s000ClinPharmR.pdf" TargetMode="External"/><Relationship Id="rId543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8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73" Type="http://schemas.openxmlformats.org/officeDocument/2006/relationships/hyperlink" Target="https://pmc.ncbi.nlm.nih.gov/articles/PMC2737845/" TargetMode="External"/><Relationship Id="rId1380" Type="http://schemas.openxmlformats.org/officeDocument/2006/relationships/hyperlink" Target="https://www.ema.europa.eu/en/documents/assessment-report/deltyba-epar-public-assessment-report_en.pdf" TargetMode="External"/><Relationship Id="rId1601" Type="http://schemas.openxmlformats.org/officeDocument/2006/relationships/hyperlink" Target="https://pmc.ncbi.nlm.nih.gov/articles/PMC1087638/" TargetMode="External"/><Relationship Id="rId182" Type="http://schemas.openxmlformats.org/officeDocument/2006/relationships/hyperlink" Target="https://www.accessdata.fda.gov/drugsatfda_docs/label/2016/021085s063lbl.pdf" TargetMode="External"/><Relationship Id="rId403" Type="http://schemas.openxmlformats.org/officeDocument/2006/relationships/hyperlink" Target="https://citeseerx.ist.psu.edu/document?repid=rep1&amp;type=pdf&amp;doi=588491a8cc19861703f56475ca7cd78fee681b81" TargetMode="External"/><Relationship Id="rId750" Type="http://schemas.openxmlformats.org/officeDocument/2006/relationships/hyperlink" Target="https://pmc.ncbi.nlm.nih.gov/articles/PMC4249404/" TargetMode="External"/><Relationship Id="rId848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33" Type="http://schemas.openxmlformats.org/officeDocument/2006/relationships/hyperlink" Target="https://pmc.ncbi.nlm.nih.gov/articles/PMC6544242/" TargetMode="External"/><Relationship Id="rId1478" Type="http://schemas.openxmlformats.org/officeDocument/2006/relationships/hyperlink" Target="https://bpspubs.onlinelibrary.wiley.com/doi/10.1111/bcp.15672" TargetMode="External"/><Relationship Id="rId1685" Type="http://schemas.openxmlformats.org/officeDocument/2006/relationships/hyperlink" Target="https://citeseerx.ist.psu.edu/document?repid=rep1&amp;type=pdf&amp;doi=c986b50db0b4fc8265f37a7be5a827282690abfa" TargetMode="External"/><Relationship Id="rId48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10" Type="http://schemas.openxmlformats.org/officeDocument/2006/relationships/hyperlink" Target="https://accpjournals.onlinelibrary.wiley.com/doi/pdfdirect/10.1002/phar.1337" TargetMode="External"/><Relationship Id="rId694" Type="http://schemas.openxmlformats.org/officeDocument/2006/relationships/hyperlink" Target="https://accpjournals.onlinelibrary.wiley.com/doi/pdfdirect/10.1002/phar.1458" TargetMode="External"/><Relationship Id="rId708" Type="http://schemas.openxmlformats.org/officeDocument/2006/relationships/hyperlink" Target="https://accpjournals.onlinelibrary.wiley.com/doi/pdfdirect/10.1002/phar.1458" TargetMode="External"/><Relationship Id="rId91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40" Type="http://schemas.openxmlformats.org/officeDocument/2006/relationships/hyperlink" Target="https://pmc.ncbi.nlm.nih.gov/articles/PMC3811266/" TargetMode="External"/><Relationship Id="rId1338" Type="http://schemas.openxmlformats.org/officeDocument/2006/relationships/hyperlink" Target="https://www.ema.europa.eu/en/documents/assessment-report/deltyba-epar-public-assessment-report_en.pdf" TargetMode="External"/><Relationship Id="rId1545" Type="http://schemas.openxmlformats.org/officeDocument/2006/relationships/hyperlink" Target="https://pmc.ncbi.nlm.nih.gov/articles/PMC1087638/" TargetMode="External"/><Relationship Id="rId347" Type="http://schemas.openxmlformats.org/officeDocument/2006/relationships/hyperlink" Target="https://www.accessdata.fda.gov/drugsatfda_docs/nda/2012/204384Orig1s000ClinPharmR.pdf" TargetMode="External"/><Relationship Id="rId99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00" Type="http://schemas.openxmlformats.org/officeDocument/2006/relationships/hyperlink" Target="https://pmc.ncbi.nlm.nih.gov/articles/PMC2737845/" TargetMode="External"/><Relationship Id="rId1184" Type="http://schemas.openxmlformats.org/officeDocument/2006/relationships/hyperlink" Target="https://pmc.ncbi.nlm.nih.gov/articles/PMC2737845/" TargetMode="External"/><Relationship Id="rId1405" Type="http://schemas.openxmlformats.org/officeDocument/2006/relationships/hyperlink" Target="https://www.ema.europa.eu/en/documents/assessment-report/deltyba-epar-public-assessment-report_en.pdf" TargetMode="External"/><Relationship Id="rId175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44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554" Type="http://schemas.openxmlformats.org/officeDocument/2006/relationships/hyperlink" Target="https://accpjournals.onlinelibrary.wiley.com/doi/pdfdirect/10.1002/phar.1458" TargetMode="External"/><Relationship Id="rId761" Type="http://schemas.openxmlformats.org/officeDocument/2006/relationships/hyperlink" Target="https://accpjournals.onlinelibrary.wiley.com/doi/pdfdirect/10.1002/phar.1337" TargetMode="External"/><Relationship Id="rId859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391" Type="http://schemas.openxmlformats.org/officeDocument/2006/relationships/hyperlink" Target="https://www.ema.europa.eu/en/documents/assessment-report/deltyba-epar-public-assessment-report_en.pdf" TargetMode="External"/><Relationship Id="rId1489" Type="http://schemas.openxmlformats.org/officeDocument/2006/relationships/hyperlink" Target="https://bpspubs.onlinelibrary.wiley.com/doi/10.1111/bcp.15672" TargetMode="External"/><Relationship Id="rId1612" Type="http://schemas.openxmlformats.org/officeDocument/2006/relationships/hyperlink" Target="https://pmc.ncbi.nlm.nih.gov/articles/PMC1087638/" TargetMode="External"/><Relationship Id="rId1696" Type="http://schemas.openxmlformats.org/officeDocument/2006/relationships/hyperlink" Target="https://www.mdpi.com/1999-4923/16/11/1449" TargetMode="External"/><Relationship Id="rId193" Type="http://schemas.openxmlformats.org/officeDocument/2006/relationships/hyperlink" Target="https://www.accessdata.fda.gov/drugsatfda_docs/nda/2012/204384Orig1s000ClinPharmR.pdf" TargetMode="External"/><Relationship Id="rId207" Type="http://schemas.openxmlformats.org/officeDocument/2006/relationships/hyperlink" Target="https://www.accessdata.fda.gov/drugsatfda_docs/nda/2012/204384Orig1s000ClinPharmR.pdf" TargetMode="External"/><Relationship Id="rId414" Type="http://schemas.openxmlformats.org/officeDocument/2006/relationships/hyperlink" Target="https://citeseerx.ist.psu.edu/document?repid=rep1&amp;type=pdf&amp;doi=588491a8cc19861703f56475ca7cd78fee681b81" TargetMode="External"/><Relationship Id="rId498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21" Type="http://schemas.openxmlformats.org/officeDocument/2006/relationships/hyperlink" Target="https://accpjournals.onlinelibrary.wiley.com/doi/pdfdirect/10.1002/phar.1337" TargetMode="External"/><Relationship Id="rId1044" Type="http://schemas.openxmlformats.org/officeDocument/2006/relationships/hyperlink" Target="https://serval.unil.ch/resource/serval:BIB_405A2D6AF487.P001/REF.pdf" TargetMode="External"/><Relationship Id="rId1251" Type="http://schemas.openxmlformats.org/officeDocument/2006/relationships/hyperlink" Target="https://pmc.ncbi.nlm.nih.gov/articles/PMC2737845/" TargetMode="External"/><Relationship Id="rId1349" Type="http://schemas.openxmlformats.org/officeDocument/2006/relationships/hyperlink" Target="https://www.ema.europa.eu/en/documents/assessment-report/deltyba-epar-public-assessment-report_en.pdf" TargetMode="External"/><Relationship Id="rId260" Type="http://schemas.openxmlformats.org/officeDocument/2006/relationships/hyperlink" Target="https://journals.asm.org/doi/epub/10.1128/aac.01418-13?src=getftr&amp;utm_source=wiley&amp;getft_integrator=wiley" TargetMode="External"/><Relationship Id="rId719" Type="http://schemas.openxmlformats.org/officeDocument/2006/relationships/hyperlink" Target="https://accpjournals.onlinelibrary.wiley.com/doi/pdfdirect/10.1002/phar.1458" TargetMode="External"/><Relationship Id="rId92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11" Type="http://schemas.openxmlformats.org/officeDocument/2006/relationships/hyperlink" Target="https://pmc.ncbi.nlm.nih.gov/articles/PMC2737845/" TargetMode="External"/><Relationship Id="rId1556" Type="http://schemas.openxmlformats.org/officeDocument/2006/relationships/hyperlink" Target="https://pmc.ncbi.nlm.nih.gov/articles/PMC1087638/" TargetMode="External"/><Relationship Id="rId55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20" Type="http://schemas.openxmlformats.org/officeDocument/2006/relationships/hyperlink" Target="https://www.accessdata.fda.gov/drugsatfda_docs/nda/99/21-085_Avelox_biopharmr.pdf" TargetMode="External"/><Relationship Id="rId358" Type="http://schemas.openxmlformats.org/officeDocument/2006/relationships/hyperlink" Target="https://www.ema.europa.eu/en/documents/assessment-report/sirturo-epar-public-assessment-report_en.pdf" TargetMode="External"/><Relationship Id="rId565" Type="http://schemas.openxmlformats.org/officeDocument/2006/relationships/hyperlink" Target="https://accpjournals.onlinelibrary.wiley.com/doi/pdfdirect/10.1002/phar.1337" TargetMode="External"/><Relationship Id="rId772" Type="http://schemas.openxmlformats.org/officeDocument/2006/relationships/hyperlink" Target="https://accpjournals.onlinelibrary.wiley.com/doi/pdfdirect/10.1002/phar.1458" TargetMode="External"/><Relationship Id="rId1195" Type="http://schemas.openxmlformats.org/officeDocument/2006/relationships/hyperlink" Target="https://pmc.ncbi.nlm.nih.gov/articles/PMC2737845/" TargetMode="External"/><Relationship Id="rId1209" Type="http://schemas.openxmlformats.org/officeDocument/2006/relationships/hyperlink" Target="https://pmc.ncbi.nlm.nih.gov/articles/PMC3811266/" TargetMode="External"/><Relationship Id="rId1416" Type="http://schemas.openxmlformats.org/officeDocument/2006/relationships/hyperlink" Target="https://www.ema.europa.eu/en/documents/assessment-report/deltyba-epar-public-assessment-report_en.pdf" TargetMode="External"/><Relationship Id="rId1623" Type="http://schemas.openxmlformats.org/officeDocument/2006/relationships/hyperlink" Target="https://pmc.ncbi.nlm.nih.gov/articles/PMC1087638/" TargetMode="External"/><Relationship Id="rId218" Type="http://schemas.openxmlformats.org/officeDocument/2006/relationships/hyperlink" Target="https://www.accessdata.fda.gov/drugsatfda_docs/nda/2012/204384Orig1s000ClinPharmR.pdf" TargetMode="External"/><Relationship Id="rId425" Type="http://schemas.openxmlformats.org/officeDocument/2006/relationships/hyperlink" Target="https://citeseerx.ist.psu.edu/document?repid=rep1&amp;type=pdf&amp;doi=d4e42f0fb6287c2b204645dab694010d2388ef25" TargetMode="External"/><Relationship Id="rId632" Type="http://schemas.openxmlformats.org/officeDocument/2006/relationships/hyperlink" Target="https://accpjournals.onlinelibrary.wiley.com/doi/pdfdirect/10.1002/phar.1337" TargetMode="External"/><Relationship Id="rId1055" Type="http://schemas.openxmlformats.org/officeDocument/2006/relationships/hyperlink" Target="https://pmc.ncbi.nlm.nih.gov/articles/PMC2737845/" TargetMode="External"/><Relationship Id="rId1262" Type="http://schemas.openxmlformats.org/officeDocument/2006/relationships/hyperlink" Target="https://pmc.ncbi.nlm.nih.gov/articles/PMC2737845/" TargetMode="External"/><Relationship Id="rId271" Type="http://schemas.openxmlformats.org/officeDocument/2006/relationships/hyperlink" Target="https://journals.asm.org/doi/epub/10.1128/aac.01418-13?src=getftr&amp;utm_source=wiley&amp;getft_integrator=wiley" TargetMode="External"/><Relationship Id="rId93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22" Type="http://schemas.openxmlformats.org/officeDocument/2006/relationships/hyperlink" Target="https://pmc.ncbi.nlm.nih.gov/articles/PMC2737845/" TargetMode="External"/><Relationship Id="rId1567" Type="http://schemas.openxmlformats.org/officeDocument/2006/relationships/hyperlink" Target="https://pmc.ncbi.nlm.nih.gov/articles/PMC1087638/" TargetMode="External"/><Relationship Id="rId66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31" Type="http://schemas.openxmlformats.org/officeDocument/2006/relationships/hyperlink" Target="https://www.accessdata.fda.gov/drugsatfda_docs/nda/99/21-085_Avelox_biopharmr.pdf" TargetMode="External"/><Relationship Id="rId369" Type="http://schemas.openxmlformats.org/officeDocument/2006/relationships/hyperlink" Target="https://www.ema.europa.eu/en/documents/assessment-report/sirturo-epar-public-assessment-report_en.pdf" TargetMode="External"/><Relationship Id="rId576" Type="http://schemas.openxmlformats.org/officeDocument/2006/relationships/hyperlink" Target="https://accpjournals.onlinelibrary.wiley.com/doi/pdfdirect/10.1002/phar.1337" TargetMode="External"/><Relationship Id="rId783" Type="http://schemas.openxmlformats.org/officeDocument/2006/relationships/hyperlink" Target="https://accpjournals.onlinelibrary.wiley.com/doi/pdfdirect/10.1002/phar.1458" TargetMode="External"/><Relationship Id="rId99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27" Type="http://schemas.openxmlformats.org/officeDocument/2006/relationships/hyperlink" Target="https://www.ema.europa.eu/en/documents/assessment-report/deltyba-epar-public-assessment-report_en.pdf" TargetMode="External"/><Relationship Id="rId1634" Type="http://schemas.openxmlformats.org/officeDocument/2006/relationships/hyperlink" Target="https://pmc.ncbi.nlm.nih.gov/articles/PMC1087638/" TargetMode="External"/><Relationship Id="rId229" Type="http://schemas.openxmlformats.org/officeDocument/2006/relationships/hyperlink" Target="https://www.accessdata.fda.gov/drugsatfda_docs/nda/2012/204384Orig1s000ClinPharmR.pdf" TargetMode="External"/><Relationship Id="rId436" Type="http://schemas.openxmlformats.org/officeDocument/2006/relationships/hyperlink" Target="https://citeseerx.ist.psu.edu/document?repid=rep1&amp;type=pdf&amp;doi=d4e42f0fb6287c2b204645dab694010d2388ef25" TargetMode="External"/><Relationship Id="rId643" Type="http://schemas.openxmlformats.org/officeDocument/2006/relationships/hyperlink" Target="https://accpjournals.onlinelibrary.wiley.com/doi/pdfdirect/10.1002/phar.1458" TargetMode="External"/><Relationship Id="rId1066" Type="http://schemas.openxmlformats.org/officeDocument/2006/relationships/hyperlink" Target="https://pmc.ncbi.nlm.nih.gov/articles/PMC2737845/" TargetMode="External"/><Relationship Id="rId1273" Type="http://schemas.openxmlformats.org/officeDocument/2006/relationships/hyperlink" Target="https://pmc.ncbi.nlm.nih.gov/articles/PMC2737845/" TargetMode="External"/><Relationship Id="rId1480" Type="http://schemas.openxmlformats.org/officeDocument/2006/relationships/hyperlink" Target="https://bpspubs.onlinelibrary.wiley.com/doi/10.1111/bcp.15672" TargetMode="External"/><Relationship Id="rId85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4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33" Type="http://schemas.openxmlformats.org/officeDocument/2006/relationships/hyperlink" Target="https://pmc.ncbi.nlm.nih.gov/articles/PMC2737845/" TargetMode="External"/><Relationship Id="rId1578" Type="http://schemas.openxmlformats.org/officeDocument/2006/relationships/hyperlink" Target="https://pmc.ncbi.nlm.nih.gov/articles/PMC1087638/" TargetMode="External"/><Relationship Id="rId1701" Type="http://schemas.openxmlformats.org/officeDocument/2006/relationships/hyperlink" Target="https://www.mdpi.com/1999-4923/16/11/1449" TargetMode="External"/><Relationship Id="rId77" Type="http://schemas.openxmlformats.org/officeDocument/2006/relationships/hyperlink" Target="https://www.accessdata.fda.gov/drugsatfda_docs/nda/99/21-085_Avelox_biopharmr.pdf" TargetMode="External"/><Relationship Id="rId282" Type="http://schemas.openxmlformats.org/officeDocument/2006/relationships/hyperlink" Target="https://journals.asm.org/doi/epub/10.1128/aac.01418-13?src=getftr&amp;utm_source=wiley&amp;getft_integrator=wiley" TargetMode="External"/><Relationship Id="rId503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587" Type="http://schemas.openxmlformats.org/officeDocument/2006/relationships/hyperlink" Target="https://accpjournals.onlinelibrary.wiley.com/doi/pdfdirect/10.1002/phar.1337" TargetMode="External"/><Relationship Id="rId710" Type="http://schemas.openxmlformats.org/officeDocument/2006/relationships/hyperlink" Target="https://accpjournals.onlinelibrary.wiley.com/doi/pdfdirect/10.1002/phar.1458" TargetMode="External"/><Relationship Id="rId808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340" Type="http://schemas.openxmlformats.org/officeDocument/2006/relationships/hyperlink" Target="https://www.ema.europa.eu/en/documents/assessment-report/deltyba-epar-public-assessment-report_en.pdf" TargetMode="External"/><Relationship Id="rId1438" Type="http://schemas.openxmlformats.org/officeDocument/2006/relationships/hyperlink" Target="https://www.ema.europa.eu/en/documents/assessment-report/deltyba-epar-public-assessment-report_en.pdf" TargetMode="External"/><Relationship Id="rId1645" Type="http://schemas.openxmlformats.org/officeDocument/2006/relationships/hyperlink" Target="https://pmc.ncbi.nlm.nih.gov/articles/PMC1087638/" TargetMode="External"/><Relationship Id="rId8" Type="http://schemas.openxmlformats.org/officeDocument/2006/relationships/hyperlink" Target="https://www.accessdata.fda.gov/drugsatfda_docs/label/2013/050420s075,050627s014lbl.pdf" TargetMode="External"/><Relationship Id="rId142" Type="http://schemas.openxmlformats.org/officeDocument/2006/relationships/hyperlink" Target="https://www.accessdata.fda.gov/drugsatfda_docs/nda/99/21-085_Avelox_biopharmr.pdf" TargetMode="External"/><Relationship Id="rId447" Type="http://schemas.openxmlformats.org/officeDocument/2006/relationships/hyperlink" Target="https://citeseerx.ist.psu.edu/document?repid=rep1&amp;type=pdf&amp;doi=d4e42f0fb6287c2b204645dab694010d2388ef25" TargetMode="External"/><Relationship Id="rId794" Type="http://schemas.openxmlformats.org/officeDocument/2006/relationships/hyperlink" Target="https://accpjournals.onlinelibrary.wiley.com/doi/pdfdirect/10.1002/phar.1458" TargetMode="External"/><Relationship Id="rId1077" Type="http://schemas.openxmlformats.org/officeDocument/2006/relationships/hyperlink" Target="https://pmc.ncbi.nlm.nih.gov/articles/PMC2737845/" TargetMode="External"/><Relationship Id="rId1200" Type="http://schemas.openxmlformats.org/officeDocument/2006/relationships/hyperlink" Target="https://pmc.ncbi.nlm.nih.gov/articles/PMC2737845/" TargetMode="External"/><Relationship Id="rId654" Type="http://schemas.openxmlformats.org/officeDocument/2006/relationships/hyperlink" Target="https://accpjournals.onlinelibrary.wiley.com/doi/pdfdirect/10.1002/phar.1458" TargetMode="External"/><Relationship Id="rId86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5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84" Type="http://schemas.openxmlformats.org/officeDocument/2006/relationships/hyperlink" Target="https://pmc.ncbi.nlm.nih.gov/articles/PMC2737845/" TargetMode="External"/><Relationship Id="rId1491" Type="http://schemas.openxmlformats.org/officeDocument/2006/relationships/hyperlink" Target="https://bpspubs.onlinelibrary.wiley.com/doi/10.1111/bcp.15672" TargetMode="External"/><Relationship Id="rId1505" Type="http://schemas.openxmlformats.org/officeDocument/2006/relationships/hyperlink" Target="https://bpspubs.onlinelibrary.wiley.com/doi/10.1111/bcp.15672" TargetMode="External"/><Relationship Id="rId1589" Type="http://schemas.openxmlformats.org/officeDocument/2006/relationships/hyperlink" Target="https://citeseerx.ist.psu.edu/document?repid=rep1&amp;type=pdf&amp;doi=c986b50db0b4fc8265f37a7be5a827282690abfa" TargetMode="External"/><Relationship Id="rId1712" Type="http://schemas.openxmlformats.org/officeDocument/2006/relationships/hyperlink" Target="https://www.mdpi.com/1999-4923/16/11/1449" TargetMode="External"/><Relationship Id="rId293" Type="http://schemas.openxmlformats.org/officeDocument/2006/relationships/hyperlink" Target="https://journals.asm.org/doi/epub/10.1128/aac.01418-13?src=getftr&amp;utm_source=wiley&amp;getft_integrator=wiley" TargetMode="External"/><Relationship Id="rId307" Type="http://schemas.openxmlformats.org/officeDocument/2006/relationships/hyperlink" Target="https://www.accessdata.fda.gov/drugsatfda_docs/nda/2012/204384Orig1s000ClinPharmR.pdf" TargetMode="External"/><Relationship Id="rId514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21" Type="http://schemas.openxmlformats.org/officeDocument/2006/relationships/hyperlink" Target="https://accpjournals.onlinelibrary.wiley.com/doi/pdfdirect/10.1002/phar.1458" TargetMode="External"/><Relationship Id="rId1144" Type="http://schemas.openxmlformats.org/officeDocument/2006/relationships/hyperlink" Target="https://pmc.ncbi.nlm.nih.gov/articles/PMC2737845/" TargetMode="External"/><Relationship Id="rId1351" Type="http://schemas.openxmlformats.org/officeDocument/2006/relationships/hyperlink" Target="https://www.ema.europa.eu/en/documents/assessment-report/deltyba-epar-public-assessment-report_en.pdf" TargetMode="External"/><Relationship Id="rId1449" Type="http://schemas.openxmlformats.org/officeDocument/2006/relationships/hyperlink" Target="https://www.ema.europa.eu/en/documents/assessment-report/deltyba-epar-public-assessment-report_en.pdf" TargetMode="External"/><Relationship Id="rId88" Type="http://schemas.openxmlformats.org/officeDocument/2006/relationships/hyperlink" Target="https://www.accessdata.fda.gov/drugsatfda_docs/nda/99/21-085_Avelox_biopharmr.pdf" TargetMode="External"/><Relationship Id="rId153" Type="http://schemas.openxmlformats.org/officeDocument/2006/relationships/hyperlink" Target="https://www.accessdata.fda.gov/drugsatfda_docs/nda/99/21-085_Avelox_biopharmr.pdf" TargetMode="External"/><Relationship Id="rId360" Type="http://schemas.openxmlformats.org/officeDocument/2006/relationships/hyperlink" Target="https://www.ema.europa.eu/en/documents/assessment-report/sirturo-epar-public-assessment-report_en.pdf" TargetMode="External"/><Relationship Id="rId598" Type="http://schemas.openxmlformats.org/officeDocument/2006/relationships/hyperlink" Target="https://accpjournals.onlinelibrary.wiley.com/doi/pdfdirect/10.1002/phar.1337" TargetMode="External"/><Relationship Id="rId819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0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11" Type="http://schemas.openxmlformats.org/officeDocument/2006/relationships/hyperlink" Target="https://pmc.ncbi.nlm.nih.gov/articles/PMC3811266/" TargetMode="External"/><Relationship Id="rId1656" Type="http://schemas.openxmlformats.org/officeDocument/2006/relationships/hyperlink" Target="https://pmc.ncbi.nlm.nih.gov/articles/PMC1087638/" TargetMode="External"/><Relationship Id="rId220" Type="http://schemas.openxmlformats.org/officeDocument/2006/relationships/hyperlink" Target="https://www.accessdata.fda.gov/drugsatfda_docs/nda/2012/204384Orig1s000ClinPharmR.pdf" TargetMode="External"/><Relationship Id="rId458" Type="http://schemas.openxmlformats.org/officeDocument/2006/relationships/hyperlink" Target="https://citeseerx.ist.psu.edu/document?repid=rep1&amp;type=pdf&amp;doi=d4e42f0fb6287c2b204645dab694010d2388ef25" TargetMode="External"/><Relationship Id="rId665" Type="http://schemas.openxmlformats.org/officeDocument/2006/relationships/hyperlink" Target="https://pmc.ncbi.nlm.nih.gov/articles/PMC4249404/" TargetMode="External"/><Relationship Id="rId87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88" Type="http://schemas.openxmlformats.org/officeDocument/2006/relationships/hyperlink" Target="https://pmc.ncbi.nlm.nih.gov/articles/PMC2737845/" TargetMode="External"/><Relationship Id="rId1295" Type="http://schemas.openxmlformats.org/officeDocument/2006/relationships/hyperlink" Target="https://pmc.ncbi.nlm.nih.gov/articles/PMC2737845/" TargetMode="External"/><Relationship Id="rId1309" Type="http://schemas.openxmlformats.org/officeDocument/2006/relationships/hyperlink" Target="https://www.ema.europa.eu/en/documents/assessment-report/deltyba-epar-public-assessment-report_en.pdf" TargetMode="External"/><Relationship Id="rId1516" Type="http://schemas.openxmlformats.org/officeDocument/2006/relationships/hyperlink" Target="https://citeseerx.ist.psu.edu/document?repid=rep1&amp;type=pdf&amp;doi=5b8c4c32934f844c9acab90c2be0e0fd59b801de" TargetMode="External"/><Relationship Id="rId172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5" Type="http://schemas.openxmlformats.org/officeDocument/2006/relationships/hyperlink" Target="https://www.accessdata.fda.gov/drugsatfda_docs/anda/97/064150review.pdf" TargetMode="External"/><Relationship Id="rId318" Type="http://schemas.openxmlformats.org/officeDocument/2006/relationships/hyperlink" Target="https://www.accessdata.fda.gov/drugsatfda_docs/nda/2012/204384Orig1s000ClinPharmR.pdf" TargetMode="External"/><Relationship Id="rId52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32" Type="http://schemas.openxmlformats.org/officeDocument/2006/relationships/hyperlink" Target="https://pmc.ncbi.nlm.nih.gov/articles/PMC4249404/" TargetMode="External"/><Relationship Id="rId1155" Type="http://schemas.openxmlformats.org/officeDocument/2006/relationships/hyperlink" Target="https://pmc.ncbi.nlm.nih.gov/articles/PMC2737845/" TargetMode="External"/><Relationship Id="rId1362" Type="http://schemas.openxmlformats.org/officeDocument/2006/relationships/hyperlink" Target="https://www.ema.europa.eu/en/documents/assessment-report/deltyba-epar-public-assessment-report_en.pdf" TargetMode="External"/><Relationship Id="rId99" Type="http://schemas.openxmlformats.org/officeDocument/2006/relationships/hyperlink" Target="https://www.accessdata.fda.gov/drugsatfda_docs/nda/99/21-085_Avelox_biopharmr.pdf" TargetMode="External"/><Relationship Id="rId164" Type="http://schemas.openxmlformats.org/officeDocument/2006/relationships/hyperlink" Target="https://www.accessdata.fda.gov/drugsatfda_docs/nda/99/21-085_Avelox_biopharmr.pdf" TargetMode="External"/><Relationship Id="rId371" Type="http://schemas.openxmlformats.org/officeDocument/2006/relationships/hyperlink" Target="https://www.ema.europa.eu/en/documents/assessment-report/sirturo-epar-public-assessment-report_en.pdf" TargetMode="External"/><Relationship Id="rId101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22" Type="http://schemas.openxmlformats.org/officeDocument/2006/relationships/hyperlink" Target="https://pmc.ncbi.nlm.nih.gov/articles/PMC3811266/" TargetMode="External"/><Relationship Id="rId1667" Type="http://schemas.openxmlformats.org/officeDocument/2006/relationships/hyperlink" Target="https://pmc.ncbi.nlm.nih.gov/articles/PMC1087638/" TargetMode="External"/><Relationship Id="rId469" Type="http://schemas.openxmlformats.org/officeDocument/2006/relationships/hyperlink" Target="https://citeseerx.ist.psu.edu/document?repid=rep1&amp;type=pdf&amp;doi=d4e42f0fb6287c2b204645dab694010d2388ef25" TargetMode="External"/><Relationship Id="rId676" Type="http://schemas.openxmlformats.org/officeDocument/2006/relationships/hyperlink" Target="https://pmc.ncbi.nlm.nih.gov/articles/PMC4249404/" TargetMode="External"/><Relationship Id="rId88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99" Type="http://schemas.openxmlformats.org/officeDocument/2006/relationships/hyperlink" Target="https://pmc.ncbi.nlm.nih.gov/articles/PMC2737845/" TargetMode="External"/><Relationship Id="rId1527" Type="http://schemas.openxmlformats.org/officeDocument/2006/relationships/hyperlink" Target="https://journals.asm.org/doi/pdf/10.1128/aac.36.7.1532" TargetMode="External"/><Relationship Id="rId173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6" Type="http://schemas.openxmlformats.org/officeDocument/2006/relationships/hyperlink" Target="https://www.accessdata.fda.gov/drugsatfda_docs/anda/97/064150review.pdf" TargetMode="External"/><Relationship Id="rId231" Type="http://schemas.openxmlformats.org/officeDocument/2006/relationships/hyperlink" Target="https://www.accessdata.fda.gov/drugsatfda_docs/nda/2012/204384Orig1s000ClinPharmR.pdf" TargetMode="External"/><Relationship Id="rId329" Type="http://schemas.openxmlformats.org/officeDocument/2006/relationships/hyperlink" Target="https://www.accessdata.fda.gov/drugsatfda_docs/nda/2012/204384Orig1s000ClinPharmR.pdf" TargetMode="External"/><Relationship Id="rId53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166" Type="http://schemas.openxmlformats.org/officeDocument/2006/relationships/hyperlink" Target="https://pmc.ncbi.nlm.nih.gov/articles/PMC2737845/" TargetMode="External"/><Relationship Id="rId1373" Type="http://schemas.openxmlformats.org/officeDocument/2006/relationships/hyperlink" Target="https://www.ema.europa.eu/en/documents/assessment-report/deltyba-epar-public-assessment-report_en.pdf" TargetMode="External"/><Relationship Id="rId175" Type="http://schemas.openxmlformats.org/officeDocument/2006/relationships/hyperlink" Target="https://www.accessdata.fda.gov/drugsatfda_docs/label/2016/021085s063lbl.pdf" TargetMode="External"/><Relationship Id="rId743" Type="http://schemas.openxmlformats.org/officeDocument/2006/relationships/hyperlink" Target="https://pmc.ncbi.nlm.nih.gov/articles/PMC4249404/" TargetMode="External"/><Relationship Id="rId95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26" Type="http://schemas.openxmlformats.org/officeDocument/2006/relationships/hyperlink" Target="https://pmc.ncbi.nlm.nih.gov/articles/PMC6544242/" TargetMode="External"/><Relationship Id="rId1580" Type="http://schemas.openxmlformats.org/officeDocument/2006/relationships/hyperlink" Target="https://citeseerx.ist.psu.edu/document?repid=rep1&amp;type=pdf&amp;doi=c986b50db0b4fc8265f37a7be5a827282690abfa" TargetMode="External"/><Relationship Id="rId1678" Type="http://schemas.openxmlformats.org/officeDocument/2006/relationships/hyperlink" Target="https://pmc.ncbi.nlm.nih.gov/articles/PMC1087638/" TargetMode="External"/><Relationship Id="rId382" Type="http://schemas.openxmlformats.org/officeDocument/2006/relationships/hyperlink" Target="https://citeseerx.ist.psu.edu/document?repid=rep1&amp;type=pdf&amp;doi=588491a8cc19861703f56475ca7cd78fee681b81" TargetMode="External"/><Relationship Id="rId603" Type="http://schemas.openxmlformats.org/officeDocument/2006/relationships/hyperlink" Target="https://accpjournals.onlinelibrary.wiley.com/doi/pdfdirect/10.1002/phar.1337" TargetMode="External"/><Relationship Id="rId687" Type="http://schemas.openxmlformats.org/officeDocument/2006/relationships/hyperlink" Target="https://accpjournals.onlinelibrary.wiley.com/doi/pdfdirect/10.1002/phar.1458" TargetMode="External"/><Relationship Id="rId81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0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33" Type="http://schemas.openxmlformats.org/officeDocument/2006/relationships/hyperlink" Target="https://pmc.ncbi.nlm.nih.gov/articles/PMC3811266/" TargetMode="External"/><Relationship Id="rId1440" Type="http://schemas.openxmlformats.org/officeDocument/2006/relationships/hyperlink" Target="https://www.ema.europa.eu/en/documents/assessment-report/deltyba-epar-public-assessment-report_en.pdf" TargetMode="External"/><Relationship Id="rId1538" Type="http://schemas.openxmlformats.org/officeDocument/2006/relationships/hyperlink" Target="https://pmc.ncbi.nlm.nih.gov/articles/PMC1087638/" TargetMode="External"/><Relationship Id="rId242" Type="http://schemas.openxmlformats.org/officeDocument/2006/relationships/hyperlink" Target="https://www.accessdata.fda.gov/drugsatfda_docs/nda/2012/204384Orig1s000ClinPharmR.pdf" TargetMode="External"/><Relationship Id="rId89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77" Type="http://schemas.openxmlformats.org/officeDocument/2006/relationships/hyperlink" Target="https://pmc.ncbi.nlm.nih.gov/articles/PMC2737845/" TargetMode="External"/><Relationship Id="rId1300" Type="http://schemas.openxmlformats.org/officeDocument/2006/relationships/hyperlink" Target="https://www.ema.europa.eu/en/documents/assessment-report/deltyba-epar-public-assessment-report_en.pdf" TargetMode="External"/><Relationship Id="rId174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7" Type="http://schemas.openxmlformats.org/officeDocument/2006/relationships/hyperlink" Target="https://www.accessdata.fda.gov/drugsatfda_docs/anda/97/064150review.pdf" TargetMode="External"/><Relationship Id="rId102" Type="http://schemas.openxmlformats.org/officeDocument/2006/relationships/hyperlink" Target="https://www.accessdata.fda.gov/drugsatfda_docs/nda/99/21-085_Avelox_biopharmr.pdf" TargetMode="External"/><Relationship Id="rId54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54" Type="http://schemas.openxmlformats.org/officeDocument/2006/relationships/hyperlink" Target="https://pmc.ncbi.nlm.nih.gov/articles/PMC4249404/" TargetMode="External"/><Relationship Id="rId96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84" Type="http://schemas.openxmlformats.org/officeDocument/2006/relationships/hyperlink" Target="https://www.ema.europa.eu/en/documents/assessment-report/deltyba-epar-public-assessment-report_en.pdf" TargetMode="External"/><Relationship Id="rId1591" Type="http://schemas.openxmlformats.org/officeDocument/2006/relationships/hyperlink" Target="https://citeseerx.ist.psu.edu/document?repid=rep1&amp;type=pdf&amp;doi=c986b50db0b4fc8265f37a7be5a827282690abfa" TargetMode="External"/><Relationship Id="rId1605" Type="http://schemas.openxmlformats.org/officeDocument/2006/relationships/hyperlink" Target="https://pmc.ncbi.nlm.nih.gov/articles/PMC1087638/" TargetMode="External"/><Relationship Id="rId1689" Type="http://schemas.openxmlformats.org/officeDocument/2006/relationships/hyperlink" Target="https://www.mdpi.com/1999-4923/16/11/1449" TargetMode="External"/><Relationship Id="rId90" Type="http://schemas.openxmlformats.org/officeDocument/2006/relationships/hyperlink" Target="https://www.accessdata.fda.gov/drugsatfda_docs/nda/99/21-085_Avelox_biopharmr.pdf" TargetMode="External"/><Relationship Id="rId186" Type="http://schemas.openxmlformats.org/officeDocument/2006/relationships/hyperlink" Target="https://www.accessdata.fda.gov/drugsatfda_docs/label/2016/021085s063lbl.pdf" TargetMode="External"/><Relationship Id="rId393" Type="http://schemas.openxmlformats.org/officeDocument/2006/relationships/hyperlink" Target="https://citeseerx.ist.psu.edu/document?repid=rep1&amp;type=pdf&amp;doi=588491a8cc19861703f56475ca7cd78fee681b81" TargetMode="External"/><Relationship Id="rId407" Type="http://schemas.openxmlformats.org/officeDocument/2006/relationships/hyperlink" Target="https://citeseerx.ist.psu.edu/document?repid=rep1&amp;type=pdf&amp;doi=588491a8cc19861703f56475ca7cd78fee681b81" TargetMode="External"/><Relationship Id="rId614" Type="http://schemas.openxmlformats.org/officeDocument/2006/relationships/hyperlink" Target="https://accpjournals.onlinelibrary.wiley.com/doi/pdfdirect/10.1002/phar.1337" TargetMode="External"/><Relationship Id="rId82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37" Type="http://schemas.openxmlformats.org/officeDocument/2006/relationships/hyperlink" Target="https://pmc.ncbi.nlm.nih.gov/articles/PMC6544242/" TargetMode="External"/><Relationship Id="rId1244" Type="http://schemas.openxmlformats.org/officeDocument/2006/relationships/hyperlink" Target="https://pmc.ncbi.nlm.nih.gov/articles/PMC3811266/" TargetMode="External"/><Relationship Id="rId1451" Type="http://schemas.openxmlformats.org/officeDocument/2006/relationships/hyperlink" Target="https://www.ema.europa.eu/en/documents/assessment-report/deltyba-epar-public-assessment-report_en.pdf" TargetMode="External"/><Relationship Id="rId253" Type="http://schemas.openxmlformats.org/officeDocument/2006/relationships/hyperlink" Target="https://www.ema.europa.eu/en/documents/assessment-report/sirturo-epar-public-assessment-report_en.pdf" TargetMode="External"/><Relationship Id="rId460" Type="http://schemas.openxmlformats.org/officeDocument/2006/relationships/hyperlink" Target="https://citeseerx.ist.psu.edu/document?repid=rep1&amp;type=pdf&amp;doi=d4e42f0fb6287c2b204645dab694010d2388ef25" TargetMode="External"/><Relationship Id="rId698" Type="http://schemas.openxmlformats.org/officeDocument/2006/relationships/hyperlink" Target="https://accpjournals.onlinelibrary.wiley.com/doi/pdfdirect/10.1002/phar.1458" TargetMode="External"/><Relationship Id="rId91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90" Type="http://schemas.openxmlformats.org/officeDocument/2006/relationships/hyperlink" Target="https://pmc.ncbi.nlm.nih.gov/articles/PMC2737845/" TargetMode="External"/><Relationship Id="rId1104" Type="http://schemas.openxmlformats.org/officeDocument/2006/relationships/hyperlink" Target="https://pmc.ncbi.nlm.nih.gov/articles/PMC2737845/" TargetMode="External"/><Relationship Id="rId1311" Type="http://schemas.openxmlformats.org/officeDocument/2006/relationships/hyperlink" Target="https://www.ema.europa.eu/en/documents/assessment-report/deltyba-epar-public-assessment-report_en.pdf" TargetMode="External"/><Relationship Id="rId1549" Type="http://schemas.openxmlformats.org/officeDocument/2006/relationships/hyperlink" Target="https://pmc.ncbi.nlm.nih.gov/articles/PMC1087638/" TargetMode="External"/><Relationship Id="rId48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13" Type="http://schemas.openxmlformats.org/officeDocument/2006/relationships/hyperlink" Target="https://www.accessdata.fda.gov/drugsatfda_docs/nda/99/21-085_Avelox_biopharmr.pdf" TargetMode="External"/><Relationship Id="rId320" Type="http://schemas.openxmlformats.org/officeDocument/2006/relationships/hyperlink" Target="https://www.accessdata.fda.gov/drugsatfda_docs/nda/2012/204384Orig1s000ClinPharmR.pdf" TargetMode="External"/><Relationship Id="rId558" Type="http://schemas.openxmlformats.org/officeDocument/2006/relationships/hyperlink" Target="https://accpjournals.onlinelibrary.wiley.com/doi/pdfdirect/10.1002/phar.1337" TargetMode="External"/><Relationship Id="rId765" Type="http://schemas.openxmlformats.org/officeDocument/2006/relationships/hyperlink" Target="https://accpjournals.onlinelibrary.wiley.com/doi/pdfdirect/10.1002/phar.1458" TargetMode="External"/><Relationship Id="rId97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88" Type="http://schemas.openxmlformats.org/officeDocument/2006/relationships/hyperlink" Target="https://pmc.ncbi.nlm.nih.gov/articles/PMC2737845/" TargetMode="External"/><Relationship Id="rId1395" Type="http://schemas.openxmlformats.org/officeDocument/2006/relationships/hyperlink" Target="https://www.ema.europa.eu/en/documents/assessment-report/deltyba-epar-public-assessment-report_en.pdf" TargetMode="External"/><Relationship Id="rId1409" Type="http://schemas.openxmlformats.org/officeDocument/2006/relationships/hyperlink" Target="https://www.ema.europa.eu/en/documents/assessment-report/deltyba-epar-public-assessment-report_en.pdf" TargetMode="External"/><Relationship Id="rId1616" Type="http://schemas.openxmlformats.org/officeDocument/2006/relationships/hyperlink" Target="https://pmc.ncbi.nlm.nih.gov/articles/PMC1087638/" TargetMode="External"/><Relationship Id="rId197" Type="http://schemas.openxmlformats.org/officeDocument/2006/relationships/hyperlink" Target="https://www.accessdata.fda.gov/drugsatfda_docs/nda/2012/204384Orig1s000ClinPharmR.pdf" TargetMode="External"/><Relationship Id="rId418" Type="http://schemas.openxmlformats.org/officeDocument/2006/relationships/hyperlink" Target="https://citeseerx.ist.psu.edu/document?repid=rep1&amp;type=pdf&amp;doi=d4e42f0fb6287c2b204645dab694010d2388ef25" TargetMode="External"/><Relationship Id="rId625" Type="http://schemas.openxmlformats.org/officeDocument/2006/relationships/hyperlink" Target="https://accpjournals.onlinelibrary.wiley.com/doi/pdfdirect/10.1002/phar.1337" TargetMode="External"/><Relationship Id="rId83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48" Type="http://schemas.openxmlformats.org/officeDocument/2006/relationships/hyperlink" Target="https://serval.unil.ch/resource/serval:BIB_405A2D6AF487.P001/REF.pdf" TargetMode="External"/><Relationship Id="rId1255" Type="http://schemas.openxmlformats.org/officeDocument/2006/relationships/hyperlink" Target="https://pmc.ncbi.nlm.nih.gov/articles/PMC2737845/" TargetMode="External"/><Relationship Id="rId1462" Type="http://schemas.openxmlformats.org/officeDocument/2006/relationships/hyperlink" Target="https://www.ema.europa.eu/en/documents/assessment-report/deltyba-epar-public-assessment-report_en.pdf" TargetMode="External"/><Relationship Id="rId264" Type="http://schemas.openxmlformats.org/officeDocument/2006/relationships/hyperlink" Target="https://journals.asm.org/doi/epub/10.1128/aac.01418-13?src=getftr&amp;utm_source=wiley&amp;getft_integrator=wiley" TargetMode="External"/><Relationship Id="rId471" Type="http://schemas.openxmlformats.org/officeDocument/2006/relationships/hyperlink" Target="https://citeseerx.ist.psu.edu/document?repid=rep1&amp;type=pdf&amp;doi=d4e42f0fb6287c2b204645dab694010d2388ef25" TargetMode="External"/><Relationship Id="rId1115" Type="http://schemas.openxmlformats.org/officeDocument/2006/relationships/hyperlink" Target="https://pmc.ncbi.nlm.nih.gov/articles/PMC2737845/" TargetMode="External"/><Relationship Id="rId1322" Type="http://schemas.openxmlformats.org/officeDocument/2006/relationships/hyperlink" Target="https://www.ema.europa.eu/en/documents/assessment-report/deltyba-epar-public-assessment-report_en.pdf" TargetMode="External"/><Relationship Id="rId59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24" Type="http://schemas.openxmlformats.org/officeDocument/2006/relationships/hyperlink" Target="https://www.accessdata.fda.gov/drugsatfda_docs/nda/99/21-085_Avelox_biopharmr.pdf" TargetMode="External"/><Relationship Id="rId569" Type="http://schemas.openxmlformats.org/officeDocument/2006/relationships/hyperlink" Target="https://accpjournals.onlinelibrary.wiley.com/doi/pdfdirect/10.1002/phar.1337" TargetMode="External"/><Relationship Id="rId776" Type="http://schemas.openxmlformats.org/officeDocument/2006/relationships/hyperlink" Target="https://accpjournals.onlinelibrary.wiley.com/doi/pdfdirect/10.1002/phar.1458" TargetMode="External"/><Relationship Id="rId98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99" Type="http://schemas.openxmlformats.org/officeDocument/2006/relationships/hyperlink" Target="https://pmc.ncbi.nlm.nih.gov/articles/PMC2737845/" TargetMode="External"/><Relationship Id="rId1627" Type="http://schemas.openxmlformats.org/officeDocument/2006/relationships/hyperlink" Target="https://pmc.ncbi.nlm.nih.gov/articles/PMC1087638/" TargetMode="External"/><Relationship Id="rId331" Type="http://schemas.openxmlformats.org/officeDocument/2006/relationships/hyperlink" Target="https://www.accessdata.fda.gov/drugsatfda_docs/nda/2012/204384Orig1s000ClinPharmR.pdf" TargetMode="External"/><Relationship Id="rId429" Type="http://schemas.openxmlformats.org/officeDocument/2006/relationships/hyperlink" Target="https://citeseerx.ist.psu.edu/document?repid=rep1&amp;type=pdf&amp;doi=d4e42f0fb6287c2b204645dab694010d2388ef25" TargetMode="External"/><Relationship Id="rId636" Type="http://schemas.openxmlformats.org/officeDocument/2006/relationships/hyperlink" Target="https://accpjournals.onlinelibrary.wiley.com/doi/pdfdirect/10.1002/phar.1458" TargetMode="External"/><Relationship Id="rId1059" Type="http://schemas.openxmlformats.org/officeDocument/2006/relationships/hyperlink" Target="https://pmc.ncbi.nlm.nih.gov/articles/PMC2737845/" TargetMode="External"/><Relationship Id="rId1266" Type="http://schemas.openxmlformats.org/officeDocument/2006/relationships/hyperlink" Target="https://pmc.ncbi.nlm.nih.gov/articles/PMC2737845/" TargetMode="External"/><Relationship Id="rId1473" Type="http://schemas.openxmlformats.org/officeDocument/2006/relationships/hyperlink" Target="https://bpspubs.onlinelibrary.wiley.com/doi/10.1111/bcp.15672" TargetMode="External"/><Relationship Id="rId84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126" Type="http://schemas.openxmlformats.org/officeDocument/2006/relationships/hyperlink" Target="https://pmc.ncbi.nlm.nih.gov/articles/PMC2737845/" TargetMode="External"/><Relationship Id="rId1680" Type="http://schemas.openxmlformats.org/officeDocument/2006/relationships/hyperlink" Target="https://citeseerx.ist.psu.edu/document?repid=rep1&amp;type=pdf&amp;doi=c986b50db0b4fc8265f37a7be5a827282690abfa" TargetMode="External"/><Relationship Id="rId275" Type="http://schemas.openxmlformats.org/officeDocument/2006/relationships/hyperlink" Target="https://journals.asm.org/doi/epub/10.1128/aac.01418-13?src=getftr&amp;utm_source=wiley&amp;getft_integrator=wiley" TargetMode="External"/><Relationship Id="rId482" Type="http://schemas.openxmlformats.org/officeDocument/2006/relationships/hyperlink" Target="https://citeseerx.ist.psu.edu/document?repid=rep1&amp;type=pdf&amp;doi=d4e42f0fb6287c2b204645dab694010d2388ef25" TargetMode="External"/><Relationship Id="rId703" Type="http://schemas.openxmlformats.org/officeDocument/2006/relationships/hyperlink" Target="https://accpjournals.onlinelibrary.wiley.com/doi/pdfdirect/10.1002/phar.1458" TargetMode="External"/><Relationship Id="rId91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33" Type="http://schemas.openxmlformats.org/officeDocument/2006/relationships/hyperlink" Target="https://www.ema.europa.eu/en/documents/assessment-report/deltyba-epar-public-assessment-report_en.pdf" TargetMode="External"/><Relationship Id="rId1540" Type="http://schemas.openxmlformats.org/officeDocument/2006/relationships/hyperlink" Target="https://pmc.ncbi.nlm.nih.gov/articles/PMC1087638/" TargetMode="External"/><Relationship Id="rId1638" Type="http://schemas.openxmlformats.org/officeDocument/2006/relationships/hyperlink" Target="https://pmc.ncbi.nlm.nih.gov/articles/PMC1087638/" TargetMode="External"/><Relationship Id="rId135" Type="http://schemas.openxmlformats.org/officeDocument/2006/relationships/hyperlink" Target="https://www.accessdata.fda.gov/drugsatfda_docs/nda/99/21-085_Avelox_biopharmr.pdf" TargetMode="External"/><Relationship Id="rId342" Type="http://schemas.openxmlformats.org/officeDocument/2006/relationships/hyperlink" Target="https://www.accessdata.fda.gov/drugsatfda_docs/nda/2012/204384Orig1s000ClinPharmR.pdf" TargetMode="External"/><Relationship Id="rId787" Type="http://schemas.openxmlformats.org/officeDocument/2006/relationships/hyperlink" Target="https://accpjournals.onlinelibrary.wiley.com/doi/pdfdirect/10.1002/phar.1458" TargetMode="External"/><Relationship Id="rId99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00" Type="http://schemas.openxmlformats.org/officeDocument/2006/relationships/hyperlink" Target="https://www.ema.europa.eu/en/documents/assessment-report/deltyba-epar-public-assessment-report_en.pdf" TargetMode="External"/><Relationship Id="rId202" Type="http://schemas.openxmlformats.org/officeDocument/2006/relationships/hyperlink" Target="https://www.accessdata.fda.gov/drugsatfda_docs/nda/2012/204384Orig1s000ClinPharmR.pdf" TargetMode="External"/><Relationship Id="rId647" Type="http://schemas.openxmlformats.org/officeDocument/2006/relationships/hyperlink" Target="https://accpjournals.onlinelibrary.wiley.com/doi/pdfdirect/10.1002/phar.1458" TargetMode="External"/><Relationship Id="rId85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77" Type="http://schemas.openxmlformats.org/officeDocument/2006/relationships/hyperlink" Target="https://pmc.ncbi.nlm.nih.gov/articles/PMC2737845/" TargetMode="External"/><Relationship Id="rId1484" Type="http://schemas.openxmlformats.org/officeDocument/2006/relationships/hyperlink" Target="https://bpspubs.onlinelibrary.wiley.com/doi/10.1111/bcp.15672" TargetMode="External"/><Relationship Id="rId1691" Type="http://schemas.openxmlformats.org/officeDocument/2006/relationships/hyperlink" Target="https://www.mdpi.com/1999-4923/16/11/1449" TargetMode="External"/><Relationship Id="rId1705" Type="http://schemas.openxmlformats.org/officeDocument/2006/relationships/hyperlink" Target="https://www.mdpi.com/1999-4923/16/11/1449" TargetMode="External"/><Relationship Id="rId286" Type="http://schemas.openxmlformats.org/officeDocument/2006/relationships/hyperlink" Target="https://journals.asm.org/doi/epub/10.1128/aac.01418-13?src=getftr&amp;utm_source=wiley&amp;getft_integrator=wiley" TargetMode="External"/><Relationship Id="rId493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50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14" Type="http://schemas.openxmlformats.org/officeDocument/2006/relationships/hyperlink" Target="https://accpjournals.onlinelibrary.wiley.com/doi/pdfdirect/10.1002/phar.1458" TargetMode="External"/><Relationship Id="rId92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37" Type="http://schemas.openxmlformats.org/officeDocument/2006/relationships/hyperlink" Target="https://pmc.ncbi.nlm.nih.gov/articles/PMC2737845/" TargetMode="External"/><Relationship Id="rId1344" Type="http://schemas.openxmlformats.org/officeDocument/2006/relationships/hyperlink" Target="https://www.ema.europa.eu/en/documents/assessment-report/deltyba-epar-public-assessment-report_en.pdf" TargetMode="External"/><Relationship Id="rId1551" Type="http://schemas.openxmlformats.org/officeDocument/2006/relationships/hyperlink" Target="https://pmc.ncbi.nlm.nih.gov/articles/PMC1087638/" TargetMode="External"/><Relationship Id="rId50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46" Type="http://schemas.openxmlformats.org/officeDocument/2006/relationships/hyperlink" Target="https://www.accessdata.fda.gov/drugsatfda_docs/nda/99/21-085_Avelox_biopharmr.pdf" TargetMode="External"/><Relationship Id="rId353" Type="http://schemas.openxmlformats.org/officeDocument/2006/relationships/hyperlink" Target="https://www.ema.europa.eu/en/documents/assessment-report/sirturo-epar-public-assessment-report_en.pdf" TargetMode="External"/><Relationship Id="rId560" Type="http://schemas.openxmlformats.org/officeDocument/2006/relationships/hyperlink" Target="https://accpjournals.onlinelibrary.wiley.com/doi/pdfdirect/10.1002/phar.1337" TargetMode="External"/><Relationship Id="rId798" Type="http://schemas.openxmlformats.org/officeDocument/2006/relationships/hyperlink" Target="https://accpjournals.onlinelibrary.wiley.com/doi/pdfdirect/10.1002/phar.1458" TargetMode="External"/><Relationship Id="rId1190" Type="http://schemas.openxmlformats.org/officeDocument/2006/relationships/hyperlink" Target="https://pmc.ncbi.nlm.nih.gov/articles/PMC2737845/" TargetMode="External"/><Relationship Id="rId1204" Type="http://schemas.openxmlformats.org/officeDocument/2006/relationships/hyperlink" Target="https://pmc.ncbi.nlm.nih.gov/articles/PMC2737845/" TargetMode="External"/><Relationship Id="rId1411" Type="http://schemas.openxmlformats.org/officeDocument/2006/relationships/hyperlink" Target="https://www.ema.europa.eu/en/documents/assessment-report/deltyba-epar-public-assessment-report_en.pdf" TargetMode="External"/><Relationship Id="rId1649" Type="http://schemas.openxmlformats.org/officeDocument/2006/relationships/hyperlink" Target="https://pmc.ncbi.nlm.nih.gov/articles/PMC1087638/" TargetMode="External"/><Relationship Id="rId213" Type="http://schemas.openxmlformats.org/officeDocument/2006/relationships/hyperlink" Target="https://www.accessdata.fda.gov/drugsatfda_docs/nda/2012/204384Orig1s000ClinPharmR.pdf" TargetMode="External"/><Relationship Id="rId420" Type="http://schemas.openxmlformats.org/officeDocument/2006/relationships/hyperlink" Target="https://citeseerx.ist.psu.edu/document?repid=rep1&amp;type=pdf&amp;doi=d4e42f0fb6287c2b204645dab694010d2388ef25" TargetMode="External"/><Relationship Id="rId658" Type="http://schemas.openxmlformats.org/officeDocument/2006/relationships/hyperlink" Target="https://accpjournals.onlinelibrary.wiley.com/doi/pdfdirect/10.1002/phar.1458" TargetMode="External"/><Relationship Id="rId86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50" Type="http://schemas.openxmlformats.org/officeDocument/2006/relationships/hyperlink" Target="https://serval.unil.ch/resource/serval:BIB_405A2D6AF487.P001/REF.pdf" TargetMode="External"/><Relationship Id="rId1288" Type="http://schemas.openxmlformats.org/officeDocument/2006/relationships/hyperlink" Target="https://pmc.ncbi.nlm.nih.gov/articles/PMC2737845/" TargetMode="External"/><Relationship Id="rId1495" Type="http://schemas.openxmlformats.org/officeDocument/2006/relationships/hyperlink" Target="https://bpspubs.onlinelibrary.wiley.com/doi/10.1111/bcp.15672" TargetMode="External"/><Relationship Id="rId1509" Type="http://schemas.openxmlformats.org/officeDocument/2006/relationships/hyperlink" Target="https://bpspubs.onlinelibrary.wiley.com/doi/10.1111/bcp.15672" TargetMode="External"/><Relationship Id="rId1716" Type="http://schemas.openxmlformats.org/officeDocument/2006/relationships/hyperlink" Target="https://www.mdpi.com/1999-4923/16/11/1449" TargetMode="External"/><Relationship Id="rId297" Type="http://schemas.openxmlformats.org/officeDocument/2006/relationships/hyperlink" Target="https://journals.asm.org/doi/epub/10.1128/aac.01418-13?src=getftr&amp;utm_source=wiley&amp;getft_integrator=wiley" TargetMode="External"/><Relationship Id="rId518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25" Type="http://schemas.openxmlformats.org/officeDocument/2006/relationships/hyperlink" Target="https://accpjournals.onlinelibrary.wiley.com/doi/pdfdirect/10.1002/phar.1458" TargetMode="External"/><Relationship Id="rId93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48" Type="http://schemas.openxmlformats.org/officeDocument/2006/relationships/hyperlink" Target="https://pmc.ncbi.nlm.nih.gov/articles/PMC2737845/" TargetMode="External"/><Relationship Id="rId1355" Type="http://schemas.openxmlformats.org/officeDocument/2006/relationships/hyperlink" Target="https://www.ema.europa.eu/en/documents/assessment-report/deltyba-epar-public-assessment-report_en.pdf" TargetMode="External"/><Relationship Id="rId1562" Type="http://schemas.openxmlformats.org/officeDocument/2006/relationships/hyperlink" Target="https://pmc.ncbi.nlm.nih.gov/articles/PMC1087638/" TargetMode="External"/><Relationship Id="rId157" Type="http://schemas.openxmlformats.org/officeDocument/2006/relationships/hyperlink" Target="https://www.accessdata.fda.gov/drugsatfda_docs/nda/99/21-085_Avelox_biopharmr.pdf" TargetMode="External"/><Relationship Id="rId364" Type="http://schemas.openxmlformats.org/officeDocument/2006/relationships/hyperlink" Target="https://www.ema.europa.eu/en/documents/assessment-report/sirturo-epar-public-assessment-report_en.pdf" TargetMode="External"/><Relationship Id="rId100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15" Type="http://schemas.openxmlformats.org/officeDocument/2006/relationships/hyperlink" Target="https://pmc.ncbi.nlm.nih.gov/articles/PMC3811266/" TargetMode="External"/><Relationship Id="rId1422" Type="http://schemas.openxmlformats.org/officeDocument/2006/relationships/hyperlink" Target="https://www.ema.europa.eu/en/documents/assessment-report/deltyba-epar-public-assessment-report_en.pdf" TargetMode="External"/><Relationship Id="rId61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571" Type="http://schemas.openxmlformats.org/officeDocument/2006/relationships/hyperlink" Target="https://accpjournals.onlinelibrary.wiley.com/doi/pdfdirect/10.1002/phar.1337" TargetMode="External"/><Relationship Id="rId669" Type="http://schemas.openxmlformats.org/officeDocument/2006/relationships/hyperlink" Target="https://pmc.ncbi.nlm.nih.gov/articles/PMC4249404/" TargetMode="External"/><Relationship Id="rId87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99" Type="http://schemas.openxmlformats.org/officeDocument/2006/relationships/hyperlink" Target="https://www.ema.europa.eu/en/documents/assessment-report/deltyba-epar-public-assessment-report_en.pdf" TargetMode="External"/><Relationship Id="rId172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9" Type="http://schemas.openxmlformats.org/officeDocument/2006/relationships/hyperlink" Target="https://www.accessdata.fda.gov/drugsatfda_docs/anda/97/064150review.pdf" TargetMode="External"/><Relationship Id="rId224" Type="http://schemas.openxmlformats.org/officeDocument/2006/relationships/hyperlink" Target="https://www.accessdata.fda.gov/drugsatfda_docs/nda/2012/204384Orig1s000ClinPharmR.pdf" TargetMode="External"/><Relationship Id="rId431" Type="http://schemas.openxmlformats.org/officeDocument/2006/relationships/hyperlink" Target="https://citeseerx.ist.psu.edu/document?repid=rep1&amp;type=pdf&amp;doi=d4e42f0fb6287c2b204645dab694010d2388ef25" TargetMode="External"/><Relationship Id="rId529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36" Type="http://schemas.openxmlformats.org/officeDocument/2006/relationships/hyperlink" Target="https://pmc.ncbi.nlm.nih.gov/articles/PMC4249404/" TargetMode="External"/><Relationship Id="rId1061" Type="http://schemas.openxmlformats.org/officeDocument/2006/relationships/hyperlink" Target="https://pmc.ncbi.nlm.nih.gov/articles/PMC3811266/" TargetMode="External"/><Relationship Id="rId1159" Type="http://schemas.openxmlformats.org/officeDocument/2006/relationships/hyperlink" Target="https://pmc.ncbi.nlm.nih.gov/articles/PMC2737845/" TargetMode="External"/><Relationship Id="rId1366" Type="http://schemas.openxmlformats.org/officeDocument/2006/relationships/hyperlink" Target="https://www.ema.europa.eu/en/documents/assessment-report/deltyba-epar-public-assessment-report_en.pdf" TargetMode="External"/><Relationship Id="rId168" Type="http://schemas.openxmlformats.org/officeDocument/2006/relationships/hyperlink" Target="https://www.accessdata.fda.gov/drugsatfda_docs/nda/99/21-085_Avelox_biopharmr.pdf" TargetMode="External"/><Relationship Id="rId94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1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573" Type="http://schemas.openxmlformats.org/officeDocument/2006/relationships/hyperlink" Target="https://pmc.ncbi.nlm.nih.gov/articles/PMC1087638/" TargetMode="External"/><Relationship Id="rId72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375" Type="http://schemas.openxmlformats.org/officeDocument/2006/relationships/hyperlink" Target="https://www.ema.europa.eu/en/documents/assessment-report/sirturo-epar-public-assessment-report_en.pdf" TargetMode="External"/><Relationship Id="rId582" Type="http://schemas.openxmlformats.org/officeDocument/2006/relationships/hyperlink" Target="https://accpjournals.onlinelibrary.wiley.com/doi/pdfdirect/10.1002/phar.1337" TargetMode="External"/><Relationship Id="rId80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26" Type="http://schemas.openxmlformats.org/officeDocument/2006/relationships/hyperlink" Target="https://pmc.ncbi.nlm.nih.gov/articles/PMC3811266/" TargetMode="External"/><Relationship Id="rId1433" Type="http://schemas.openxmlformats.org/officeDocument/2006/relationships/hyperlink" Target="https://www.ema.europa.eu/en/documents/assessment-report/deltyba-epar-public-assessment-report_en.pdf" TargetMode="External"/><Relationship Id="rId1640" Type="http://schemas.openxmlformats.org/officeDocument/2006/relationships/hyperlink" Target="https://pmc.ncbi.nlm.nih.gov/articles/PMC1087638/" TargetMode="External"/><Relationship Id="rId173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" Type="http://schemas.openxmlformats.org/officeDocument/2006/relationships/hyperlink" Target="https://www.accessdata.fda.gov/drugsatfda_docs/label/2013/050420s075,050627s014lbl.pdf" TargetMode="External"/><Relationship Id="rId235" Type="http://schemas.openxmlformats.org/officeDocument/2006/relationships/hyperlink" Target="https://www.accessdata.fda.gov/drugsatfda_docs/nda/2012/204384Orig1s000ClinPharmR.pdf" TargetMode="External"/><Relationship Id="rId442" Type="http://schemas.openxmlformats.org/officeDocument/2006/relationships/hyperlink" Target="https://citeseerx.ist.psu.edu/document?repid=rep1&amp;type=pdf&amp;doi=d4e42f0fb6287c2b204645dab694010d2388ef25" TargetMode="External"/><Relationship Id="rId88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72" Type="http://schemas.openxmlformats.org/officeDocument/2006/relationships/hyperlink" Target="https://pmc.ncbi.nlm.nih.gov/articles/PMC2737845/" TargetMode="External"/><Relationship Id="rId1500" Type="http://schemas.openxmlformats.org/officeDocument/2006/relationships/hyperlink" Target="https://bpspubs.onlinelibrary.wiley.com/doi/10.1111/bcp.15672" TargetMode="External"/><Relationship Id="rId302" Type="http://schemas.openxmlformats.org/officeDocument/2006/relationships/hyperlink" Target="https://journals.asm.org/doi/epub/10.1128/aac.01418-13?src=getftr&amp;utm_source=wiley&amp;getft_integrator=wiley" TargetMode="External"/><Relationship Id="rId747" Type="http://schemas.openxmlformats.org/officeDocument/2006/relationships/hyperlink" Target="https://pmc.ncbi.nlm.nih.gov/articles/PMC4249404/" TargetMode="External"/><Relationship Id="rId95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77" Type="http://schemas.openxmlformats.org/officeDocument/2006/relationships/hyperlink" Target="https://www.ema.europa.eu/en/documents/assessment-report/deltyba-epar-public-assessment-report_en.pdf" TargetMode="External"/><Relationship Id="rId1584" Type="http://schemas.openxmlformats.org/officeDocument/2006/relationships/hyperlink" Target="https://citeseerx.ist.psu.edu/document?repid=rep1&amp;type=pdf&amp;doi=c986b50db0b4fc8265f37a7be5a827282690abfa" TargetMode="External"/><Relationship Id="rId83" Type="http://schemas.openxmlformats.org/officeDocument/2006/relationships/hyperlink" Target="https://www.accessdata.fda.gov/drugsatfda_docs/label/2016/021085s063lbl.pdf" TargetMode="External"/><Relationship Id="rId179" Type="http://schemas.openxmlformats.org/officeDocument/2006/relationships/hyperlink" Target="https://www.accessdata.fda.gov/drugsatfda_docs/label/2016/021085s063lbl.pdf" TargetMode="External"/><Relationship Id="rId386" Type="http://schemas.openxmlformats.org/officeDocument/2006/relationships/hyperlink" Target="https://citeseerx.ist.psu.edu/document?repid=rep1&amp;type=pdf&amp;doi=d4e42f0fb6287c2b204645dab694010d2388ef25" TargetMode="External"/><Relationship Id="rId593" Type="http://schemas.openxmlformats.org/officeDocument/2006/relationships/hyperlink" Target="https://accpjournals.onlinelibrary.wiley.com/doi/pdfdirect/10.1002/phar.1337" TargetMode="External"/><Relationship Id="rId607" Type="http://schemas.openxmlformats.org/officeDocument/2006/relationships/hyperlink" Target="https://accpjournals.onlinelibrary.wiley.com/doi/pdfdirect/10.1002/phar.1337" TargetMode="External"/><Relationship Id="rId81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37" Type="http://schemas.openxmlformats.org/officeDocument/2006/relationships/hyperlink" Target="https://pmc.ncbi.nlm.nih.gov/articles/PMC3811266/" TargetMode="External"/><Relationship Id="rId1444" Type="http://schemas.openxmlformats.org/officeDocument/2006/relationships/hyperlink" Target="https://www.ema.europa.eu/en/documents/assessment-report/deltyba-epar-public-assessment-report_en.pdf" TargetMode="External"/><Relationship Id="rId1651" Type="http://schemas.openxmlformats.org/officeDocument/2006/relationships/hyperlink" Target="https://pmc.ncbi.nlm.nih.gov/articles/PMC1087638/" TargetMode="External"/><Relationship Id="rId246" Type="http://schemas.openxmlformats.org/officeDocument/2006/relationships/hyperlink" Target="https://www.ema.europa.eu/en/documents/assessment-report/sirturo-epar-public-assessment-report_en.pdf" TargetMode="External"/><Relationship Id="rId453" Type="http://schemas.openxmlformats.org/officeDocument/2006/relationships/hyperlink" Target="https://citeseerx.ist.psu.edu/document?repid=rep1&amp;type=pdf&amp;doi=d4e42f0fb6287c2b204645dab694010d2388ef25" TargetMode="External"/><Relationship Id="rId660" Type="http://schemas.openxmlformats.org/officeDocument/2006/relationships/hyperlink" Target="https://accpjournals.onlinelibrary.wiley.com/doi/pdfdirect/10.1002/phar.1458" TargetMode="External"/><Relationship Id="rId89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83" Type="http://schemas.openxmlformats.org/officeDocument/2006/relationships/hyperlink" Target="https://pmc.ncbi.nlm.nih.gov/articles/PMC2737845/" TargetMode="External"/><Relationship Id="rId1290" Type="http://schemas.openxmlformats.org/officeDocument/2006/relationships/hyperlink" Target="https://pmc.ncbi.nlm.nih.gov/articles/PMC2737845/" TargetMode="External"/><Relationship Id="rId1304" Type="http://schemas.openxmlformats.org/officeDocument/2006/relationships/hyperlink" Target="https://www.ema.europa.eu/en/documents/assessment-report/deltyba-epar-public-assessment-report_en.pdf" TargetMode="External"/><Relationship Id="rId1511" Type="http://schemas.openxmlformats.org/officeDocument/2006/relationships/hyperlink" Target="https://journals.asm.org/doi/pdf/10.1128/aac.36.7.1532" TargetMode="External"/><Relationship Id="rId174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6" Type="http://schemas.openxmlformats.org/officeDocument/2006/relationships/hyperlink" Target="https://www.accessdata.fda.gov/drugsatfda_docs/nda/99/21-085_Avelox_biopharmr.pdf" TargetMode="External"/><Relationship Id="rId313" Type="http://schemas.openxmlformats.org/officeDocument/2006/relationships/hyperlink" Target="https://www.accessdata.fda.gov/drugsatfda_docs/nda/2012/204384Orig1s000ClinPharmR.pdf" TargetMode="External"/><Relationship Id="rId758" Type="http://schemas.openxmlformats.org/officeDocument/2006/relationships/hyperlink" Target="https://accpjournals.onlinelibrary.wiley.com/doi/pdfdirect/10.1002/phar.1337" TargetMode="External"/><Relationship Id="rId96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50" Type="http://schemas.openxmlformats.org/officeDocument/2006/relationships/hyperlink" Target="https://pmc.ncbi.nlm.nih.gov/articles/PMC2737845/" TargetMode="External"/><Relationship Id="rId1388" Type="http://schemas.openxmlformats.org/officeDocument/2006/relationships/hyperlink" Target="https://www.ema.europa.eu/en/documents/assessment-report/deltyba-epar-public-assessment-report_en.pdf" TargetMode="External"/><Relationship Id="rId1595" Type="http://schemas.openxmlformats.org/officeDocument/2006/relationships/hyperlink" Target="https://citeseerx.ist.psu.edu/document?repid=rep1&amp;type=pdf&amp;doi=c986b50db0b4fc8265f37a7be5a827282690abfa" TargetMode="External"/><Relationship Id="rId1609" Type="http://schemas.openxmlformats.org/officeDocument/2006/relationships/hyperlink" Target="https://pmc.ncbi.nlm.nih.gov/articles/PMC1087638/" TargetMode="External"/><Relationship Id="rId10" Type="http://schemas.openxmlformats.org/officeDocument/2006/relationships/hyperlink" Target="https://www.accessdata.fda.gov/drugsatfda_docs/label/2013/050420s075,050627s014lbl.pdf" TargetMode="External"/><Relationship Id="rId94" Type="http://schemas.openxmlformats.org/officeDocument/2006/relationships/hyperlink" Target="https://www.accessdata.fda.gov/drugsatfda_docs/nda/99/21-085_Avelox_biopharmr.pdf" TargetMode="External"/><Relationship Id="rId397" Type="http://schemas.openxmlformats.org/officeDocument/2006/relationships/hyperlink" Target="https://citeseerx.ist.psu.edu/document?repid=rep1&amp;type=pdf&amp;doi=588491a8cc19861703f56475ca7cd78fee681b81" TargetMode="External"/><Relationship Id="rId520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18" Type="http://schemas.openxmlformats.org/officeDocument/2006/relationships/hyperlink" Target="https://accpjournals.onlinelibrary.wiley.com/doi/pdfdirect/10.1002/phar.1337" TargetMode="External"/><Relationship Id="rId82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48" Type="http://schemas.openxmlformats.org/officeDocument/2006/relationships/hyperlink" Target="https://pmc.ncbi.nlm.nih.gov/articles/PMC3811266/" TargetMode="External"/><Relationship Id="rId1455" Type="http://schemas.openxmlformats.org/officeDocument/2006/relationships/hyperlink" Target="https://www.ema.europa.eu/en/documents/assessment-report/deltyba-epar-public-assessment-report_en.pdf" TargetMode="External"/><Relationship Id="rId1662" Type="http://schemas.openxmlformats.org/officeDocument/2006/relationships/hyperlink" Target="https://pmc.ncbi.nlm.nih.gov/articles/PMC1087638/" TargetMode="External"/><Relationship Id="rId257" Type="http://schemas.openxmlformats.org/officeDocument/2006/relationships/hyperlink" Target="https://www.ema.europa.eu/en/documents/assessment-report/sirturo-epar-public-assessment-report_en.pdf" TargetMode="External"/><Relationship Id="rId464" Type="http://schemas.openxmlformats.org/officeDocument/2006/relationships/hyperlink" Target="https://citeseerx.ist.psu.edu/document?repid=rep1&amp;type=pdf&amp;doi=d4e42f0fb6287c2b204645dab694010d2388ef25" TargetMode="External"/><Relationship Id="rId101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94" Type="http://schemas.openxmlformats.org/officeDocument/2006/relationships/hyperlink" Target="https://pmc.ncbi.nlm.nih.gov/articles/PMC2737845/" TargetMode="External"/><Relationship Id="rId1108" Type="http://schemas.openxmlformats.org/officeDocument/2006/relationships/hyperlink" Target="https://pmc.ncbi.nlm.nih.gov/articles/PMC2737845/" TargetMode="External"/><Relationship Id="rId1315" Type="http://schemas.openxmlformats.org/officeDocument/2006/relationships/hyperlink" Target="https://www.ema.europa.eu/en/documents/assessment-report/deltyba-epar-public-assessment-report_en.pdf" TargetMode="External"/><Relationship Id="rId117" Type="http://schemas.openxmlformats.org/officeDocument/2006/relationships/hyperlink" Target="https://www.accessdata.fda.gov/drugsatfda_docs/nda/99/21-085_Avelox_biopharmr.pdf" TargetMode="External"/><Relationship Id="rId671" Type="http://schemas.openxmlformats.org/officeDocument/2006/relationships/hyperlink" Target="https://pmc.ncbi.nlm.nih.gov/articles/PMC4249404/" TargetMode="External"/><Relationship Id="rId769" Type="http://schemas.openxmlformats.org/officeDocument/2006/relationships/hyperlink" Target="https://accpjournals.onlinelibrary.wiley.com/doi/pdfdirect/10.1002/phar.1458" TargetMode="External"/><Relationship Id="rId97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99" Type="http://schemas.openxmlformats.org/officeDocument/2006/relationships/hyperlink" Target="https://www.ema.europa.eu/en/documents/assessment-report/deltyba-epar-public-assessment-report_en.pdf" TargetMode="External"/><Relationship Id="rId324" Type="http://schemas.openxmlformats.org/officeDocument/2006/relationships/hyperlink" Target="https://www.accessdata.fda.gov/drugsatfda_docs/nda/2012/204384Orig1s000ClinPharmR.pdf" TargetMode="External"/><Relationship Id="rId531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29" Type="http://schemas.openxmlformats.org/officeDocument/2006/relationships/hyperlink" Target="https://accpjournals.onlinelibrary.wiley.com/doi/pdfdirect/10.1002/phar.1337" TargetMode="External"/><Relationship Id="rId1161" Type="http://schemas.openxmlformats.org/officeDocument/2006/relationships/hyperlink" Target="https://pmc.ncbi.nlm.nih.gov/articles/PMC2737845/" TargetMode="External"/><Relationship Id="rId1259" Type="http://schemas.openxmlformats.org/officeDocument/2006/relationships/hyperlink" Target="https://pmc.ncbi.nlm.nih.gov/articles/PMC2737845/" TargetMode="External"/><Relationship Id="rId1466" Type="http://schemas.openxmlformats.org/officeDocument/2006/relationships/hyperlink" Target="https://www.ema.europa.eu/en/documents/assessment-report/deltyba-epar-public-assessment-report_en.pdf" TargetMode="External"/><Relationship Id="rId836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2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19" Type="http://schemas.openxmlformats.org/officeDocument/2006/relationships/hyperlink" Target="https://pmc.ncbi.nlm.nih.gov/articles/PMC2737845/" TargetMode="External"/><Relationship Id="rId1673" Type="http://schemas.openxmlformats.org/officeDocument/2006/relationships/hyperlink" Target="https://pmc.ncbi.nlm.nih.gov/articles/PMC1087638/" TargetMode="External"/><Relationship Id="rId90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26" Type="http://schemas.openxmlformats.org/officeDocument/2006/relationships/hyperlink" Target="https://www.ema.europa.eu/en/documents/assessment-report/deltyba-epar-public-assessment-report_en.pdf" TargetMode="External"/><Relationship Id="rId1533" Type="http://schemas.openxmlformats.org/officeDocument/2006/relationships/hyperlink" Target="https://pmc.ncbi.nlm.nih.gov/articles/PMC245547/" TargetMode="External"/><Relationship Id="rId174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2" Type="http://schemas.openxmlformats.org/officeDocument/2006/relationships/hyperlink" Target="https://www.accessdata.fda.gov/drugsatfda_docs/anda/97/064150review.pdf" TargetMode="External"/><Relationship Id="rId1600" Type="http://schemas.openxmlformats.org/officeDocument/2006/relationships/hyperlink" Target="https://pmc.ncbi.nlm.nih.gov/articles/PMC1087638/" TargetMode="External"/><Relationship Id="rId181" Type="http://schemas.openxmlformats.org/officeDocument/2006/relationships/hyperlink" Target="https://www.accessdata.fda.gov/drugsatfda_docs/label/2016/021085s063lbl.pdf" TargetMode="External"/><Relationship Id="rId279" Type="http://schemas.openxmlformats.org/officeDocument/2006/relationships/hyperlink" Target="https://journals.asm.org/doi/epub/10.1128/aac.01418-13?src=getftr&amp;utm_source=wiley&amp;getft_integrator=wiley" TargetMode="External"/><Relationship Id="rId48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93" Type="http://schemas.openxmlformats.org/officeDocument/2006/relationships/hyperlink" Target="https://accpjournals.onlinelibrary.wiley.com/doi/pdfdirect/10.1002/phar.1458" TargetMode="External"/><Relationship Id="rId139" Type="http://schemas.openxmlformats.org/officeDocument/2006/relationships/hyperlink" Target="https://www.accessdata.fda.gov/drugsatfda_docs/nda/99/21-085_Avelox_biopharmr.pdf" TargetMode="External"/><Relationship Id="rId346" Type="http://schemas.openxmlformats.org/officeDocument/2006/relationships/hyperlink" Target="https://www.accessdata.fda.gov/drugsatfda_docs/nda/2012/204384Orig1s000ClinPharmR.pdf" TargetMode="External"/><Relationship Id="rId553" Type="http://schemas.openxmlformats.org/officeDocument/2006/relationships/hyperlink" Target="https://accpjournals.onlinelibrary.wiley.com/doi/pdfdirect/10.1002/phar.1337" TargetMode="External"/><Relationship Id="rId760" Type="http://schemas.openxmlformats.org/officeDocument/2006/relationships/hyperlink" Target="https://accpjournals.onlinelibrary.wiley.com/doi/pdfdirect/10.1002/phar.1337" TargetMode="External"/><Relationship Id="rId99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83" Type="http://schemas.openxmlformats.org/officeDocument/2006/relationships/hyperlink" Target="https://pmc.ncbi.nlm.nih.gov/articles/PMC2737845/" TargetMode="External"/><Relationship Id="rId1390" Type="http://schemas.openxmlformats.org/officeDocument/2006/relationships/hyperlink" Target="https://www.ema.europa.eu/en/documents/assessment-report/deltyba-epar-public-assessment-report_en.pdf" TargetMode="External"/><Relationship Id="rId206" Type="http://schemas.openxmlformats.org/officeDocument/2006/relationships/hyperlink" Target="https://www.accessdata.fda.gov/drugsatfda_docs/nda/2012/204384Orig1s000ClinPharmR.pdf" TargetMode="External"/><Relationship Id="rId413" Type="http://schemas.openxmlformats.org/officeDocument/2006/relationships/hyperlink" Target="https://citeseerx.ist.psu.edu/document?repid=rep1&amp;type=pdf&amp;doi=588491a8cc19861703f56475ca7cd78fee681b81" TargetMode="External"/><Relationship Id="rId858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43" Type="http://schemas.openxmlformats.org/officeDocument/2006/relationships/hyperlink" Target="https://serval.unil.ch/resource/serval:BIB_405A2D6AF487.P001/REF.pdf" TargetMode="External"/><Relationship Id="rId1488" Type="http://schemas.openxmlformats.org/officeDocument/2006/relationships/hyperlink" Target="https://bpspubs.onlinelibrary.wiley.com/doi/10.1111/bcp.15672" TargetMode="External"/><Relationship Id="rId1695" Type="http://schemas.openxmlformats.org/officeDocument/2006/relationships/hyperlink" Target="https://www.mdpi.com/1999-4923/16/11/1449" TargetMode="External"/><Relationship Id="rId620" Type="http://schemas.openxmlformats.org/officeDocument/2006/relationships/hyperlink" Target="https://accpjournals.onlinelibrary.wiley.com/doi/pdfdirect/10.1002/phar.1337" TargetMode="External"/><Relationship Id="rId718" Type="http://schemas.openxmlformats.org/officeDocument/2006/relationships/hyperlink" Target="https://accpjournals.onlinelibrary.wiley.com/doi/pdfdirect/10.1002/phar.1458" TargetMode="External"/><Relationship Id="rId92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50" Type="http://schemas.openxmlformats.org/officeDocument/2006/relationships/hyperlink" Target="https://pmc.ncbi.nlm.nih.gov/articles/PMC3811266/" TargetMode="External"/><Relationship Id="rId1348" Type="http://schemas.openxmlformats.org/officeDocument/2006/relationships/hyperlink" Target="https://www.ema.europa.eu/en/documents/assessment-report/deltyba-epar-public-assessment-report_en.pdf" TargetMode="External"/><Relationship Id="rId1555" Type="http://schemas.openxmlformats.org/officeDocument/2006/relationships/hyperlink" Target="https://pmc.ncbi.nlm.nih.gov/articles/PMC1087638/" TargetMode="External"/><Relationship Id="rId1110" Type="http://schemas.openxmlformats.org/officeDocument/2006/relationships/hyperlink" Target="https://pmc.ncbi.nlm.nih.gov/articles/PMC2737845/" TargetMode="External"/><Relationship Id="rId1208" Type="http://schemas.openxmlformats.org/officeDocument/2006/relationships/hyperlink" Target="https://pmc.ncbi.nlm.nih.gov/articles/PMC3811266/" TargetMode="External"/><Relationship Id="rId1415" Type="http://schemas.openxmlformats.org/officeDocument/2006/relationships/hyperlink" Target="https://www.ema.europa.eu/en/documents/assessment-report/deltyba-epar-public-assessment-report_en.pdf" TargetMode="External"/><Relationship Id="rId54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622" Type="http://schemas.openxmlformats.org/officeDocument/2006/relationships/hyperlink" Target="https://pmc.ncbi.nlm.nih.gov/articles/PMC1087638/" TargetMode="External"/><Relationship Id="rId270" Type="http://schemas.openxmlformats.org/officeDocument/2006/relationships/hyperlink" Target="https://journals.asm.org/doi/epub/10.1128/aac.01418-13?src=getftr&amp;utm_source=wiley&amp;getft_integrator=wiley" TargetMode="External"/><Relationship Id="rId130" Type="http://schemas.openxmlformats.org/officeDocument/2006/relationships/hyperlink" Target="https://www.accessdata.fda.gov/drugsatfda_docs/nda/99/21-085_Avelox_biopharmr.pdf" TargetMode="External"/><Relationship Id="rId368" Type="http://schemas.openxmlformats.org/officeDocument/2006/relationships/hyperlink" Target="https://www.ema.europa.eu/en/documents/assessment-report/sirturo-epar-public-assessment-report_en.pdf" TargetMode="External"/><Relationship Id="rId575" Type="http://schemas.openxmlformats.org/officeDocument/2006/relationships/hyperlink" Target="https://accpjournals.onlinelibrary.wiley.com/doi/pdfdirect/10.1002/phar.1337" TargetMode="External"/><Relationship Id="rId782" Type="http://schemas.openxmlformats.org/officeDocument/2006/relationships/hyperlink" Target="https://accpjournals.onlinelibrary.wiley.com/doi/pdfdirect/10.1002/phar.1458" TargetMode="External"/><Relationship Id="rId228" Type="http://schemas.openxmlformats.org/officeDocument/2006/relationships/hyperlink" Target="https://www.accessdata.fda.gov/drugsatfda_docs/nda/2012/204384Orig1s000ClinPharmR.pdf" TargetMode="External"/><Relationship Id="rId435" Type="http://schemas.openxmlformats.org/officeDocument/2006/relationships/hyperlink" Target="https://citeseerx.ist.psu.edu/document?repid=rep1&amp;type=pdf&amp;doi=d4e42f0fb6287c2b204645dab694010d2388ef25" TargetMode="External"/><Relationship Id="rId642" Type="http://schemas.openxmlformats.org/officeDocument/2006/relationships/hyperlink" Target="https://accpjournals.onlinelibrary.wiley.com/doi/pdfdirect/10.1002/phar.1458" TargetMode="External"/><Relationship Id="rId1065" Type="http://schemas.openxmlformats.org/officeDocument/2006/relationships/hyperlink" Target="https://pmc.ncbi.nlm.nih.gov/articles/PMC2737845/" TargetMode="External"/><Relationship Id="rId1272" Type="http://schemas.openxmlformats.org/officeDocument/2006/relationships/hyperlink" Target="https://pmc.ncbi.nlm.nih.gov/articles/PMC2737845/" TargetMode="External"/><Relationship Id="rId502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4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32" Type="http://schemas.openxmlformats.org/officeDocument/2006/relationships/hyperlink" Target="https://pmc.ncbi.nlm.nih.gov/articles/PMC2737845/" TargetMode="External"/><Relationship Id="rId1577" Type="http://schemas.openxmlformats.org/officeDocument/2006/relationships/hyperlink" Target="https://pmc.ncbi.nlm.nih.gov/articles/PMC1087638/" TargetMode="External"/><Relationship Id="rId76" Type="http://schemas.openxmlformats.org/officeDocument/2006/relationships/hyperlink" Target="https://www.accessdata.fda.gov/drugsatfda_docs/nda/99/21-085_Avelox_biopharmr.pdf" TargetMode="External"/><Relationship Id="rId807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437" Type="http://schemas.openxmlformats.org/officeDocument/2006/relationships/hyperlink" Target="https://www.ema.europa.eu/en/documents/assessment-report/deltyba-epar-public-assessment-report_en.pdf" TargetMode="External"/><Relationship Id="rId1644" Type="http://schemas.openxmlformats.org/officeDocument/2006/relationships/hyperlink" Target="https://pmc.ncbi.nlm.nih.gov/articles/PMC1087638/" TargetMode="External"/><Relationship Id="rId1504" Type="http://schemas.openxmlformats.org/officeDocument/2006/relationships/hyperlink" Target="https://bpspubs.onlinelibrary.wiley.com/doi/10.1111/bcp.15672" TargetMode="External"/><Relationship Id="rId1711" Type="http://schemas.openxmlformats.org/officeDocument/2006/relationships/hyperlink" Target="https://www.mdpi.com/1999-4923/16/11/1449" TargetMode="External"/><Relationship Id="rId292" Type="http://schemas.openxmlformats.org/officeDocument/2006/relationships/hyperlink" Target="https://journals.asm.org/doi/epub/10.1128/aac.01418-13?src=getftr&amp;utm_source=wiley&amp;getft_integrator=wiley" TargetMode="External"/><Relationship Id="rId597" Type="http://schemas.openxmlformats.org/officeDocument/2006/relationships/hyperlink" Target="https://accpjournals.onlinelibrary.wiley.com/doi/pdfdirect/10.1002/phar.1337" TargetMode="External"/><Relationship Id="rId152" Type="http://schemas.openxmlformats.org/officeDocument/2006/relationships/hyperlink" Target="https://www.accessdata.fda.gov/drugsatfda_docs/nda/99/21-085_Avelox_biopharmr.pdf" TargetMode="External"/><Relationship Id="rId457" Type="http://schemas.openxmlformats.org/officeDocument/2006/relationships/hyperlink" Target="https://citeseerx.ist.psu.edu/document?repid=rep1&amp;type=pdf&amp;doi=d4e42f0fb6287c2b204645dab694010d2388ef25" TargetMode="External"/><Relationship Id="rId1087" Type="http://schemas.openxmlformats.org/officeDocument/2006/relationships/hyperlink" Target="https://pmc.ncbi.nlm.nih.gov/articles/PMC2737845/" TargetMode="External"/><Relationship Id="rId1294" Type="http://schemas.openxmlformats.org/officeDocument/2006/relationships/hyperlink" Target="https://pmc.ncbi.nlm.nih.gov/articles/PMC2737845/" TargetMode="External"/><Relationship Id="rId664" Type="http://schemas.openxmlformats.org/officeDocument/2006/relationships/hyperlink" Target="https://pmc.ncbi.nlm.nih.gov/articles/PMC4249404/" TargetMode="External"/><Relationship Id="rId87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6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599" Type="http://schemas.openxmlformats.org/officeDocument/2006/relationships/hyperlink" Target="https://pmc.ncbi.nlm.nih.gov/articles/PMC1087638/" TargetMode="External"/><Relationship Id="rId317" Type="http://schemas.openxmlformats.org/officeDocument/2006/relationships/hyperlink" Target="https://www.accessdata.fda.gov/drugsatfda_docs/nda/2012/204384Orig1s000ClinPharmR.pdf" TargetMode="External"/><Relationship Id="rId524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31" Type="http://schemas.openxmlformats.org/officeDocument/2006/relationships/hyperlink" Target="https://pmc.ncbi.nlm.nih.gov/articles/PMC4249404/" TargetMode="External"/><Relationship Id="rId1154" Type="http://schemas.openxmlformats.org/officeDocument/2006/relationships/hyperlink" Target="https://pmc.ncbi.nlm.nih.gov/articles/PMC2737845/" TargetMode="External"/><Relationship Id="rId1361" Type="http://schemas.openxmlformats.org/officeDocument/2006/relationships/hyperlink" Target="https://www.ema.europa.eu/en/documents/assessment-report/deltyba-epar-public-assessment-report_en.pdf" TargetMode="External"/><Relationship Id="rId1459" Type="http://schemas.openxmlformats.org/officeDocument/2006/relationships/hyperlink" Target="https://www.ema.europa.eu/en/documents/assessment-report/deltyba-epar-public-assessment-report_en.pdf" TargetMode="External"/><Relationship Id="rId98" Type="http://schemas.openxmlformats.org/officeDocument/2006/relationships/hyperlink" Target="https://www.accessdata.fda.gov/drugsatfda_docs/nda/99/21-085_Avelox_biopharmr.pdf" TargetMode="External"/><Relationship Id="rId829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1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21" Type="http://schemas.openxmlformats.org/officeDocument/2006/relationships/hyperlink" Target="https://pmc.ncbi.nlm.nih.gov/articles/PMC3811266/" TargetMode="External"/><Relationship Id="rId1666" Type="http://schemas.openxmlformats.org/officeDocument/2006/relationships/hyperlink" Target="https://pmc.ncbi.nlm.nih.gov/articles/PMC1087638/" TargetMode="External"/><Relationship Id="rId1319" Type="http://schemas.openxmlformats.org/officeDocument/2006/relationships/hyperlink" Target="https://www.ema.europa.eu/en/documents/assessment-report/deltyba-epar-public-assessment-report_en.pdf" TargetMode="External"/><Relationship Id="rId1526" Type="http://schemas.openxmlformats.org/officeDocument/2006/relationships/hyperlink" Target="https://journals.asm.org/doi/pdf/10.1128/aac.36.7.1532" TargetMode="External"/><Relationship Id="rId173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5" Type="http://schemas.openxmlformats.org/officeDocument/2006/relationships/hyperlink" Target="https://www.accessdata.fda.gov/drugsatfda_docs/anda/97/064150review.pdf" TargetMode="External"/><Relationship Id="rId174" Type="http://schemas.openxmlformats.org/officeDocument/2006/relationships/hyperlink" Target="https://www.accessdata.fda.gov/drugsatfda_docs/label/2016/021085s063lbl.pdf" TargetMode="External"/><Relationship Id="rId381" Type="http://schemas.openxmlformats.org/officeDocument/2006/relationships/hyperlink" Target="https://citeseerx.ist.psu.edu/document?repid=rep1&amp;type=pdf&amp;doi=588491a8cc19861703f56475ca7cd78fee681b81" TargetMode="External"/><Relationship Id="rId241" Type="http://schemas.openxmlformats.org/officeDocument/2006/relationships/hyperlink" Target="https://www.accessdata.fda.gov/drugsatfda_docs/nda/2012/204384Orig1s000ClinPharmR.pdf" TargetMode="External"/><Relationship Id="rId479" Type="http://schemas.openxmlformats.org/officeDocument/2006/relationships/hyperlink" Target="https://citeseerx.ist.psu.edu/document?repid=rep1&amp;type=pdf&amp;doi=d4e42f0fb6287c2b204645dab694010d2388ef25" TargetMode="External"/><Relationship Id="rId686" Type="http://schemas.openxmlformats.org/officeDocument/2006/relationships/hyperlink" Target="https://accpjournals.onlinelibrary.wiley.com/doi/pdfdirect/10.1002/phar.1458" TargetMode="External"/><Relationship Id="rId89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39" Type="http://schemas.openxmlformats.org/officeDocument/2006/relationships/hyperlink" Target="https://www.accessdata.fda.gov/drugsatfda_docs/nda/2012/204384Orig1s000ClinPharmR.pdf" TargetMode="External"/><Relationship Id="rId54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53" Type="http://schemas.openxmlformats.org/officeDocument/2006/relationships/hyperlink" Target="https://pmc.ncbi.nlm.nih.gov/articles/PMC4249404/" TargetMode="External"/><Relationship Id="rId1176" Type="http://schemas.openxmlformats.org/officeDocument/2006/relationships/hyperlink" Target="https://pmc.ncbi.nlm.nih.gov/articles/PMC2737845/" TargetMode="External"/><Relationship Id="rId1383" Type="http://schemas.openxmlformats.org/officeDocument/2006/relationships/hyperlink" Target="https://www.ema.europa.eu/en/documents/assessment-report/deltyba-epar-public-assessment-report_en.pdf" TargetMode="External"/><Relationship Id="rId101" Type="http://schemas.openxmlformats.org/officeDocument/2006/relationships/hyperlink" Target="https://www.accessdata.fda.gov/drugsatfda_docs/nda/99/21-085_Avelox_biopharmr.pdf" TargetMode="External"/><Relationship Id="rId406" Type="http://schemas.openxmlformats.org/officeDocument/2006/relationships/hyperlink" Target="https://citeseerx.ist.psu.edu/document?repid=rep1&amp;type=pdf&amp;doi=588491a8cc19861703f56475ca7cd78fee681b81" TargetMode="External"/><Relationship Id="rId96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36" Type="http://schemas.openxmlformats.org/officeDocument/2006/relationships/hyperlink" Target="https://pmc.ncbi.nlm.nih.gov/articles/PMC6544242/" TargetMode="External"/><Relationship Id="rId1243" Type="http://schemas.openxmlformats.org/officeDocument/2006/relationships/hyperlink" Target="https://pmc.ncbi.nlm.nih.gov/articles/PMC3811266/" TargetMode="External"/><Relationship Id="rId1590" Type="http://schemas.openxmlformats.org/officeDocument/2006/relationships/hyperlink" Target="https://citeseerx.ist.psu.edu/document?repid=rep1&amp;type=pdf&amp;doi=c986b50db0b4fc8265f37a7be5a827282690abfa" TargetMode="External"/><Relationship Id="rId1688" Type="http://schemas.openxmlformats.org/officeDocument/2006/relationships/hyperlink" Target="https://www.mdpi.com/1999-4923/16/11/1449" TargetMode="External"/><Relationship Id="rId613" Type="http://schemas.openxmlformats.org/officeDocument/2006/relationships/hyperlink" Target="https://accpjournals.onlinelibrary.wiley.com/doi/pdfdirect/10.1002/phar.1337" TargetMode="External"/><Relationship Id="rId82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1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50" Type="http://schemas.openxmlformats.org/officeDocument/2006/relationships/hyperlink" Target="https://www.ema.europa.eu/en/documents/assessment-report/deltyba-epar-public-assessment-report_en.pdf" TargetMode="External"/><Relationship Id="rId1548" Type="http://schemas.openxmlformats.org/officeDocument/2006/relationships/hyperlink" Target="https://pmc.ncbi.nlm.nih.gov/articles/PMC1087638/" TargetMode="External"/><Relationship Id="rId1103" Type="http://schemas.openxmlformats.org/officeDocument/2006/relationships/hyperlink" Target="https://pmc.ncbi.nlm.nih.gov/articles/PMC2737845/" TargetMode="External"/><Relationship Id="rId1310" Type="http://schemas.openxmlformats.org/officeDocument/2006/relationships/hyperlink" Target="https://www.ema.europa.eu/en/documents/assessment-report/deltyba-epar-public-assessment-report_en.pdf" TargetMode="External"/><Relationship Id="rId1408" Type="http://schemas.openxmlformats.org/officeDocument/2006/relationships/hyperlink" Target="https://www.ema.europa.eu/en/documents/assessment-report/deltyba-epar-public-assessment-report_en.pdf" TargetMode="External"/><Relationship Id="rId47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615" Type="http://schemas.openxmlformats.org/officeDocument/2006/relationships/hyperlink" Target="https://pmc.ncbi.nlm.nih.gov/articles/PMC1087638/" TargetMode="External"/><Relationship Id="rId196" Type="http://schemas.openxmlformats.org/officeDocument/2006/relationships/hyperlink" Target="https://www.accessdata.fda.gov/drugsatfda_docs/nda/2012/204384Orig1s000ClinPharmR.pdf" TargetMode="External"/><Relationship Id="rId263" Type="http://schemas.openxmlformats.org/officeDocument/2006/relationships/hyperlink" Target="https://journals.asm.org/doi/epub/10.1128/aac.01418-13?src=getftr&amp;utm_source=wiley&amp;getft_integrator=wiley" TargetMode="External"/><Relationship Id="rId470" Type="http://schemas.openxmlformats.org/officeDocument/2006/relationships/hyperlink" Target="https://citeseerx.ist.psu.edu/document?repid=rep1&amp;type=pdf&amp;doi=d4e42f0fb6287c2b204645dab694010d2388ef25" TargetMode="External"/><Relationship Id="rId123" Type="http://schemas.openxmlformats.org/officeDocument/2006/relationships/hyperlink" Target="https://www.accessdata.fda.gov/drugsatfda_docs/nda/99/21-085_Avelox_biopharmr.pdf" TargetMode="External"/><Relationship Id="rId330" Type="http://schemas.openxmlformats.org/officeDocument/2006/relationships/hyperlink" Target="https://www.accessdata.fda.gov/drugsatfda_docs/nda/2012/204384Orig1s000ClinPharmR.pdf" TargetMode="External"/><Relationship Id="rId568" Type="http://schemas.openxmlformats.org/officeDocument/2006/relationships/hyperlink" Target="https://accpjournals.onlinelibrary.wiley.com/doi/pdfdirect/10.1002/phar.1337" TargetMode="External"/><Relationship Id="rId775" Type="http://schemas.openxmlformats.org/officeDocument/2006/relationships/hyperlink" Target="https://accpjournals.onlinelibrary.wiley.com/doi/pdfdirect/10.1002/phar.1458" TargetMode="External"/><Relationship Id="rId98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98" Type="http://schemas.openxmlformats.org/officeDocument/2006/relationships/hyperlink" Target="https://pmc.ncbi.nlm.nih.gov/articles/PMC2737845/" TargetMode="External"/><Relationship Id="rId428" Type="http://schemas.openxmlformats.org/officeDocument/2006/relationships/hyperlink" Target="https://citeseerx.ist.psu.edu/document?repid=rep1&amp;type=pdf&amp;doi=d4e42f0fb6287c2b204645dab694010d2388ef25" TargetMode="External"/><Relationship Id="rId635" Type="http://schemas.openxmlformats.org/officeDocument/2006/relationships/hyperlink" Target="https://accpjournals.onlinelibrary.wiley.com/doi/pdfdirect/10.1002/phar.1337" TargetMode="External"/><Relationship Id="rId84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58" Type="http://schemas.openxmlformats.org/officeDocument/2006/relationships/hyperlink" Target="https://pmc.ncbi.nlm.nih.gov/articles/PMC2737845/" TargetMode="External"/><Relationship Id="rId1265" Type="http://schemas.openxmlformats.org/officeDocument/2006/relationships/hyperlink" Target="https://pmc.ncbi.nlm.nih.gov/articles/PMC2737845/" TargetMode="External"/><Relationship Id="rId1472" Type="http://schemas.openxmlformats.org/officeDocument/2006/relationships/hyperlink" Target="https://bpspubs.onlinelibrary.wiley.com/doi/10.1111/bcp.15672" TargetMode="External"/><Relationship Id="rId702" Type="http://schemas.openxmlformats.org/officeDocument/2006/relationships/hyperlink" Target="https://accpjournals.onlinelibrary.wiley.com/doi/pdfdirect/10.1002/phar.1458" TargetMode="External"/><Relationship Id="rId1125" Type="http://schemas.openxmlformats.org/officeDocument/2006/relationships/hyperlink" Target="https://pmc.ncbi.nlm.nih.gov/articles/PMC2737845/" TargetMode="External"/><Relationship Id="rId1332" Type="http://schemas.openxmlformats.org/officeDocument/2006/relationships/hyperlink" Target="https://www.ema.europa.eu/en/documents/assessment-report/deltyba-epar-public-assessment-report_en.pdf" TargetMode="External"/><Relationship Id="rId69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637" Type="http://schemas.openxmlformats.org/officeDocument/2006/relationships/hyperlink" Target="https://pmc.ncbi.nlm.nih.gov/articles/PMC1087638/" TargetMode="External"/><Relationship Id="rId1704" Type="http://schemas.openxmlformats.org/officeDocument/2006/relationships/hyperlink" Target="https://www.mdpi.com/1999-4923/16/11/1449" TargetMode="External"/><Relationship Id="rId285" Type="http://schemas.openxmlformats.org/officeDocument/2006/relationships/hyperlink" Target="https://journals.asm.org/doi/epub/10.1128/aac.01418-13?src=getftr&amp;utm_source=wiley&amp;getft_integrator=wiley" TargetMode="External"/><Relationship Id="rId492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97" Type="http://schemas.openxmlformats.org/officeDocument/2006/relationships/hyperlink" Target="https://accpjournals.onlinelibrary.wiley.com/doi/pdfdirect/10.1002/phar.1458" TargetMode="External"/><Relationship Id="rId145" Type="http://schemas.openxmlformats.org/officeDocument/2006/relationships/hyperlink" Target="https://www.accessdata.fda.gov/drugsatfda_docs/nda/99/21-085_Avelox_biopharmr.pdf" TargetMode="External"/><Relationship Id="rId352" Type="http://schemas.openxmlformats.org/officeDocument/2006/relationships/hyperlink" Target="https://www.ema.europa.eu/en/documents/assessment-report/sirturo-epar-public-assessment-report_en.pdf" TargetMode="External"/><Relationship Id="rId1287" Type="http://schemas.openxmlformats.org/officeDocument/2006/relationships/hyperlink" Target="https://pmc.ncbi.nlm.nih.gov/articles/PMC2737845/" TargetMode="External"/><Relationship Id="rId212" Type="http://schemas.openxmlformats.org/officeDocument/2006/relationships/hyperlink" Target="https://www.accessdata.fda.gov/drugsatfda_docs/nda/2012/204384Orig1s000ClinPharmR.pdf" TargetMode="External"/><Relationship Id="rId657" Type="http://schemas.openxmlformats.org/officeDocument/2006/relationships/hyperlink" Target="https://accpjournals.onlinelibrary.wiley.com/doi/pdfdirect/10.1002/phar.1458" TargetMode="External"/><Relationship Id="rId86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494" Type="http://schemas.openxmlformats.org/officeDocument/2006/relationships/hyperlink" Target="https://bpspubs.onlinelibrary.wiley.com/doi/10.1111/bcp.15672" TargetMode="External"/><Relationship Id="rId51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24" Type="http://schemas.openxmlformats.org/officeDocument/2006/relationships/hyperlink" Target="https://accpjournals.onlinelibrary.wiley.com/doi/pdfdirect/10.1002/phar.1458" TargetMode="External"/><Relationship Id="rId93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47" Type="http://schemas.openxmlformats.org/officeDocument/2006/relationships/hyperlink" Target="https://pmc.ncbi.nlm.nih.gov/articles/PMC2737845/" TargetMode="External"/><Relationship Id="rId1354" Type="http://schemas.openxmlformats.org/officeDocument/2006/relationships/hyperlink" Target="https://www.ema.europa.eu/en/documents/assessment-report/deltyba-epar-public-assessment-report_en.pdf" TargetMode="External"/><Relationship Id="rId1561" Type="http://schemas.openxmlformats.org/officeDocument/2006/relationships/hyperlink" Target="https://pmc.ncbi.nlm.nih.gov/articles/PMC1087638/" TargetMode="External"/><Relationship Id="rId60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00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14" Type="http://schemas.openxmlformats.org/officeDocument/2006/relationships/hyperlink" Target="https://pmc.ncbi.nlm.nih.gov/articles/PMC3811266/" TargetMode="External"/><Relationship Id="rId1421" Type="http://schemas.openxmlformats.org/officeDocument/2006/relationships/hyperlink" Target="https://www.ema.europa.eu/en/documents/assessment-report/deltyba-epar-public-assessment-report_en.pdf" TargetMode="External"/><Relationship Id="rId1659" Type="http://schemas.openxmlformats.org/officeDocument/2006/relationships/hyperlink" Target="https://pmc.ncbi.nlm.nih.gov/articles/PMC1087638/" TargetMode="External"/><Relationship Id="rId1519" Type="http://schemas.openxmlformats.org/officeDocument/2006/relationships/hyperlink" Target="https://citeseerx.ist.psu.edu/document?repid=rep1&amp;type=pdf&amp;doi=5b8c4c32934f844c9acab90c2be0e0fd59b801de" TargetMode="External"/><Relationship Id="rId172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8" Type="http://schemas.openxmlformats.org/officeDocument/2006/relationships/hyperlink" Target="https://www.accessdata.fda.gov/drugsatfda_docs/anda/97/064150review.pdf" TargetMode="External"/><Relationship Id="rId167" Type="http://schemas.openxmlformats.org/officeDocument/2006/relationships/hyperlink" Target="https://www.accessdata.fda.gov/drugsatfda_docs/nda/99/21-085_Avelox_biopharmr.pdf" TargetMode="External"/><Relationship Id="rId374" Type="http://schemas.openxmlformats.org/officeDocument/2006/relationships/hyperlink" Target="https://www.ema.europa.eu/en/documents/assessment-report/sirturo-epar-public-assessment-report_en.pdf" TargetMode="External"/><Relationship Id="rId581" Type="http://schemas.openxmlformats.org/officeDocument/2006/relationships/hyperlink" Target="https://accpjournals.onlinelibrary.wiley.com/doi/pdfdirect/10.1002/phar.1337" TargetMode="External"/><Relationship Id="rId234" Type="http://schemas.openxmlformats.org/officeDocument/2006/relationships/hyperlink" Target="https://www.accessdata.fda.gov/drugsatfda_docs/nda/2012/204384Orig1s000ClinPharmR.pdf" TargetMode="External"/><Relationship Id="rId679" Type="http://schemas.openxmlformats.org/officeDocument/2006/relationships/hyperlink" Target="https://accpjournals.onlinelibrary.wiley.com/doi/pdfdirect/10.1002/phar.1458" TargetMode="External"/><Relationship Id="rId88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" Type="http://schemas.openxmlformats.org/officeDocument/2006/relationships/hyperlink" Target="https://www.accessdata.fda.gov/drugsatfda_docs/label/2013/050420s075,050627s014lbl.pdf" TargetMode="External"/><Relationship Id="rId441" Type="http://schemas.openxmlformats.org/officeDocument/2006/relationships/hyperlink" Target="https://citeseerx.ist.psu.edu/document?repid=rep1&amp;type=pdf&amp;doi=d4e42f0fb6287c2b204645dab694010d2388ef25" TargetMode="External"/><Relationship Id="rId539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46" Type="http://schemas.openxmlformats.org/officeDocument/2006/relationships/hyperlink" Target="https://pmc.ncbi.nlm.nih.gov/articles/PMC4249404/" TargetMode="External"/><Relationship Id="rId1071" Type="http://schemas.openxmlformats.org/officeDocument/2006/relationships/hyperlink" Target="https://pmc.ncbi.nlm.nih.gov/articles/PMC2737845/" TargetMode="External"/><Relationship Id="rId1169" Type="http://schemas.openxmlformats.org/officeDocument/2006/relationships/hyperlink" Target="https://pmc.ncbi.nlm.nih.gov/articles/PMC2737845/" TargetMode="External"/><Relationship Id="rId1376" Type="http://schemas.openxmlformats.org/officeDocument/2006/relationships/hyperlink" Target="https://www.ema.europa.eu/en/documents/assessment-report/deltyba-epar-public-assessment-report_en.pdf" TargetMode="External"/><Relationship Id="rId1583" Type="http://schemas.openxmlformats.org/officeDocument/2006/relationships/hyperlink" Target="https://citeseerx.ist.psu.edu/document?repid=rep1&amp;type=pdf&amp;doi=c986b50db0b4fc8265f37a7be5a827282690abfa" TargetMode="External"/><Relationship Id="rId301" Type="http://schemas.openxmlformats.org/officeDocument/2006/relationships/hyperlink" Target="https://journals.asm.org/doi/epub/10.1128/aac.01418-13?src=getftr&amp;utm_source=wiley&amp;getft_integrator=wiley" TargetMode="External"/><Relationship Id="rId95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29" Type="http://schemas.openxmlformats.org/officeDocument/2006/relationships/hyperlink" Target="https://pmc.ncbi.nlm.nih.gov/articles/PMC6544242/" TargetMode="External"/><Relationship Id="rId1236" Type="http://schemas.openxmlformats.org/officeDocument/2006/relationships/hyperlink" Target="https://pmc.ncbi.nlm.nih.gov/articles/PMC3811266/" TargetMode="External"/><Relationship Id="rId82" Type="http://schemas.openxmlformats.org/officeDocument/2006/relationships/hyperlink" Target="https://www.accessdata.fda.gov/drugsatfda_docs/label/2016/021085s063lbl.pdf" TargetMode="External"/><Relationship Id="rId606" Type="http://schemas.openxmlformats.org/officeDocument/2006/relationships/hyperlink" Target="https://accpjournals.onlinelibrary.wiley.com/doi/pdfdirect/10.1002/phar.1337" TargetMode="External"/><Relationship Id="rId81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443" Type="http://schemas.openxmlformats.org/officeDocument/2006/relationships/hyperlink" Target="https://www.ema.europa.eu/en/documents/assessment-report/deltyba-epar-public-assessment-report_en.pdf" TargetMode="External"/><Relationship Id="rId1650" Type="http://schemas.openxmlformats.org/officeDocument/2006/relationships/hyperlink" Target="https://pmc.ncbi.nlm.nih.gov/articles/PMC1087638/" TargetMode="External"/><Relationship Id="rId174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03" Type="http://schemas.openxmlformats.org/officeDocument/2006/relationships/hyperlink" Target="https://www.ema.europa.eu/en/documents/assessment-report/deltyba-epar-public-assessment-report_en.pdf" TargetMode="External"/><Relationship Id="rId1510" Type="http://schemas.openxmlformats.org/officeDocument/2006/relationships/hyperlink" Target="https://citeseerx.ist.psu.edu/document?repid=rep1&amp;type=pdf&amp;doi=5b8c4c32934f844c9acab90c2be0e0fd59b801de" TargetMode="External"/><Relationship Id="rId1608" Type="http://schemas.openxmlformats.org/officeDocument/2006/relationships/hyperlink" Target="https://pmc.ncbi.nlm.nih.gov/articles/PMC1087638/" TargetMode="External"/><Relationship Id="rId189" Type="http://schemas.openxmlformats.org/officeDocument/2006/relationships/hyperlink" Target="https://www.accessdata.fda.gov/drugsatfda_docs/nda/99/21-085_Avelox_biopharmr.pdf" TargetMode="External"/><Relationship Id="rId396" Type="http://schemas.openxmlformats.org/officeDocument/2006/relationships/hyperlink" Target="https://citeseerx.ist.psu.edu/document?repid=rep1&amp;type=pdf&amp;doi=588491a8cc19861703f56475ca7cd78fee681b81" TargetMode="External"/><Relationship Id="rId256" Type="http://schemas.openxmlformats.org/officeDocument/2006/relationships/hyperlink" Target="https://www.ema.europa.eu/en/documents/assessment-report/sirturo-epar-public-assessment-report_en.pdf" TargetMode="External"/><Relationship Id="rId463" Type="http://schemas.openxmlformats.org/officeDocument/2006/relationships/hyperlink" Target="https://citeseerx.ist.psu.edu/document?repid=rep1&amp;type=pdf&amp;doi=d4e42f0fb6287c2b204645dab694010d2388ef25" TargetMode="External"/><Relationship Id="rId670" Type="http://schemas.openxmlformats.org/officeDocument/2006/relationships/hyperlink" Target="https://pmc.ncbi.nlm.nih.gov/articles/PMC4249404/" TargetMode="External"/><Relationship Id="rId1093" Type="http://schemas.openxmlformats.org/officeDocument/2006/relationships/hyperlink" Target="https://pmc.ncbi.nlm.nih.gov/articles/PMC2737845/" TargetMode="External"/><Relationship Id="rId116" Type="http://schemas.openxmlformats.org/officeDocument/2006/relationships/hyperlink" Target="https://www.accessdata.fda.gov/drugsatfda_docs/nda/99/21-085_Avelox_biopharmr.pdf" TargetMode="External"/><Relationship Id="rId323" Type="http://schemas.openxmlformats.org/officeDocument/2006/relationships/hyperlink" Target="https://www.accessdata.fda.gov/drugsatfda_docs/nda/2012/204384Orig1s000ClinPharmR.pdf" TargetMode="External"/><Relationship Id="rId530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68" Type="http://schemas.openxmlformats.org/officeDocument/2006/relationships/hyperlink" Target="https://accpjournals.onlinelibrary.wiley.com/doi/pdfdirect/10.1002/phar.1458" TargetMode="External"/><Relationship Id="rId97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60" Type="http://schemas.openxmlformats.org/officeDocument/2006/relationships/hyperlink" Target="https://pmc.ncbi.nlm.nih.gov/articles/PMC2737845/" TargetMode="External"/><Relationship Id="rId1398" Type="http://schemas.openxmlformats.org/officeDocument/2006/relationships/hyperlink" Target="https://www.ema.europa.eu/en/documents/assessment-report/deltyba-epar-public-assessment-report_en.pdf" TargetMode="External"/><Relationship Id="rId628" Type="http://schemas.openxmlformats.org/officeDocument/2006/relationships/hyperlink" Target="https://accpjournals.onlinelibrary.wiley.com/doi/pdfdirect/10.1002/phar.1337" TargetMode="External"/><Relationship Id="rId83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58" Type="http://schemas.openxmlformats.org/officeDocument/2006/relationships/hyperlink" Target="https://pmc.ncbi.nlm.nih.gov/articles/PMC2737845/" TargetMode="External"/><Relationship Id="rId1465" Type="http://schemas.openxmlformats.org/officeDocument/2006/relationships/hyperlink" Target="https://www.ema.europa.eu/en/documents/assessment-report/deltyba-epar-public-assessment-report_en.pdf" TargetMode="External"/><Relationship Id="rId1672" Type="http://schemas.openxmlformats.org/officeDocument/2006/relationships/hyperlink" Target="https://pmc.ncbi.nlm.nih.gov/articles/PMC1087638/" TargetMode="External"/><Relationship Id="rId102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18" Type="http://schemas.openxmlformats.org/officeDocument/2006/relationships/hyperlink" Target="https://pmc.ncbi.nlm.nih.gov/articles/PMC2737845/" TargetMode="External"/><Relationship Id="rId1325" Type="http://schemas.openxmlformats.org/officeDocument/2006/relationships/hyperlink" Target="https://www.ema.europa.eu/en/documents/assessment-report/deltyba-epar-public-assessment-report_en.pdf" TargetMode="External"/><Relationship Id="rId1532" Type="http://schemas.openxmlformats.org/officeDocument/2006/relationships/hyperlink" Target="https://pmc.ncbi.nlm.nih.gov/articles/PMC245547/" TargetMode="External"/><Relationship Id="rId90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1" Type="http://schemas.openxmlformats.org/officeDocument/2006/relationships/hyperlink" Target="https://www.accessdata.fda.gov/drugsatfda_docs/anda/97/064150review.pdf" TargetMode="External"/><Relationship Id="rId180" Type="http://schemas.openxmlformats.org/officeDocument/2006/relationships/hyperlink" Target="https://www.accessdata.fda.gov/drugsatfda_docs/label/2016/021085s063lbl.pdf" TargetMode="External"/><Relationship Id="rId278" Type="http://schemas.openxmlformats.org/officeDocument/2006/relationships/hyperlink" Target="https://journals.asm.org/doi/epub/10.1128/aac.01418-13?src=getftr&amp;utm_source=wiley&amp;getft_integrator=wiley" TargetMode="External"/><Relationship Id="rId48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92" Type="http://schemas.openxmlformats.org/officeDocument/2006/relationships/hyperlink" Target="https://accpjournals.onlinelibrary.wiley.com/doi/pdfdirect/10.1002/phar.1458" TargetMode="External"/><Relationship Id="rId138" Type="http://schemas.openxmlformats.org/officeDocument/2006/relationships/hyperlink" Target="https://www.accessdata.fda.gov/drugsatfda_docs/nda/99/21-085_Avelox_biopharmr.pdf" TargetMode="External"/><Relationship Id="rId345" Type="http://schemas.openxmlformats.org/officeDocument/2006/relationships/hyperlink" Target="https://www.accessdata.fda.gov/drugsatfda_docs/nda/2012/204384Orig1s000ClinPharmR.pdf" TargetMode="External"/><Relationship Id="rId552" Type="http://schemas.openxmlformats.org/officeDocument/2006/relationships/hyperlink" Target="https://accpjournals.onlinelibrary.wiley.com/doi/pdfdirect/10.1002/phar.1337" TargetMode="External"/><Relationship Id="rId99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82" Type="http://schemas.openxmlformats.org/officeDocument/2006/relationships/hyperlink" Target="https://pmc.ncbi.nlm.nih.gov/articles/PMC2737845/" TargetMode="External"/><Relationship Id="rId205" Type="http://schemas.openxmlformats.org/officeDocument/2006/relationships/hyperlink" Target="https://www.accessdata.fda.gov/drugsatfda_docs/nda/2012/204384Orig1s000ClinPharmR.pdf" TargetMode="External"/><Relationship Id="rId412" Type="http://schemas.openxmlformats.org/officeDocument/2006/relationships/hyperlink" Target="https://citeseerx.ist.psu.edu/document?repid=rep1&amp;type=pdf&amp;doi=588491a8cc19861703f56475ca7cd78fee681b81" TargetMode="External"/><Relationship Id="rId857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42" Type="http://schemas.openxmlformats.org/officeDocument/2006/relationships/hyperlink" Target="https://serval.unil.ch/resource/serval:BIB_405A2D6AF487.P001/REF.pdf" TargetMode="External"/><Relationship Id="rId1487" Type="http://schemas.openxmlformats.org/officeDocument/2006/relationships/hyperlink" Target="https://bpspubs.onlinelibrary.wiley.com/doi/10.1111/bcp.15672" TargetMode="External"/><Relationship Id="rId1694" Type="http://schemas.openxmlformats.org/officeDocument/2006/relationships/hyperlink" Target="https://www.mdpi.com/1999-4923/16/11/1449" TargetMode="External"/><Relationship Id="rId717" Type="http://schemas.openxmlformats.org/officeDocument/2006/relationships/hyperlink" Target="https://accpjournals.onlinelibrary.wiley.com/doi/pdfdirect/10.1002/phar.1458" TargetMode="External"/><Relationship Id="rId92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47" Type="http://schemas.openxmlformats.org/officeDocument/2006/relationships/hyperlink" Target="https://www.ema.europa.eu/en/documents/assessment-report/deltyba-epar-public-assessment-report_en.pdf" TargetMode="External"/><Relationship Id="rId1554" Type="http://schemas.openxmlformats.org/officeDocument/2006/relationships/hyperlink" Target="https://pmc.ncbi.nlm.nih.gov/articles/PMC1087638/" TargetMode="External"/><Relationship Id="rId53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207" Type="http://schemas.openxmlformats.org/officeDocument/2006/relationships/hyperlink" Target="https://pmc.ncbi.nlm.nih.gov/articles/PMC2737845/" TargetMode="External"/><Relationship Id="rId1414" Type="http://schemas.openxmlformats.org/officeDocument/2006/relationships/hyperlink" Target="https://www.ema.europa.eu/en/documents/assessment-report/deltyba-epar-public-assessment-report_en.pdf" TargetMode="External"/><Relationship Id="rId1621" Type="http://schemas.openxmlformats.org/officeDocument/2006/relationships/hyperlink" Target="https://pmc.ncbi.nlm.nih.gov/articles/PMC1087638/" TargetMode="External"/><Relationship Id="rId1719" Type="http://schemas.openxmlformats.org/officeDocument/2006/relationships/hyperlink" Target="https://pmc.ncbi.nlm.nih.gov/articles/PMC4249404/" TargetMode="External"/><Relationship Id="rId367" Type="http://schemas.openxmlformats.org/officeDocument/2006/relationships/hyperlink" Target="https://www.ema.europa.eu/en/documents/assessment-report/sirturo-epar-public-assessment-report_en.pdf" TargetMode="External"/><Relationship Id="rId574" Type="http://schemas.openxmlformats.org/officeDocument/2006/relationships/hyperlink" Target="https://accpjournals.onlinelibrary.wiley.com/doi/pdfdirect/10.1002/phar.1337" TargetMode="External"/><Relationship Id="rId227" Type="http://schemas.openxmlformats.org/officeDocument/2006/relationships/hyperlink" Target="https://www.accessdata.fda.gov/drugsatfda_docs/nda/2012/204384Orig1s000ClinPharmR.pdf" TargetMode="External"/><Relationship Id="rId781" Type="http://schemas.openxmlformats.org/officeDocument/2006/relationships/hyperlink" Target="https://accpjournals.onlinelibrary.wiley.com/doi/pdfdirect/10.1002/phar.1458" TargetMode="External"/><Relationship Id="rId87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434" Type="http://schemas.openxmlformats.org/officeDocument/2006/relationships/hyperlink" Target="https://citeseerx.ist.psu.edu/document?repid=rep1&amp;type=pdf&amp;doi=d4e42f0fb6287c2b204645dab694010d2388ef25" TargetMode="External"/><Relationship Id="rId641" Type="http://schemas.openxmlformats.org/officeDocument/2006/relationships/hyperlink" Target="https://accpjournals.onlinelibrary.wiley.com/doi/pdfdirect/10.1002/phar.1458" TargetMode="External"/><Relationship Id="rId739" Type="http://schemas.openxmlformats.org/officeDocument/2006/relationships/hyperlink" Target="https://pmc.ncbi.nlm.nih.gov/articles/PMC4249404/" TargetMode="External"/><Relationship Id="rId1064" Type="http://schemas.openxmlformats.org/officeDocument/2006/relationships/hyperlink" Target="https://pmc.ncbi.nlm.nih.gov/articles/PMC2737845/" TargetMode="External"/><Relationship Id="rId1271" Type="http://schemas.openxmlformats.org/officeDocument/2006/relationships/hyperlink" Target="https://pmc.ncbi.nlm.nih.gov/articles/PMC2737845/" TargetMode="External"/><Relationship Id="rId1369" Type="http://schemas.openxmlformats.org/officeDocument/2006/relationships/hyperlink" Target="https://www.ema.europa.eu/en/documents/assessment-report/deltyba-epar-public-assessment-report_en.pdf" TargetMode="External"/><Relationship Id="rId1576" Type="http://schemas.openxmlformats.org/officeDocument/2006/relationships/hyperlink" Target="https://pmc.ncbi.nlm.nih.gov/articles/PMC1087638/" TargetMode="External"/><Relationship Id="rId501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4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31" Type="http://schemas.openxmlformats.org/officeDocument/2006/relationships/hyperlink" Target="https://pmc.ncbi.nlm.nih.gov/articles/PMC2737845/" TargetMode="External"/><Relationship Id="rId1229" Type="http://schemas.openxmlformats.org/officeDocument/2006/relationships/hyperlink" Target="https://pmc.ncbi.nlm.nih.gov/articles/PMC3811266/" TargetMode="External"/><Relationship Id="rId75" Type="http://schemas.openxmlformats.org/officeDocument/2006/relationships/hyperlink" Target="https://www.accessdata.fda.gov/drugsatfda_docs/label/2016/021085s063lbl.pdf" TargetMode="External"/><Relationship Id="rId806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436" Type="http://schemas.openxmlformats.org/officeDocument/2006/relationships/hyperlink" Target="https://www.ema.europa.eu/en/documents/assessment-report/deltyba-epar-public-assessment-report_en.pdf" TargetMode="External"/><Relationship Id="rId1643" Type="http://schemas.openxmlformats.org/officeDocument/2006/relationships/hyperlink" Target="https://pmc.ncbi.nlm.nih.gov/articles/PMC1087638/" TargetMode="External"/><Relationship Id="rId1503" Type="http://schemas.openxmlformats.org/officeDocument/2006/relationships/hyperlink" Target="https://bpspubs.onlinelibrary.wiley.com/doi/10.1111/bcp.15672" TargetMode="External"/><Relationship Id="rId1710" Type="http://schemas.openxmlformats.org/officeDocument/2006/relationships/hyperlink" Target="https://www.mdpi.com/1999-4923/16/11/1449" TargetMode="External"/><Relationship Id="rId291" Type="http://schemas.openxmlformats.org/officeDocument/2006/relationships/hyperlink" Target="https://journals.asm.org/doi/epub/10.1128/aac.01418-13?src=getftr&amp;utm_source=wiley&amp;getft_integrator=wiley" TargetMode="External"/><Relationship Id="rId151" Type="http://schemas.openxmlformats.org/officeDocument/2006/relationships/hyperlink" Target="https://www.accessdata.fda.gov/drugsatfda_docs/nda/99/21-085_Avelox_biopharmr.pdf" TargetMode="External"/><Relationship Id="rId389" Type="http://schemas.openxmlformats.org/officeDocument/2006/relationships/hyperlink" Target="https://citeseerx.ist.psu.edu/document?repid=rep1&amp;type=pdf&amp;doi=588491a8cc19861703f56475ca7cd78fee681b81" TargetMode="External"/><Relationship Id="rId596" Type="http://schemas.openxmlformats.org/officeDocument/2006/relationships/hyperlink" Target="https://accpjournals.onlinelibrary.wiley.com/doi/pdfdirect/10.1002/phar.1337" TargetMode="External"/><Relationship Id="rId249" Type="http://schemas.openxmlformats.org/officeDocument/2006/relationships/hyperlink" Target="https://www.ema.europa.eu/en/documents/assessment-report/sirturo-epar-public-assessment-report_en.pdf" TargetMode="External"/><Relationship Id="rId456" Type="http://schemas.openxmlformats.org/officeDocument/2006/relationships/hyperlink" Target="https://citeseerx.ist.psu.edu/document?repid=rep1&amp;type=pdf&amp;doi=d4e42f0fb6287c2b204645dab694010d2388ef25" TargetMode="External"/><Relationship Id="rId663" Type="http://schemas.openxmlformats.org/officeDocument/2006/relationships/hyperlink" Target="https://pmc.ncbi.nlm.nih.gov/articles/PMC4249404/" TargetMode="External"/><Relationship Id="rId87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86" Type="http://schemas.openxmlformats.org/officeDocument/2006/relationships/hyperlink" Target="https://pmc.ncbi.nlm.nih.gov/articles/PMC2737845/" TargetMode="External"/><Relationship Id="rId1293" Type="http://schemas.openxmlformats.org/officeDocument/2006/relationships/hyperlink" Target="https://pmc.ncbi.nlm.nih.gov/articles/PMC2737845/" TargetMode="External"/><Relationship Id="rId109" Type="http://schemas.openxmlformats.org/officeDocument/2006/relationships/hyperlink" Target="https://www.accessdata.fda.gov/drugsatfda_docs/nda/99/21-085_Avelox_biopharmr.pdf" TargetMode="External"/><Relationship Id="rId316" Type="http://schemas.openxmlformats.org/officeDocument/2006/relationships/hyperlink" Target="https://www.accessdata.fda.gov/drugsatfda_docs/nda/2012/204384Orig1s000ClinPharmR.pdf" TargetMode="External"/><Relationship Id="rId523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6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53" Type="http://schemas.openxmlformats.org/officeDocument/2006/relationships/hyperlink" Target="https://pmc.ncbi.nlm.nih.gov/articles/PMC2737845/" TargetMode="External"/><Relationship Id="rId1598" Type="http://schemas.openxmlformats.org/officeDocument/2006/relationships/hyperlink" Target="https://citeseerx.ist.psu.edu/document?repid=rep1&amp;type=pdf&amp;doi=c986b50db0b4fc8265f37a7be5a827282690abfa" TargetMode="External"/><Relationship Id="rId97" Type="http://schemas.openxmlformats.org/officeDocument/2006/relationships/hyperlink" Target="https://www.accessdata.fda.gov/drugsatfda_docs/nda/99/21-085_Avelox_biopharmr.pdf" TargetMode="External"/><Relationship Id="rId730" Type="http://schemas.openxmlformats.org/officeDocument/2006/relationships/hyperlink" Target="https://pmc.ncbi.nlm.nih.gov/articles/PMC4249404/" TargetMode="External"/><Relationship Id="rId828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1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60" Type="http://schemas.openxmlformats.org/officeDocument/2006/relationships/hyperlink" Target="https://www.ema.europa.eu/en/documents/assessment-report/deltyba-epar-public-assessment-report_en.pdf" TargetMode="External"/><Relationship Id="rId1458" Type="http://schemas.openxmlformats.org/officeDocument/2006/relationships/hyperlink" Target="https://www.ema.europa.eu/en/documents/assessment-report/deltyba-epar-public-assessment-report_en.pdf" TargetMode="External"/><Relationship Id="rId1665" Type="http://schemas.openxmlformats.org/officeDocument/2006/relationships/hyperlink" Target="https://pmc.ncbi.nlm.nih.gov/articles/PMC1087638/" TargetMode="External"/><Relationship Id="rId1220" Type="http://schemas.openxmlformats.org/officeDocument/2006/relationships/hyperlink" Target="https://pmc.ncbi.nlm.nih.gov/articles/PMC3811266/" TargetMode="External"/><Relationship Id="rId1318" Type="http://schemas.openxmlformats.org/officeDocument/2006/relationships/hyperlink" Target="https://www.ema.europa.eu/en/documents/assessment-report/deltyba-epar-public-assessment-report_en.pdf" TargetMode="External"/><Relationship Id="rId1525" Type="http://schemas.openxmlformats.org/officeDocument/2006/relationships/hyperlink" Target="https://citeseerx.ist.psu.edu/document?repid=rep1&amp;type=pdf&amp;doi=5b8c4c32934f844c9acab90c2be0e0fd59b801de" TargetMode="External"/><Relationship Id="rId173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4" Type="http://schemas.openxmlformats.org/officeDocument/2006/relationships/hyperlink" Target="https://www.accessdata.fda.gov/drugsatfda_docs/anda/97/064150review.pdf" TargetMode="External"/><Relationship Id="rId173" Type="http://schemas.openxmlformats.org/officeDocument/2006/relationships/hyperlink" Target="https://www.accessdata.fda.gov/drugsatfda_docs/label/2016/021085s063lbl.pdf" TargetMode="External"/><Relationship Id="rId380" Type="http://schemas.openxmlformats.org/officeDocument/2006/relationships/hyperlink" Target="https://www.ema.europa.eu/en/documents/assessment-report/sirturo-epar-public-assessment-report_en.pdf" TargetMode="External"/><Relationship Id="rId240" Type="http://schemas.openxmlformats.org/officeDocument/2006/relationships/hyperlink" Target="https://www.accessdata.fda.gov/drugsatfda_docs/nda/2012/204384Orig1s000ClinPharmR.pdf" TargetMode="External"/><Relationship Id="rId478" Type="http://schemas.openxmlformats.org/officeDocument/2006/relationships/hyperlink" Target="https://citeseerx.ist.psu.edu/document?repid=rep1&amp;type=pdf&amp;doi=d4e42f0fb6287c2b204645dab694010d2388ef25" TargetMode="External"/><Relationship Id="rId685" Type="http://schemas.openxmlformats.org/officeDocument/2006/relationships/hyperlink" Target="https://accpjournals.onlinelibrary.wiley.com/doi/pdfdirect/10.1002/phar.1458" TargetMode="External"/><Relationship Id="rId89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0" Type="http://schemas.openxmlformats.org/officeDocument/2006/relationships/hyperlink" Target="https://www.accessdata.fda.gov/drugsatfda_docs/nda/99/21-085_Avelox_biopharmr.pdf" TargetMode="External"/><Relationship Id="rId338" Type="http://schemas.openxmlformats.org/officeDocument/2006/relationships/hyperlink" Target="https://www.accessdata.fda.gov/drugsatfda_docs/nda/2012/204384Orig1s000ClinPharmR.pdf" TargetMode="External"/><Relationship Id="rId54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52" Type="http://schemas.openxmlformats.org/officeDocument/2006/relationships/hyperlink" Target="https://pmc.ncbi.nlm.nih.gov/articles/PMC4249404/" TargetMode="External"/><Relationship Id="rId1175" Type="http://schemas.openxmlformats.org/officeDocument/2006/relationships/hyperlink" Target="https://pmc.ncbi.nlm.nih.gov/articles/PMC2737845/" TargetMode="External"/><Relationship Id="rId1382" Type="http://schemas.openxmlformats.org/officeDocument/2006/relationships/hyperlink" Target="https://www.ema.europa.eu/en/documents/assessment-report/deltyba-epar-public-assessment-report_en.pdf" TargetMode="External"/><Relationship Id="rId405" Type="http://schemas.openxmlformats.org/officeDocument/2006/relationships/hyperlink" Target="https://citeseerx.ist.psu.edu/document?repid=rep1&amp;type=pdf&amp;doi=588491a8cc19861703f56475ca7cd78fee681b81" TargetMode="External"/><Relationship Id="rId612" Type="http://schemas.openxmlformats.org/officeDocument/2006/relationships/hyperlink" Target="https://accpjournals.onlinelibrary.wiley.com/doi/pdfdirect/10.1002/phar.1337" TargetMode="External"/><Relationship Id="rId1035" Type="http://schemas.openxmlformats.org/officeDocument/2006/relationships/hyperlink" Target="https://pmc.ncbi.nlm.nih.gov/articles/PMC6544242/" TargetMode="External"/><Relationship Id="rId1242" Type="http://schemas.openxmlformats.org/officeDocument/2006/relationships/hyperlink" Target="https://pmc.ncbi.nlm.nih.gov/articles/PMC3811266/" TargetMode="External"/><Relationship Id="rId1687" Type="http://schemas.openxmlformats.org/officeDocument/2006/relationships/hyperlink" Target="https://www.mdpi.com/1999-4923/16/11/1449" TargetMode="External"/><Relationship Id="rId91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02" Type="http://schemas.openxmlformats.org/officeDocument/2006/relationships/hyperlink" Target="https://pmc.ncbi.nlm.nih.gov/articles/PMC2737845/" TargetMode="External"/><Relationship Id="rId1547" Type="http://schemas.openxmlformats.org/officeDocument/2006/relationships/hyperlink" Target="https://pmc.ncbi.nlm.nih.gov/articles/PMC1087638/" TargetMode="External"/><Relationship Id="rId1754" Type="http://schemas.openxmlformats.org/officeDocument/2006/relationships/hyperlink" Target="https://www.ema.europa.eu/en/documents/assessment-report/deltyba-epar-public-assessment-report_en.pdf" TargetMode="External"/><Relationship Id="rId46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407" Type="http://schemas.openxmlformats.org/officeDocument/2006/relationships/hyperlink" Target="https://www.ema.europa.eu/en/documents/assessment-report/deltyba-epar-public-assessment-report_en.pdf" TargetMode="External"/><Relationship Id="rId1614" Type="http://schemas.openxmlformats.org/officeDocument/2006/relationships/hyperlink" Target="https://pmc.ncbi.nlm.nih.gov/articles/PMC1087638/" TargetMode="External"/><Relationship Id="rId195" Type="http://schemas.openxmlformats.org/officeDocument/2006/relationships/hyperlink" Target="https://www.accessdata.fda.gov/drugsatfda_docs/nda/2012/204384Orig1s000ClinPharmR.pdf" TargetMode="External"/><Relationship Id="rId262" Type="http://schemas.openxmlformats.org/officeDocument/2006/relationships/hyperlink" Target="https://journals.asm.org/doi/epub/10.1128/aac.01418-13?src=getftr&amp;utm_source=wiley&amp;getft_integrator=wiley" TargetMode="External"/><Relationship Id="rId567" Type="http://schemas.openxmlformats.org/officeDocument/2006/relationships/hyperlink" Target="https://accpjournals.onlinelibrary.wiley.com/doi/pdfdirect/10.1002/phar.1337" TargetMode="External"/><Relationship Id="rId1197" Type="http://schemas.openxmlformats.org/officeDocument/2006/relationships/hyperlink" Target="https://pmc.ncbi.nlm.nih.gov/articles/PMC2737845/" TargetMode="External"/><Relationship Id="rId122" Type="http://schemas.openxmlformats.org/officeDocument/2006/relationships/hyperlink" Target="https://www.accessdata.fda.gov/drugsatfda_docs/nda/99/21-085_Avelox_biopharmr.pdf" TargetMode="External"/><Relationship Id="rId774" Type="http://schemas.openxmlformats.org/officeDocument/2006/relationships/hyperlink" Target="https://accpjournals.onlinelibrary.wiley.com/doi/pdfdirect/10.1002/phar.1458" TargetMode="External"/><Relationship Id="rId98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57" Type="http://schemas.openxmlformats.org/officeDocument/2006/relationships/hyperlink" Target="https://pmc.ncbi.nlm.nih.gov/articles/PMC2737845/" TargetMode="External"/><Relationship Id="rId427" Type="http://schemas.openxmlformats.org/officeDocument/2006/relationships/hyperlink" Target="https://citeseerx.ist.psu.edu/document?repid=rep1&amp;type=pdf&amp;doi=d4e42f0fb6287c2b204645dab694010d2388ef25" TargetMode="External"/><Relationship Id="rId634" Type="http://schemas.openxmlformats.org/officeDocument/2006/relationships/hyperlink" Target="https://accpjournals.onlinelibrary.wiley.com/doi/pdfdirect/10.1002/phar.1337" TargetMode="External"/><Relationship Id="rId84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64" Type="http://schemas.openxmlformats.org/officeDocument/2006/relationships/hyperlink" Target="https://pmc.ncbi.nlm.nih.gov/articles/PMC2737845/" TargetMode="External"/><Relationship Id="rId1471" Type="http://schemas.openxmlformats.org/officeDocument/2006/relationships/hyperlink" Target="https://bpspubs.onlinelibrary.wiley.com/doi/10.1111/bcp.15672" TargetMode="External"/><Relationship Id="rId1569" Type="http://schemas.openxmlformats.org/officeDocument/2006/relationships/hyperlink" Target="https://pmc.ncbi.nlm.nih.gov/articles/PMC1087638/" TargetMode="External"/><Relationship Id="rId701" Type="http://schemas.openxmlformats.org/officeDocument/2006/relationships/hyperlink" Target="https://accpjournals.onlinelibrary.wiley.com/doi/pdfdirect/10.1002/phar.1458" TargetMode="External"/><Relationship Id="rId93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24" Type="http://schemas.openxmlformats.org/officeDocument/2006/relationships/hyperlink" Target="https://pmc.ncbi.nlm.nih.gov/articles/PMC2737845/" TargetMode="External"/><Relationship Id="rId1331" Type="http://schemas.openxmlformats.org/officeDocument/2006/relationships/hyperlink" Target="https://www.ema.europa.eu/en/documents/assessment-report/deltyba-epar-public-assessment-report_en.pdf" TargetMode="External"/><Relationship Id="rId68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429" Type="http://schemas.openxmlformats.org/officeDocument/2006/relationships/hyperlink" Target="https://www.ema.europa.eu/en/documents/assessment-report/deltyba-epar-public-assessment-report_en.pdf" TargetMode="External"/><Relationship Id="rId1636" Type="http://schemas.openxmlformats.org/officeDocument/2006/relationships/hyperlink" Target="https://pmc.ncbi.nlm.nih.gov/articles/PMC1087638/" TargetMode="External"/><Relationship Id="rId1703" Type="http://schemas.openxmlformats.org/officeDocument/2006/relationships/hyperlink" Target="https://www.mdpi.com/1999-4923/16/11/1449" TargetMode="External"/><Relationship Id="rId284" Type="http://schemas.openxmlformats.org/officeDocument/2006/relationships/hyperlink" Target="https://journals.asm.org/doi/epub/10.1128/aac.01418-13?src=getftr&amp;utm_source=wiley&amp;getft_integrator=wiley" TargetMode="External"/><Relationship Id="rId491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44" Type="http://schemas.openxmlformats.org/officeDocument/2006/relationships/hyperlink" Target="https://www.accessdata.fda.gov/drugsatfda_docs/nda/99/21-085_Avelox_biopharmr.pdf" TargetMode="External"/><Relationship Id="rId589" Type="http://schemas.openxmlformats.org/officeDocument/2006/relationships/hyperlink" Target="https://accpjournals.onlinelibrary.wiley.com/doi/pdfdirect/10.1002/phar.1337" TargetMode="External"/><Relationship Id="rId796" Type="http://schemas.openxmlformats.org/officeDocument/2006/relationships/hyperlink" Target="https://accpjournals.onlinelibrary.wiley.com/doi/pdfdirect/10.1002/phar.1458" TargetMode="External"/><Relationship Id="rId351" Type="http://schemas.openxmlformats.org/officeDocument/2006/relationships/hyperlink" Target="https://www.ema.europa.eu/en/documents/assessment-report/sirturo-epar-public-assessment-report_en.pdf" TargetMode="External"/><Relationship Id="rId449" Type="http://schemas.openxmlformats.org/officeDocument/2006/relationships/hyperlink" Target="https://citeseerx.ist.psu.edu/document?repid=rep1&amp;type=pdf&amp;doi=d4e42f0fb6287c2b204645dab694010d2388ef25" TargetMode="External"/><Relationship Id="rId656" Type="http://schemas.openxmlformats.org/officeDocument/2006/relationships/hyperlink" Target="https://accpjournals.onlinelibrary.wiley.com/doi/pdfdirect/10.1002/phar.1458" TargetMode="External"/><Relationship Id="rId86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79" Type="http://schemas.openxmlformats.org/officeDocument/2006/relationships/hyperlink" Target="https://pmc.ncbi.nlm.nih.gov/articles/PMC2737845/" TargetMode="External"/><Relationship Id="rId1286" Type="http://schemas.openxmlformats.org/officeDocument/2006/relationships/hyperlink" Target="https://pmc.ncbi.nlm.nih.gov/articles/PMC2737845/" TargetMode="External"/><Relationship Id="rId1493" Type="http://schemas.openxmlformats.org/officeDocument/2006/relationships/hyperlink" Target="https://bpspubs.onlinelibrary.wiley.com/doi/10.1111/bcp.15672" TargetMode="External"/><Relationship Id="rId211" Type="http://schemas.openxmlformats.org/officeDocument/2006/relationships/hyperlink" Target="https://www.accessdata.fda.gov/drugsatfda_docs/nda/2012/204384Orig1s000ClinPharmR.pdf" TargetMode="External"/><Relationship Id="rId309" Type="http://schemas.openxmlformats.org/officeDocument/2006/relationships/hyperlink" Target="https://www.accessdata.fda.gov/drugsatfda_docs/nda/2012/204384Orig1s000ClinPharmR.pdf" TargetMode="External"/><Relationship Id="rId516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146" Type="http://schemas.openxmlformats.org/officeDocument/2006/relationships/hyperlink" Target="https://pmc.ncbi.nlm.nih.gov/articles/PMC2737845/" TargetMode="External"/><Relationship Id="rId723" Type="http://schemas.openxmlformats.org/officeDocument/2006/relationships/hyperlink" Target="https://accpjournals.onlinelibrary.wiley.com/doi/pdfdirect/10.1002/phar.1458" TargetMode="External"/><Relationship Id="rId93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0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53" Type="http://schemas.openxmlformats.org/officeDocument/2006/relationships/hyperlink" Target="https://www.ema.europa.eu/en/documents/assessment-report/deltyba-epar-public-assessment-report_en.pdf" TargetMode="External"/><Relationship Id="rId1560" Type="http://schemas.openxmlformats.org/officeDocument/2006/relationships/hyperlink" Target="https://pmc.ncbi.nlm.nih.gov/articles/PMC1087638/" TargetMode="External"/><Relationship Id="rId1658" Type="http://schemas.openxmlformats.org/officeDocument/2006/relationships/hyperlink" Target="https://pmc.ncbi.nlm.nih.gov/articles/PMC1087638/" TargetMode="External"/><Relationship Id="rId1213" Type="http://schemas.openxmlformats.org/officeDocument/2006/relationships/hyperlink" Target="https://pmc.ncbi.nlm.nih.gov/articles/PMC3811266/" TargetMode="External"/><Relationship Id="rId1420" Type="http://schemas.openxmlformats.org/officeDocument/2006/relationships/hyperlink" Target="https://www.ema.europa.eu/en/documents/assessment-report/deltyba-epar-public-assessment-report_en.pdf" TargetMode="External"/><Relationship Id="rId1518" Type="http://schemas.openxmlformats.org/officeDocument/2006/relationships/hyperlink" Target="https://citeseerx.ist.psu.edu/document?repid=rep1&amp;type=pdf&amp;doi=5b8c4c32934f844c9acab90c2be0e0fd59b801de" TargetMode="External"/><Relationship Id="rId172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7" Type="http://schemas.openxmlformats.org/officeDocument/2006/relationships/hyperlink" Target="https://www.accessdata.fda.gov/drugsatfda_docs/anda/97/064150review.pdf" TargetMode="External"/><Relationship Id="rId166" Type="http://schemas.openxmlformats.org/officeDocument/2006/relationships/hyperlink" Target="https://www.accessdata.fda.gov/drugsatfda_docs/nda/99/21-085_Avelox_biopharmr.pdf" TargetMode="External"/><Relationship Id="rId373" Type="http://schemas.openxmlformats.org/officeDocument/2006/relationships/hyperlink" Target="https://www.ema.europa.eu/en/documents/assessment-report/sirturo-epar-public-assessment-report_en.pdf" TargetMode="External"/><Relationship Id="rId580" Type="http://schemas.openxmlformats.org/officeDocument/2006/relationships/hyperlink" Target="https://accpjournals.onlinelibrary.wiley.com/doi/pdfdirect/10.1002/phar.1337" TargetMode="External"/><Relationship Id="rId1" Type="http://schemas.openxmlformats.org/officeDocument/2006/relationships/hyperlink" Target="https://www.accessdata.fda.gov/drugsatfda_docs/label/2013/050420s075,050627s014lbl.pdf" TargetMode="External"/><Relationship Id="rId233" Type="http://schemas.openxmlformats.org/officeDocument/2006/relationships/hyperlink" Target="https://www.accessdata.fda.gov/drugsatfda_docs/nda/2012/204384Orig1s000ClinPharmR.pdf" TargetMode="External"/><Relationship Id="rId440" Type="http://schemas.openxmlformats.org/officeDocument/2006/relationships/hyperlink" Target="https://citeseerx.ist.psu.edu/document?repid=rep1&amp;type=pdf&amp;doi=d4e42f0fb6287c2b204645dab694010d2388ef25" TargetMode="External"/><Relationship Id="rId678" Type="http://schemas.openxmlformats.org/officeDocument/2006/relationships/hyperlink" Target="https://pmc.ncbi.nlm.nih.gov/articles/PMC4249404/" TargetMode="External"/><Relationship Id="rId88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70" Type="http://schemas.openxmlformats.org/officeDocument/2006/relationships/hyperlink" Target="https://pmc.ncbi.nlm.nih.gov/articles/PMC2737845/" TargetMode="External"/><Relationship Id="rId300" Type="http://schemas.openxmlformats.org/officeDocument/2006/relationships/hyperlink" Target="https://journals.asm.org/doi/epub/10.1128/aac.01418-13?src=getftr&amp;utm_source=wiley&amp;getft_integrator=wiley" TargetMode="External"/><Relationship Id="rId538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45" Type="http://schemas.openxmlformats.org/officeDocument/2006/relationships/hyperlink" Target="https://pmc.ncbi.nlm.nih.gov/articles/PMC4249404/" TargetMode="External"/><Relationship Id="rId95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68" Type="http://schemas.openxmlformats.org/officeDocument/2006/relationships/hyperlink" Target="https://pmc.ncbi.nlm.nih.gov/articles/PMC2737845/" TargetMode="External"/><Relationship Id="rId1375" Type="http://schemas.openxmlformats.org/officeDocument/2006/relationships/hyperlink" Target="https://www.ema.europa.eu/en/documents/assessment-report/deltyba-epar-public-assessment-report_en.pdf" TargetMode="External"/><Relationship Id="rId1582" Type="http://schemas.openxmlformats.org/officeDocument/2006/relationships/hyperlink" Target="https://citeseerx.ist.psu.edu/document?repid=rep1&amp;type=pdf&amp;doi=c986b50db0b4fc8265f37a7be5a827282690abfa" TargetMode="External"/><Relationship Id="rId81" Type="http://schemas.openxmlformats.org/officeDocument/2006/relationships/hyperlink" Target="https://www.accessdata.fda.gov/drugsatfda_docs/label/2016/021085s063lbl.pdf" TargetMode="External"/><Relationship Id="rId605" Type="http://schemas.openxmlformats.org/officeDocument/2006/relationships/hyperlink" Target="https://accpjournals.onlinelibrary.wiley.com/doi/pdfdirect/10.1002/phar.1337" TargetMode="External"/><Relationship Id="rId81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28" Type="http://schemas.openxmlformats.org/officeDocument/2006/relationships/hyperlink" Target="https://pmc.ncbi.nlm.nih.gov/articles/PMC6544242/" TargetMode="External"/><Relationship Id="rId1235" Type="http://schemas.openxmlformats.org/officeDocument/2006/relationships/hyperlink" Target="https://pmc.ncbi.nlm.nih.gov/articles/PMC3811266/" TargetMode="External"/><Relationship Id="rId1442" Type="http://schemas.openxmlformats.org/officeDocument/2006/relationships/hyperlink" Target="https://www.ema.europa.eu/en/documents/assessment-report/deltyba-epar-public-assessment-report_en.pdf" TargetMode="External"/><Relationship Id="rId1302" Type="http://schemas.openxmlformats.org/officeDocument/2006/relationships/hyperlink" Target="https://www.ema.europa.eu/en/documents/assessment-report/deltyba-epar-public-assessment-report_en.pdf" TargetMode="External"/><Relationship Id="rId174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9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607" Type="http://schemas.openxmlformats.org/officeDocument/2006/relationships/hyperlink" Target="https://pmc.ncbi.nlm.nih.gov/articles/PMC1087638/" TargetMode="External"/><Relationship Id="rId188" Type="http://schemas.openxmlformats.org/officeDocument/2006/relationships/hyperlink" Target="https://www.accessdata.fda.gov/drugsatfda_docs/nda/99/21-085_Avelox_biopharmr.pdf" TargetMode="External"/><Relationship Id="rId395" Type="http://schemas.openxmlformats.org/officeDocument/2006/relationships/hyperlink" Target="https://citeseerx.ist.psu.edu/document?repid=rep1&amp;type=pdf&amp;doi=588491a8cc19861703f56475ca7cd78fee681b81" TargetMode="External"/><Relationship Id="rId255" Type="http://schemas.openxmlformats.org/officeDocument/2006/relationships/hyperlink" Target="https://www.ema.europa.eu/en/documents/assessment-report/sirturo-epar-public-assessment-report_en.pdf" TargetMode="External"/><Relationship Id="rId462" Type="http://schemas.openxmlformats.org/officeDocument/2006/relationships/hyperlink" Target="https://citeseerx.ist.psu.edu/document?repid=rep1&amp;type=pdf&amp;doi=d4e42f0fb6287c2b204645dab694010d2388ef25" TargetMode="External"/><Relationship Id="rId1092" Type="http://schemas.openxmlformats.org/officeDocument/2006/relationships/hyperlink" Target="https://pmc.ncbi.nlm.nih.gov/articles/PMC2737845/" TargetMode="External"/><Relationship Id="rId1397" Type="http://schemas.openxmlformats.org/officeDocument/2006/relationships/hyperlink" Target="https://www.ema.europa.eu/en/documents/assessment-report/deltyba-epar-public-assessment-report_en.pdf" TargetMode="External"/><Relationship Id="rId115" Type="http://schemas.openxmlformats.org/officeDocument/2006/relationships/hyperlink" Target="https://www.accessdata.fda.gov/drugsatfda_docs/nda/99/21-085_Avelox_biopharmr.pdf" TargetMode="External"/><Relationship Id="rId322" Type="http://schemas.openxmlformats.org/officeDocument/2006/relationships/hyperlink" Target="https://www.accessdata.fda.gov/drugsatfda_docs/nda/2012/204384Orig1s000ClinPharmR.pdf" TargetMode="External"/><Relationship Id="rId767" Type="http://schemas.openxmlformats.org/officeDocument/2006/relationships/hyperlink" Target="https://pmc.ncbi.nlm.nih.gov/articles/PMC4249404/" TargetMode="External"/><Relationship Id="rId97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627" Type="http://schemas.openxmlformats.org/officeDocument/2006/relationships/hyperlink" Target="https://accpjournals.onlinelibrary.wiley.com/doi/pdfdirect/10.1002/phar.1337" TargetMode="External"/><Relationship Id="rId834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257" Type="http://schemas.openxmlformats.org/officeDocument/2006/relationships/hyperlink" Target="https://pmc.ncbi.nlm.nih.gov/articles/PMC2737845/" TargetMode="External"/><Relationship Id="rId1464" Type="http://schemas.openxmlformats.org/officeDocument/2006/relationships/hyperlink" Target="https://www.ema.europa.eu/en/documents/assessment-report/deltyba-epar-public-assessment-report_en.pdf" TargetMode="External"/><Relationship Id="rId1671" Type="http://schemas.openxmlformats.org/officeDocument/2006/relationships/hyperlink" Target="https://pmc.ncbi.nlm.nih.gov/articles/PMC1087638/" TargetMode="External"/><Relationship Id="rId90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17" Type="http://schemas.openxmlformats.org/officeDocument/2006/relationships/hyperlink" Target="https://pmc.ncbi.nlm.nih.gov/articles/PMC2737845/" TargetMode="External"/><Relationship Id="rId1324" Type="http://schemas.openxmlformats.org/officeDocument/2006/relationships/hyperlink" Target="https://www.ema.europa.eu/en/documents/assessment-report/deltyba-epar-public-assessment-report_en.pdf" TargetMode="External"/><Relationship Id="rId1531" Type="http://schemas.openxmlformats.org/officeDocument/2006/relationships/hyperlink" Target="https://pmc.ncbi.nlm.nih.gov/articles/PMC245547/" TargetMode="External"/><Relationship Id="rId30" Type="http://schemas.openxmlformats.org/officeDocument/2006/relationships/hyperlink" Target="https://www.accessdata.fda.gov/drugsatfda_docs/anda/97/064150review.pdf" TargetMode="External"/><Relationship Id="rId1629" Type="http://schemas.openxmlformats.org/officeDocument/2006/relationships/hyperlink" Target="https://pmc.ncbi.nlm.nih.gov/articles/PMC1087638/" TargetMode="External"/><Relationship Id="rId277" Type="http://schemas.openxmlformats.org/officeDocument/2006/relationships/hyperlink" Target="https://journals.asm.org/doi/epub/10.1128/aac.01418-13?src=getftr&amp;utm_source=wiley&amp;getft_integrator=wiley" TargetMode="External"/><Relationship Id="rId484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37" Type="http://schemas.openxmlformats.org/officeDocument/2006/relationships/hyperlink" Target="https://www.accessdata.fda.gov/drugsatfda_docs/nda/99/21-085_Avelox_biopharmr.pdf" TargetMode="External"/><Relationship Id="rId344" Type="http://schemas.openxmlformats.org/officeDocument/2006/relationships/hyperlink" Target="https://www.accessdata.fda.gov/drugsatfda_docs/nda/2012/204384Orig1s000ClinPharmR.pdf" TargetMode="External"/><Relationship Id="rId691" Type="http://schemas.openxmlformats.org/officeDocument/2006/relationships/hyperlink" Target="https://accpjournals.onlinelibrary.wiley.com/doi/pdfdirect/10.1002/phar.1458" TargetMode="External"/><Relationship Id="rId789" Type="http://schemas.openxmlformats.org/officeDocument/2006/relationships/hyperlink" Target="https://accpjournals.onlinelibrary.wiley.com/doi/pdfdirect/10.1002/phar.1458" TargetMode="External"/><Relationship Id="rId99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551" Type="http://schemas.openxmlformats.org/officeDocument/2006/relationships/hyperlink" Target="https://accpjournals.onlinelibrary.wiley.com/doi/pdfdirect/10.1002/phar.1337" TargetMode="External"/><Relationship Id="rId649" Type="http://schemas.openxmlformats.org/officeDocument/2006/relationships/hyperlink" Target="https://accpjournals.onlinelibrary.wiley.com/doi/pdfdirect/10.1002/phar.1458" TargetMode="External"/><Relationship Id="rId856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181" Type="http://schemas.openxmlformats.org/officeDocument/2006/relationships/hyperlink" Target="https://pmc.ncbi.nlm.nih.gov/articles/PMC2737845/" TargetMode="External"/><Relationship Id="rId1279" Type="http://schemas.openxmlformats.org/officeDocument/2006/relationships/hyperlink" Target="https://pmc.ncbi.nlm.nih.gov/articles/PMC2737845/" TargetMode="External"/><Relationship Id="rId1486" Type="http://schemas.openxmlformats.org/officeDocument/2006/relationships/hyperlink" Target="https://bpspubs.onlinelibrary.wiley.com/doi/10.1111/bcp.15672" TargetMode="External"/><Relationship Id="rId204" Type="http://schemas.openxmlformats.org/officeDocument/2006/relationships/hyperlink" Target="https://www.accessdata.fda.gov/drugsatfda_docs/nda/2012/204384Orig1s000ClinPharmR.pdf" TargetMode="External"/><Relationship Id="rId411" Type="http://schemas.openxmlformats.org/officeDocument/2006/relationships/hyperlink" Target="https://citeseerx.ist.psu.edu/document?repid=rep1&amp;type=pdf&amp;doi=588491a8cc19861703f56475ca7cd78fee681b81" TargetMode="External"/><Relationship Id="rId509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041" Type="http://schemas.openxmlformats.org/officeDocument/2006/relationships/hyperlink" Target="https://serval.unil.ch/resource/serval:BIB_405A2D6AF487.P001/REF.pdf" TargetMode="External"/><Relationship Id="rId1139" Type="http://schemas.openxmlformats.org/officeDocument/2006/relationships/hyperlink" Target="https://pmc.ncbi.nlm.nih.gov/articles/PMC2737845/" TargetMode="External"/><Relationship Id="rId1346" Type="http://schemas.openxmlformats.org/officeDocument/2006/relationships/hyperlink" Target="https://www.ema.europa.eu/en/documents/assessment-report/deltyba-epar-public-assessment-report_en.pdf" TargetMode="External"/><Relationship Id="rId1693" Type="http://schemas.openxmlformats.org/officeDocument/2006/relationships/hyperlink" Target="https://www.mdpi.com/1999-4923/16/11/1449" TargetMode="External"/><Relationship Id="rId716" Type="http://schemas.openxmlformats.org/officeDocument/2006/relationships/hyperlink" Target="https://accpjournals.onlinelibrary.wiley.com/doi/pdfdirect/10.1002/phar.1458" TargetMode="External"/><Relationship Id="rId92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553" Type="http://schemas.openxmlformats.org/officeDocument/2006/relationships/hyperlink" Target="https://pmc.ncbi.nlm.nih.gov/articles/PMC1087638/" TargetMode="External"/><Relationship Id="rId52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1206" Type="http://schemas.openxmlformats.org/officeDocument/2006/relationships/hyperlink" Target="https://pmc.ncbi.nlm.nih.gov/articles/PMC2737845/" TargetMode="External"/><Relationship Id="rId1413" Type="http://schemas.openxmlformats.org/officeDocument/2006/relationships/hyperlink" Target="https://www.ema.europa.eu/en/documents/assessment-report/deltyba-epar-public-assessment-report_en.pdf" TargetMode="External"/><Relationship Id="rId1620" Type="http://schemas.openxmlformats.org/officeDocument/2006/relationships/hyperlink" Target="https://pmc.ncbi.nlm.nih.gov/articles/PMC1087638/" TargetMode="External"/><Relationship Id="rId1718" Type="http://schemas.openxmlformats.org/officeDocument/2006/relationships/hyperlink" Target="https://pmc.ncbi.nlm.nih.gov/articles/PMC4249404/" TargetMode="External"/><Relationship Id="rId299" Type="http://schemas.openxmlformats.org/officeDocument/2006/relationships/hyperlink" Target="https://journals.asm.org/doi/epub/10.1128/aac.01418-13?src=getftr&amp;utm_source=wiley&amp;getft_integrator=wiley" TargetMode="External"/><Relationship Id="rId159" Type="http://schemas.openxmlformats.org/officeDocument/2006/relationships/hyperlink" Target="https://www.accessdata.fda.gov/drugsatfda_docs/nda/99/21-085_Avelox_biopharmr.pdf" TargetMode="External"/><Relationship Id="rId366" Type="http://schemas.openxmlformats.org/officeDocument/2006/relationships/hyperlink" Target="https://www.ema.europa.eu/en/documents/assessment-report/sirturo-epar-public-assessment-report_en.pdf" TargetMode="External"/><Relationship Id="rId573" Type="http://schemas.openxmlformats.org/officeDocument/2006/relationships/hyperlink" Target="https://accpjournals.onlinelibrary.wiley.com/doi/pdfdirect/10.1002/phar.1337" TargetMode="External"/><Relationship Id="rId780" Type="http://schemas.openxmlformats.org/officeDocument/2006/relationships/hyperlink" Target="https://accpjournals.onlinelibrary.wiley.com/doi/pdfdirect/10.1002/phar.1458" TargetMode="External"/><Relationship Id="rId226" Type="http://schemas.openxmlformats.org/officeDocument/2006/relationships/hyperlink" Target="https://www.accessdata.fda.gov/drugsatfda_docs/nda/2012/204384Orig1s000ClinPharmR.pdf" TargetMode="External"/><Relationship Id="rId433" Type="http://schemas.openxmlformats.org/officeDocument/2006/relationships/hyperlink" Target="https://citeseerx.ist.psu.edu/document?repid=rep1&amp;type=pdf&amp;doi=d4e42f0fb6287c2b204645dab694010d2388ef25" TargetMode="External"/><Relationship Id="rId87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63" Type="http://schemas.openxmlformats.org/officeDocument/2006/relationships/hyperlink" Target="https://pmc.ncbi.nlm.nih.gov/articles/PMC3811266/" TargetMode="External"/><Relationship Id="rId1270" Type="http://schemas.openxmlformats.org/officeDocument/2006/relationships/hyperlink" Target="https://pmc.ncbi.nlm.nih.gov/articles/PMC2737845/" TargetMode="External"/><Relationship Id="rId640" Type="http://schemas.openxmlformats.org/officeDocument/2006/relationships/hyperlink" Target="https://accpjournals.onlinelibrary.wiley.com/doi/pdfdirect/10.1002/phar.1458" TargetMode="External"/><Relationship Id="rId738" Type="http://schemas.openxmlformats.org/officeDocument/2006/relationships/hyperlink" Target="https://pmc.ncbi.nlm.nih.gov/articles/PMC4249404/" TargetMode="External"/><Relationship Id="rId94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68" Type="http://schemas.openxmlformats.org/officeDocument/2006/relationships/hyperlink" Target="https://www.ema.europa.eu/en/documents/assessment-report/deltyba-epar-public-assessment-report_en.pdf" TargetMode="External"/><Relationship Id="rId1575" Type="http://schemas.openxmlformats.org/officeDocument/2006/relationships/hyperlink" Target="https://pmc.ncbi.nlm.nih.gov/articles/PMC1087638/" TargetMode="External"/><Relationship Id="rId74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500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80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130" Type="http://schemas.openxmlformats.org/officeDocument/2006/relationships/hyperlink" Target="https://pmc.ncbi.nlm.nih.gov/articles/PMC2737845/" TargetMode="External"/><Relationship Id="rId1228" Type="http://schemas.openxmlformats.org/officeDocument/2006/relationships/hyperlink" Target="https://pmc.ncbi.nlm.nih.gov/articles/PMC3811266/" TargetMode="External"/><Relationship Id="rId1435" Type="http://schemas.openxmlformats.org/officeDocument/2006/relationships/hyperlink" Target="https://www.ema.europa.eu/en/documents/assessment-report/deltyba-epar-public-assessment-report_en.pdf" TargetMode="External"/><Relationship Id="rId1642" Type="http://schemas.openxmlformats.org/officeDocument/2006/relationships/hyperlink" Target="https://pmc.ncbi.nlm.nih.gov/articles/PMC1087638/" TargetMode="External"/><Relationship Id="rId1502" Type="http://schemas.openxmlformats.org/officeDocument/2006/relationships/hyperlink" Target="https://bpspubs.onlinelibrary.wiley.com/doi/10.1111/bcp.15672" TargetMode="External"/><Relationship Id="rId290" Type="http://schemas.openxmlformats.org/officeDocument/2006/relationships/hyperlink" Target="https://journals.asm.org/doi/epub/10.1128/aac.01418-13?src=getftr&amp;utm_source=wiley&amp;getft_integrator=wiley" TargetMode="External"/><Relationship Id="rId388" Type="http://schemas.openxmlformats.org/officeDocument/2006/relationships/hyperlink" Target="https://citeseerx.ist.psu.edu/document?repid=rep1&amp;type=pdf&amp;doi=588491a8cc19861703f56475ca7cd78fee681b81" TargetMode="External"/><Relationship Id="rId150" Type="http://schemas.openxmlformats.org/officeDocument/2006/relationships/hyperlink" Target="https://www.accessdata.fda.gov/drugsatfda_docs/nda/99/21-085_Avelox_biopharmr.pdf" TargetMode="External"/><Relationship Id="rId595" Type="http://schemas.openxmlformats.org/officeDocument/2006/relationships/hyperlink" Target="https://accpjournals.onlinelibrary.wiley.com/doi/pdfdirect/10.1002/phar.1337" TargetMode="External"/><Relationship Id="rId248" Type="http://schemas.openxmlformats.org/officeDocument/2006/relationships/hyperlink" Target="https://www.ema.europa.eu/en/documents/assessment-report/sirturo-epar-public-assessment-report_en.pdf" TargetMode="External"/><Relationship Id="rId455" Type="http://schemas.openxmlformats.org/officeDocument/2006/relationships/hyperlink" Target="https://citeseerx.ist.psu.edu/document?repid=rep1&amp;type=pdf&amp;doi=d4e42f0fb6287c2b204645dab694010d2388ef25" TargetMode="External"/><Relationship Id="rId662" Type="http://schemas.openxmlformats.org/officeDocument/2006/relationships/hyperlink" Target="https://accpjournals.onlinelibrary.wiley.com/doi/pdfdirect/10.1002/phar.1458" TargetMode="External"/><Relationship Id="rId1085" Type="http://schemas.openxmlformats.org/officeDocument/2006/relationships/hyperlink" Target="https://pmc.ncbi.nlm.nih.gov/articles/PMC2737845/" TargetMode="External"/><Relationship Id="rId1292" Type="http://schemas.openxmlformats.org/officeDocument/2006/relationships/hyperlink" Target="https://pmc.ncbi.nlm.nih.gov/articles/PMC2737845/" TargetMode="External"/><Relationship Id="rId108" Type="http://schemas.openxmlformats.org/officeDocument/2006/relationships/hyperlink" Target="https://www.accessdata.fda.gov/drugsatfda_docs/nda/99/21-085_Avelox_biopharmr.pdf" TargetMode="External"/><Relationship Id="rId315" Type="http://schemas.openxmlformats.org/officeDocument/2006/relationships/hyperlink" Target="https://www.accessdata.fda.gov/drugsatfda_docs/nda/2012/204384Orig1s000ClinPharmR.pdf" TargetMode="External"/><Relationship Id="rId522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967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52" Type="http://schemas.openxmlformats.org/officeDocument/2006/relationships/hyperlink" Target="https://pmc.ncbi.nlm.nih.gov/articles/PMC2737845/" TargetMode="External"/><Relationship Id="rId1597" Type="http://schemas.openxmlformats.org/officeDocument/2006/relationships/hyperlink" Target="https://citeseerx.ist.psu.edu/document?repid=rep1&amp;type=pdf&amp;doi=c986b50db0b4fc8265f37a7be5a827282690abfa" TargetMode="External"/><Relationship Id="rId96" Type="http://schemas.openxmlformats.org/officeDocument/2006/relationships/hyperlink" Target="https://www.accessdata.fda.gov/drugsatfda_docs/nda/99/21-085_Avelox_biopharmr.pdf" TargetMode="External"/><Relationship Id="rId827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1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57" Type="http://schemas.openxmlformats.org/officeDocument/2006/relationships/hyperlink" Target="https://www.ema.europa.eu/en/documents/assessment-report/deltyba-epar-public-assessment-report_en.pdf" TargetMode="External"/><Relationship Id="rId1664" Type="http://schemas.openxmlformats.org/officeDocument/2006/relationships/hyperlink" Target="https://pmc.ncbi.nlm.nih.gov/articles/PMC1087638/" TargetMode="External"/><Relationship Id="rId1317" Type="http://schemas.openxmlformats.org/officeDocument/2006/relationships/hyperlink" Target="https://www.ema.europa.eu/en/documents/assessment-report/deltyba-epar-public-assessment-report_en.pdf" TargetMode="External"/><Relationship Id="rId1524" Type="http://schemas.openxmlformats.org/officeDocument/2006/relationships/hyperlink" Target="https://citeseerx.ist.psu.edu/document?repid=rep1&amp;type=pdf&amp;doi=5b8c4c32934f844c9acab90c2be0e0fd59b801de" TargetMode="External"/><Relationship Id="rId173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23" Type="http://schemas.openxmlformats.org/officeDocument/2006/relationships/hyperlink" Target="https://www.accessdata.fda.gov/drugsatfda_docs/anda/97/064150review.pdf" TargetMode="External"/><Relationship Id="rId172" Type="http://schemas.openxmlformats.org/officeDocument/2006/relationships/hyperlink" Target="https://www.accessdata.fda.gov/drugsatfda_docs/nda/99/21-085_Avelox_biopharmr.pdf" TargetMode="External"/><Relationship Id="rId477" Type="http://schemas.openxmlformats.org/officeDocument/2006/relationships/hyperlink" Target="https://citeseerx.ist.psu.edu/document?repid=rep1&amp;type=pdf&amp;doi=d4e42f0fb6287c2b204645dab694010d2388ef25" TargetMode="External"/><Relationship Id="rId684" Type="http://schemas.openxmlformats.org/officeDocument/2006/relationships/hyperlink" Target="https://accpjournals.onlinelibrary.wiley.com/doi/pdfdirect/10.1002/phar.1458" TargetMode="External"/><Relationship Id="rId337" Type="http://schemas.openxmlformats.org/officeDocument/2006/relationships/hyperlink" Target="https://www.accessdata.fda.gov/drugsatfda_docs/nda/2012/204384Orig1s000ClinPharmR.pdf" TargetMode="External"/><Relationship Id="rId89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98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544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51" Type="http://schemas.openxmlformats.org/officeDocument/2006/relationships/hyperlink" Target="https://pmc.ncbi.nlm.nih.gov/articles/PMC4249404/" TargetMode="External"/><Relationship Id="rId849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174" Type="http://schemas.openxmlformats.org/officeDocument/2006/relationships/hyperlink" Target="https://pmc.ncbi.nlm.nih.gov/articles/PMC2737845/" TargetMode="External"/><Relationship Id="rId1381" Type="http://schemas.openxmlformats.org/officeDocument/2006/relationships/hyperlink" Target="https://www.ema.europa.eu/en/documents/assessment-report/deltyba-epar-public-assessment-report_en.pdf" TargetMode="External"/><Relationship Id="rId1479" Type="http://schemas.openxmlformats.org/officeDocument/2006/relationships/hyperlink" Target="https://bpspubs.onlinelibrary.wiley.com/doi/10.1111/bcp.15672" TargetMode="External"/><Relationship Id="rId1686" Type="http://schemas.openxmlformats.org/officeDocument/2006/relationships/hyperlink" Target="https://www.mdpi.com/1999-4923/16/11/1449" TargetMode="External"/><Relationship Id="rId404" Type="http://schemas.openxmlformats.org/officeDocument/2006/relationships/hyperlink" Target="https://citeseerx.ist.psu.edu/document?repid=rep1&amp;type=pdf&amp;doi=588491a8cc19861703f56475ca7cd78fee681b81" TargetMode="External"/><Relationship Id="rId611" Type="http://schemas.openxmlformats.org/officeDocument/2006/relationships/hyperlink" Target="https://accpjournals.onlinelibrary.wiley.com/doi/pdfdirect/10.1002/phar.1337" TargetMode="External"/><Relationship Id="rId1034" Type="http://schemas.openxmlformats.org/officeDocument/2006/relationships/hyperlink" Target="https://pmc.ncbi.nlm.nih.gov/articles/PMC6544242/" TargetMode="External"/><Relationship Id="rId1241" Type="http://schemas.openxmlformats.org/officeDocument/2006/relationships/hyperlink" Target="https://pmc.ncbi.nlm.nih.gov/articles/PMC3811266/" TargetMode="External"/><Relationship Id="rId1339" Type="http://schemas.openxmlformats.org/officeDocument/2006/relationships/hyperlink" Target="https://www.ema.europa.eu/en/documents/assessment-report/deltyba-epar-public-assessment-report_en.pdf" TargetMode="External"/><Relationship Id="rId709" Type="http://schemas.openxmlformats.org/officeDocument/2006/relationships/hyperlink" Target="https://accpjournals.onlinelibrary.wiley.com/doi/pdfdirect/10.1002/phar.1458" TargetMode="External"/><Relationship Id="rId91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01" Type="http://schemas.openxmlformats.org/officeDocument/2006/relationships/hyperlink" Target="https://pmc.ncbi.nlm.nih.gov/articles/PMC2737845/" TargetMode="External"/><Relationship Id="rId1546" Type="http://schemas.openxmlformats.org/officeDocument/2006/relationships/hyperlink" Target="https://pmc.ncbi.nlm.nih.gov/articles/PMC1087638/" TargetMode="External"/><Relationship Id="rId175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45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406" Type="http://schemas.openxmlformats.org/officeDocument/2006/relationships/hyperlink" Target="https://www.ema.europa.eu/en/documents/assessment-report/deltyba-epar-public-assessment-report_en.pdf" TargetMode="External"/><Relationship Id="rId1613" Type="http://schemas.openxmlformats.org/officeDocument/2006/relationships/hyperlink" Target="https://pmc.ncbi.nlm.nih.gov/articles/PMC1087638/" TargetMode="External"/><Relationship Id="rId194" Type="http://schemas.openxmlformats.org/officeDocument/2006/relationships/hyperlink" Target="https://www.ema.europa.eu/en/documents/assessment-report/sirturo-epar-public-assessment-report_en.pdf" TargetMode="External"/><Relationship Id="rId261" Type="http://schemas.openxmlformats.org/officeDocument/2006/relationships/hyperlink" Target="https://journals.asm.org/doi/epub/10.1128/aac.01418-13?src=getftr&amp;utm_source=wiley&amp;getft_integrator=wiley" TargetMode="External"/><Relationship Id="rId499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359" Type="http://schemas.openxmlformats.org/officeDocument/2006/relationships/hyperlink" Target="https://www.ema.europa.eu/en/documents/assessment-report/sirturo-epar-public-assessment-report_en.pdf" TargetMode="External"/><Relationship Id="rId566" Type="http://schemas.openxmlformats.org/officeDocument/2006/relationships/hyperlink" Target="https://accpjournals.onlinelibrary.wiley.com/doi/pdfdirect/10.1002/phar.1337" TargetMode="External"/><Relationship Id="rId773" Type="http://schemas.openxmlformats.org/officeDocument/2006/relationships/hyperlink" Target="https://accpjournals.onlinelibrary.wiley.com/doi/pdfdirect/10.1002/phar.1458" TargetMode="External"/><Relationship Id="rId1196" Type="http://schemas.openxmlformats.org/officeDocument/2006/relationships/hyperlink" Target="https://pmc.ncbi.nlm.nih.gov/articles/PMC2737845/" TargetMode="External"/><Relationship Id="rId121" Type="http://schemas.openxmlformats.org/officeDocument/2006/relationships/hyperlink" Target="https://www.accessdata.fda.gov/drugsatfda_docs/nda/99/21-085_Avelox_biopharmr.pdf" TargetMode="External"/><Relationship Id="rId219" Type="http://schemas.openxmlformats.org/officeDocument/2006/relationships/hyperlink" Target="https://www.accessdata.fda.gov/drugsatfda_docs/nda/2012/204384Orig1s000ClinPharmR.pdf" TargetMode="External"/><Relationship Id="rId426" Type="http://schemas.openxmlformats.org/officeDocument/2006/relationships/hyperlink" Target="https://citeseerx.ist.psu.edu/document?repid=rep1&amp;type=pdf&amp;doi=d4e42f0fb6287c2b204645dab694010d2388ef25" TargetMode="External"/><Relationship Id="rId633" Type="http://schemas.openxmlformats.org/officeDocument/2006/relationships/hyperlink" Target="https://accpjournals.onlinelibrary.wiley.com/doi/pdfdirect/10.1002/phar.1337" TargetMode="External"/><Relationship Id="rId98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56" Type="http://schemas.openxmlformats.org/officeDocument/2006/relationships/hyperlink" Target="https://pmc.ncbi.nlm.nih.gov/articles/PMC2737845/" TargetMode="External"/><Relationship Id="rId1263" Type="http://schemas.openxmlformats.org/officeDocument/2006/relationships/hyperlink" Target="https://pmc.ncbi.nlm.nih.gov/articles/PMC2737845/" TargetMode="External"/><Relationship Id="rId840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938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470" Type="http://schemas.openxmlformats.org/officeDocument/2006/relationships/hyperlink" Target="https://bpspubs.onlinelibrary.wiley.com/doi/10.1111/bcp.15672" TargetMode="External"/><Relationship Id="rId1568" Type="http://schemas.openxmlformats.org/officeDocument/2006/relationships/hyperlink" Target="https://pmc.ncbi.nlm.nih.gov/articles/PMC1087638/" TargetMode="External"/><Relationship Id="rId67" Type="http://schemas.openxmlformats.org/officeDocument/2006/relationships/hyperlink" Target="https://www.researchgate.net/profile/Heino-Stass/publication/12916079_Pharmacokinetics_of_the_8-methoxyquinolone_moxifloxacin_a_comparison_in_humans_and_other_mammalian_species/links/582f12dc08ae102f072f2bde/Pharmacokinetics-of-the-8-methoxyquinolone-moxifloxacin-a-comparison-in-humans-and-other-mammalian-species.pdf" TargetMode="External"/><Relationship Id="rId700" Type="http://schemas.openxmlformats.org/officeDocument/2006/relationships/hyperlink" Target="https://accpjournals.onlinelibrary.wiley.com/doi/pdfdirect/10.1002/phar.1458" TargetMode="External"/><Relationship Id="rId1123" Type="http://schemas.openxmlformats.org/officeDocument/2006/relationships/hyperlink" Target="https://pmc.ncbi.nlm.nih.gov/articles/PMC2737845/" TargetMode="External"/><Relationship Id="rId1330" Type="http://schemas.openxmlformats.org/officeDocument/2006/relationships/hyperlink" Target="https://www.ema.europa.eu/en/documents/assessment-report/deltyba-epar-public-assessment-report_en.pdf" TargetMode="External"/><Relationship Id="rId1428" Type="http://schemas.openxmlformats.org/officeDocument/2006/relationships/hyperlink" Target="https://www.ema.europa.eu/en/documents/assessment-report/deltyba-epar-public-assessment-report_en.pdf" TargetMode="External"/><Relationship Id="rId1635" Type="http://schemas.openxmlformats.org/officeDocument/2006/relationships/hyperlink" Target="https://pmc.ncbi.nlm.nih.gov/articles/PMC1087638/" TargetMode="External"/><Relationship Id="rId1702" Type="http://schemas.openxmlformats.org/officeDocument/2006/relationships/hyperlink" Target="https://www.mdpi.com/1999-4923/16/11/1449" TargetMode="External"/><Relationship Id="rId283" Type="http://schemas.openxmlformats.org/officeDocument/2006/relationships/hyperlink" Target="https://journals.asm.org/doi/epub/10.1128/aac.01418-13?src=getftr&amp;utm_source=wiley&amp;getft_integrator=wiley" TargetMode="External"/><Relationship Id="rId490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143" Type="http://schemas.openxmlformats.org/officeDocument/2006/relationships/hyperlink" Target="https://www.accessdata.fda.gov/drugsatfda_docs/nda/99/21-085_Avelox_biopharmr.pdf" TargetMode="External"/><Relationship Id="rId350" Type="http://schemas.openxmlformats.org/officeDocument/2006/relationships/hyperlink" Target="https://www.ema.europa.eu/en/documents/assessment-report/sirturo-epar-public-assessment-report_en.pdf" TargetMode="External"/><Relationship Id="rId588" Type="http://schemas.openxmlformats.org/officeDocument/2006/relationships/hyperlink" Target="https://accpjournals.onlinelibrary.wiley.com/doi/pdfdirect/10.1002/phar.1337" TargetMode="External"/><Relationship Id="rId795" Type="http://schemas.openxmlformats.org/officeDocument/2006/relationships/hyperlink" Target="https://accpjournals.onlinelibrary.wiley.com/doi/pdfdirect/10.1002/phar.1458" TargetMode="External"/><Relationship Id="rId9" Type="http://schemas.openxmlformats.org/officeDocument/2006/relationships/hyperlink" Target="https://www.accessdata.fda.gov/drugsatfda_docs/label/2013/050420s075,050627s014lbl.pdf" TargetMode="External"/><Relationship Id="rId210" Type="http://schemas.openxmlformats.org/officeDocument/2006/relationships/hyperlink" Target="https://www.accessdata.fda.gov/drugsatfda_docs/nda/2012/204384Orig1s000ClinPharmR.pdf" TargetMode="External"/><Relationship Id="rId448" Type="http://schemas.openxmlformats.org/officeDocument/2006/relationships/hyperlink" Target="https://citeseerx.ist.psu.edu/document?repid=rep1&amp;type=pdf&amp;doi=d4e42f0fb6287c2b204645dab694010d2388ef25" TargetMode="External"/><Relationship Id="rId655" Type="http://schemas.openxmlformats.org/officeDocument/2006/relationships/hyperlink" Target="https://accpjournals.onlinelibrary.wiley.com/doi/pdfdirect/10.1002/phar.1458" TargetMode="External"/><Relationship Id="rId862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78" Type="http://schemas.openxmlformats.org/officeDocument/2006/relationships/hyperlink" Target="https://pmc.ncbi.nlm.nih.gov/articles/PMC2737845/" TargetMode="External"/><Relationship Id="rId1285" Type="http://schemas.openxmlformats.org/officeDocument/2006/relationships/hyperlink" Target="https://pmc.ncbi.nlm.nih.gov/articles/PMC2737845/" TargetMode="External"/><Relationship Id="rId1492" Type="http://schemas.openxmlformats.org/officeDocument/2006/relationships/hyperlink" Target="https://bpspubs.onlinelibrary.wiley.com/doi/10.1111/bcp.15672" TargetMode="External"/><Relationship Id="rId308" Type="http://schemas.openxmlformats.org/officeDocument/2006/relationships/hyperlink" Target="https://www.accessdata.fda.gov/drugsatfda_docs/nda/2012/204384Orig1s000ClinPharmR.pdf" TargetMode="External"/><Relationship Id="rId515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22" Type="http://schemas.openxmlformats.org/officeDocument/2006/relationships/hyperlink" Target="https://accpjournals.onlinelibrary.wiley.com/doi/pdfdirect/10.1002/phar.1458" TargetMode="External"/><Relationship Id="rId1145" Type="http://schemas.openxmlformats.org/officeDocument/2006/relationships/hyperlink" Target="https://pmc.ncbi.nlm.nih.gov/articles/PMC2737845/" TargetMode="External"/><Relationship Id="rId1352" Type="http://schemas.openxmlformats.org/officeDocument/2006/relationships/hyperlink" Target="https://www.ema.europa.eu/en/documents/assessment-report/deltyba-epar-public-assessment-report_en.pdf" TargetMode="External"/><Relationship Id="rId89" Type="http://schemas.openxmlformats.org/officeDocument/2006/relationships/hyperlink" Target="https://www.accessdata.fda.gov/drugsatfda_docs/nda/99/21-085_Avelox_biopharmr.pdf" TargetMode="External"/><Relationship Id="rId100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212" Type="http://schemas.openxmlformats.org/officeDocument/2006/relationships/hyperlink" Target="https://pmc.ncbi.nlm.nih.gov/articles/PMC3811266/" TargetMode="External"/><Relationship Id="rId1657" Type="http://schemas.openxmlformats.org/officeDocument/2006/relationships/hyperlink" Target="https://pmc.ncbi.nlm.nih.gov/articles/PMC1087638/" TargetMode="External"/><Relationship Id="rId1517" Type="http://schemas.openxmlformats.org/officeDocument/2006/relationships/hyperlink" Target="https://citeseerx.ist.psu.edu/document?repid=rep1&amp;type=pdf&amp;doi=5b8c4c32934f844c9acab90c2be0e0fd59b801de" TargetMode="External"/><Relationship Id="rId172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6" Type="http://schemas.openxmlformats.org/officeDocument/2006/relationships/hyperlink" Target="https://www.accessdata.fda.gov/drugsatfda_docs/anda/97/064150review.pdf" TargetMode="External"/><Relationship Id="rId165" Type="http://schemas.openxmlformats.org/officeDocument/2006/relationships/hyperlink" Target="https://www.accessdata.fda.gov/drugsatfda_docs/nda/99/21-085_Avelox_biopharmr.pdf" TargetMode="External"/><Relationship Id="rId372" Type="http://schemas.openxmlformats.org/officeDocument/2006/relationships/hyperlink" Target="https://www.ema.europa.eu/en/documents/assessment-report/sirturo-epar-public-assessment-report_en.pdf" TargetMode="External"/><Relationship Id="rId677" Type="http://schemas.openxmlformats.org/officeDocument/2006/relationships/hyperlink" Target="https://pmc.ncbi.nlm.nih.gov/articles/PMC4249404/" TargetMode="External"/><Relationship Id="rId232" Type="http://schemas.openxmlformats.org/officeDocument/2006/relationships/hyperlink" Target="https://www.accessdata.fda.gov/drugsatfda_docs/nda/2012/204384Orig1s000ClinPharmR.pdf" TargetMode="External"/><Relationship Id="rId884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537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44" Type="http://schemas.openxmlformats.org/officeDocument/2006/relationships/hyperlink" Target="https://pmc.ncbi.nlm.nih.gov/articles/PMC4249404/" TargetMode="External"/><Relationship Id="rId951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67" Type="http://schemas.openxmlformats.org/officeDocument/2006/relationships/hyperlink" Target="https://pmc.ncbi.nlm.nih.gov/articles/PMC2737845/" TargetMode="External"/><Relationship Id="rId1374" Type="http://schemas.openxmlformats.org/officeDocument/2006/relationships/hyperlink" Target="https://www.ema.europa.eu/en/documents/assessment-report/deltyba-epar-public-assessment-report_en.pdf" TargetMode="External"/><Relationship Id="rId1581" Type="http://schemas.openxmlformats.org/officeDocument/2006/relationships/hyperlink" Target="https://citeseerx.ist.psu.edu/document?repid=rep1&amp;type=pdf&amp;doi=c986b50db0b4fc8265f37a7be5a827282690abfa" TargetMode="External"/><Relationship Id="rId1679" Type="http://schemas.openxmlformats.org/officeDocument/2006/relationships/hyperlink" Target="https://citeseerx.ist.psu.edu/document?repid=rep1&amp;type=pdf&amp;doi=c986b50db0b4fc8265f37a7be5a827282690abfa" TargetMode="External"/><Relationship Id="rId80" Type="http://schemas.openxmlformats.org/officeDocument/2006/relationships/hyperlink" Target="https://www.accessdata.fda.gov/drugsatfda_docs/label/2016/021085s063lbl.pdf" TargetMode="External"/><Relationship Id="rId604" Type="http://schemas.openxmlformats.org/officeDocument/2006/relationships/hyperlink" Target="https://accpjournals.onlinelibrary.wiley.com/doi/pdfdirect/10.1002/phar.1337" TargetMode="External"/><Relationship Id="rId811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27" Type="http://schemas.openxmlformats.org/officeDocument/2006/relationships/hyperlink" Target="https://pmc.ncbi.nlm.nih.gov/articles/PMC6544242/" TargetMode="External"/><Relationship Id="rId1234" Type="http://schemas.openxmlformats.org/officeDocument/2006/relationships/hyperlink" Target="https://pmc.ncbi.nlm.nih.gov/articles/PMC3811266/" TargetMode="External"/><Relationship Id="rId1441" Type="http://schemas.openxmlformats.org/officeDocument/2006/relationships/hyperlink" Target="https://www.ema.europa.eu/en/documents/assessment-report/deltyba-epar-public-assessment-report_en.pdf" TargetMode="External"/><Relationship Id="rId909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01" Type="http://schemas.openxmlformats.org/officeDocument/2006/relationships/hyperlink" Target="https://www.ema.europa.eu/en/documents/assessment-report/deltyba-epar-public-assessment-report_en.pdf" TargetMode="External"/><Relationship Id="rId1539" Type="http://schemas.openxmlformats.org/officeDocument/2006/relationships/hyperlink" Target="https://pmc.ncbi.nlm.nih.gov/articles/PMC1087638/" TargetMode="External"/><Relationship Id="rId1746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38" Type="http://schemas.openxmlformats.org/officeDocument/2006/relationships/hyperlink" Target="https://d1wqtxts1xzle7.cloudfront.net/95829011/j.ejps.2014.02.00220221215-1-sn1fyx-libre.pdf?1671116166=&amp;response-content-disposition=inline%3B+filename%3DPhysiologically_based_pharmacokinetic_mo.pdf&amp;Expires=1736330122&amp;Signature=Il1BkzSqR0BGcHihSegHKWZG-8CquwxdY9nMjTuZwgUKgp3XcdTmObE-m-~OD0i-4mqzN5a2UDHEwAe7EZL-44yCjmRv5xsMu2seT9gpdxivmcty2X4Ixg~JWDRz5gijMEeqdL7Aaatlkzj6T28bOG3nKme3TLdJU0ShE-JVhz~3N2np~FlAxXPph5m1ykG-90OgiPGy93s96XgVhe~cEFVeaXRbzN9T4oWJUCPlDzoDOKEzRvtDp03Yw~dO5xBbOh1Mx8f3jlL74N8z2PTfKZKCSMw7acSBAimj1ojsUmK8-l8SVeTr3yU4NgkfVHQr3uQMHFQ7m2MzjyuuCEfMig__&amp;Key-Pair-Id=APKAJLOHF5GGSLRBV4ZA" TargetMode="External"/><Relationship Id="rId1606" Type="http://schemas.openxmlformats.org/officeDocument/2006/relationships/hyperlink" Target="https://pmc.ncbi.nlm.nih.gov/articles/PMC1087638/" TargetMode="External"/><Relationship Id="rId187" Type="http://schemas.openxmlformats.org/officeDocument/2006/relationships/hyperlink" Target="https://www.accessdata.fda.gov/drugsatfda_docs/nda/99/21-085_Avelox_biopharmr.pdf" TargetMode="External"/><Relationship Id="rId394" Type="http://schemas.openxmlformats.org/officeDocument/2006/relationships/hyperlink" Target="https://citeseerx.ist.psu.edu/document?repid=rep1&amp;type=pdf&amp;doi=588491a8cc19861703f56475ca7cd78fee681b81" TargetMode="External"/><Relationship Id="rId254" Type="http://schemas.openxmlformats.org/officeDocument/2006/relationships/hyperlink" Target="https://www.ema.europa.eu/en/documents/assessment-report/sirturo-epar-public-assessment-report_en.pdf" TargetMode="External"/><Relationship Id="rId699" Type="http://schemas.openxmlformats.org/officeDocument/2006/relationships/hyperlink" Target="https://accpjournals.onlinelibrary.wiley.com/doi/pdfdirect/10.1002/phar.1458" TargetMode="External"/><Relationship Id="rId1091" Type="http://schemas.openxmlformats.org/officeDocument/2006/relationships/hyperlink" Target="https://pmc.ncbi.nlm.nih.gov/articles/PMC2737845/" TargetMode="External"/><Relationship Id="rId114" Type="http://schemas.openxmlformats.org/officeDocument/2006/relationships/hyperlink" Target="https://www.accessdata.fda.gov/drugsatfda_docs/nda/99/21-085_Avelox_biopharmr.pdf" TargetMode="External"/><Relationship Id="rId461" Type="http://schemas.openxmlformats.org/officeDocument/2006/relationships/hyperlink" Target="https://citeseerx.ist.psu.edu/document?repid=rep1&amp;type=pdf&amp;doi=d4e42f0fb6287c2b204645dab694010d2388ef25" TargetMode="External"/><Relationship Id="rId559" Type="http://schemas.openxmlformats.org/officeDocument/2006/relationships/hyperlink" Target="https://accpjournals.onlinelibrary.wiley.com/doi/pdfdirect/10.1002/phar.1337" TargetMode="External"/><Relationship Id="rId766" Type="http://schemas.openxmlformats.org/officeDocument/2006/relationships/hyperlink" Target="https://accpjournals.onlinelibrary.wiley.com/doi/pdfdirect/10.1002/phar.1458" TargetMode="External"/><Relationship Id="rId1189" Type="http://schemas.openxmlformats.org/officeDocument/2006/relationships/hyperlink" Target="https://pmc.ncbi.nlm.nih.gov/articles/PMC2737845/" TargetMode="External"/><Relationship Id="rId1396" Type="http://schemas.openxmlformats.org/officeDocument/2006/relationships/hyperlink" Target="https://www.ema.europa.eu/en/documents/assessment-report/deltyba-epar-public-assessment-report_en.pdf" TargetMode="External"/><Relationship Id="rId321" Type="http://schemas.openxmlformats.org/officeDocument/2006/relationships/hyperlink" Target="https://www.accessdata.fda.gov/drugsatfda_docs/nda/2012/204384Orig1s000ClinPharmR.pdf" TargetMode="External"/><Relationship Id="rId419" Type="http://schemas.openxmlformats.org/officeDocument/2006/relationships/hyperlink" Target="https://citeseerx.ist.psu.edu/document?repid=rep1&amp;type=pdf&amp;doi=d4e42f0fb6287c2b204645dab694010d2388ef25" TargetMode="External"/><Relationship Id="rId626" Type="http://schemas.openxmlformats.org/officeDocument/2006/relationships/hyperlink" Target="https://accpjournals.onlinelibrary.wiley.com/doi/pdfdirect/10.1002/phar.1337" TargetMode="External"/><Relationship Id="rId973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049" Type="http://schemas.openxmlformats.org/officeDocument/2006/relationships/hyperlink" Target="https://serval.unil.ch/resource/serval:BIB_405A2D6AF487.P001/REF.pdf" TargetMode="External"/><Relationship Id="rId1256" Type="http://schemas.openxmlformats.org/officeDocument/2006/relationships/hyperlink" Target="https://pmc.ncbi.nlm.nih.gov/articles/PMC2737845/" TargetMode="External"/><Relationship Id="rId833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116" Type="http://schemas.openxmlformats.org/officeDocument/2006/relationships/hyperlink" Target="https://pmc.ncbi.nlm.nih.gov/articles/PMC2737845/" TargetMode="External"/><Relationship Id="rId1463" Type="http://schemas.openxmlformats.org/officeDocument/2006/relationships/hyperlink" Target="https://www.ema.europa.eu/en/documents/assessment-report/deltyba-epar-public-assessment-report_en.pdf" TargetMode="External"/><Relationship Id="rId1670" Type="http://schemas.openxmlformats.org/officeDocument/2006/relationships/hyperlink" Target="https://pmc.ncbi.nlm.nih.gov/articles/PMC1087638/" TargetMode="External"/><Relationship Id="rId900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323" Type="http://schemas.openxmlformats.org/officeDocument/2006/relationships/hyperlink" Target="https://www.ema.europa.eu/en/documents/assessment-report/deltyba-epar-public-assessment-report_en.pdf" TargetMode="External"/><Relationship Id="rId1530" Type="http://schemas.openxmlformats.org/officeDocument/2006/relationships/hyperlink" Target="https://journals.asm.org/doi/pdf/10.1128/aac.36.7.1532" TargetMode="External"/><Relationship Id="rId1628" Type="http://schemas.openxmlformats.org/officeDocument/2006/relationships/hyperlink" Target="https://pmc.ncbi.nlm.nih.gov/articles/PMC1087638/" TargetMode="External"/><Relationship Id="rId276" Type="http://schemas.openxmlformats.org/officeDocument/2006/relationships/hyperlink" Target="https://journals.asm.org/doi/epub/10.1128/aac.01418-13?src=getftr&amp;utm_source=wiley&amp;getft_integrator=wiley" TargetMode="External"/><Relationship Id="rId483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690" Type="http://schemas.openxmlformats.org/officeDocument/2006/relationships/hyperlink" Target="https://accpjournals.onlinelibrary.wiley.com/doi/pdfdirect/10.1002/phar.1458" TargetMode="External"/><Relationship Id="rId136" Type="http://schemas.openxmlformats.org/officeDocument/2006/relationships/hyperlink" Target="https://www.accessdata.fda.gov/drugsatfda_docs/nda/99/21-085_Avelox_biopharmr.pdf" TargetMode="External"/><Relationship Id="rId343" Type="http://schemas.openxmlformats.org/officeDocument/2006/relationships/hyperlink" Target="https://www.accessdata.fda.gov/drugsatfda_docs/nda/2012/204384Orig1s000ClinPharmR.pdf" TargetMode="External"/><Relationship Id="rId550" Type="http://schemas.openxmlformats.org/officeDocument/2006/relationships/hyperlink" Target="https://accpjournals.onlinelibrary.wiley.com/doi/pdfdirect/10.1002/phar.1337" TargetMode="External"/><Relationship Id="rId788" Type="http://schemas.openxmlformats.org/officeDocument/2006/relationships/hyperlink" Target="https://accpjournals.onlinelibrary.wiley.com/doi/pdfdirect/10.1002/phar.1458" TargetMode="External"/><Relationship Id="rId995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80" Type="http://schemas.openxmlformats.org/officeDocument/2006/relationships/hyperlink" Target="https://pmc.ncbi.nlm.nih.gov/articles/PMC2737845/" TargetMode="External"/><Relationship Id="rId203" Type="http://schemas.openxmlformats.org/officeDocument/2006/relationships/hyperlink" Target="https://www.accessdata.fda.gov/drugsatfda_docs/nda/2012/204384Orig1s000ClinPharmR.pdf" TargetMode="External"/><Relationship Id="rId648" Type="http://schemas.openxmlformats.org/officeDocument/2006/relationships/hyperlink" Target="https://accpjournals.onlinelibrary.wiley.com/doi/pdfdirect/10.1002/phar.1458" TargetMode="External"/><Relationship Id="rId855" Type="http://schemas.openxmlformats.org/officeDocument/2006/relationships/hyperlink" Target="https://www.researchgate.net/publication/355578523_Safety_Tolerability_and_Pharmacokinetics_of_Telacebec_Q203_a_New_Antituberculosis_Agent_in_Healthy_Subjects" TargetMode="External"/><Relationship Id="rId1040" Type="http://schemas.openxmlformats.org/officeDocument/2006/relationships/hyperlink" Target="https://serval.unil.ch/resource/serval:BIB_405A2D6AF487.P001/REF.pdf" TargetMode="External"/><Relationship Id="rId1278" Type="http://schemas.openxmlformats.org/officeDocument/2006/relationships/hyperlink" Target="https://pmc.ncbi.nlm.nih.gov/articles/PMC2737845/" TargetMode="External"/><Relationship Id="rId1485" Type="http://schemas.openxmlformats.org/officeDocument/2006/relationships/hyperlink" Target="https://bpspubs.onlinelibrary.wiley.com/doi/10.1111/bcp.15672" TargetMode="External"/><Relationship Id="rId1692" Type="http://schemas.openxmlformats.org/officeDocument/2006/relationships/hyperlink" Target="https://www.mdpi.com/1999-4923/16/11/1449" TargetMode="External"/><Relationship Id="rId410" Type="http://schemas.openxmlformats.org/officeDocument/2006/relationships/hyperlink" Target="https://citeseerx.ist.psu.edu/document?repid=rep1&amp;type=pdf&amp;doi=588491a8cc19861703f56475ca7cd78fee681b81" TargetMode="External"/><Relationship Id="rId508" Type="http://schemas.openxmlformats.org/officeDocument/2006/relationships/hyperlink" Target="https://www.researchgate.net/publication/359239100_Single_Ascending-Dose_Study_To_Evaluate_the_Safety_Tolerability_and_Pharmacokinetics_of_Sutezolid_in_Healthy_Adult_Subjects" TargetMode="External"/><Relationship Id="rId715" Type="http://schemas.openxmlformats.org/officeDocument/2006/relationships/hyperlink" Target="https://accpjournals.onlinelibrary.wiley.com/doi/pdfdirect/10.1002/phar.1458" TargetMode="External"/><Relationship Id="rId922" Type="http://schemas.openxmlformats.org/officeDocument/2006/relationships/hyperlink" Target="https://www.researchgate.net/publication/366209299_Safety_Tolerability_Pharmacokinetics_and_Metabolism_of_Telacebec_Q203_for_the_Treatment_of_Tuberculosis_a_Randomized_Placebo-Controlled_Multiple_Ascending_Dose_Phase_1B_Trial" TargetMode="External"/><Relationship Id="rId1138" Type="http://schemas.openxmlformats.org/officeDocument/2006/relationships/hyperlink" Target="https://pmc.ncbi.nlm.nih.gov/articles/PMC2737845/" TargetMode="External"/><Relationship Id="rId1345" Type="http://schemas.openxmlformats.org/officeDocument/2006/relationships/hyperlink" Target="https://www.ema.europa.eu/en/documents/assessment-report/deltyba-epar-public-assessment-report_en.pdf" TargetMode="External"/><Relationship Id="rId1552" Type="http://schemas.openxmlformats.org/officeDocument/2006/relationships/hyperlink" Target="https://pmc.ncbi.nlm.nih.gov/articles/PMC10876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4019-BF64-4B06-B6A8-56EBA080C9C4}">
  <dimension ref="A1:Q124"/>
  <sheetViews>
    <sheetView topLeftCell="A75" zoomScale="115" zoomScaleNormal="115" workbookViewId="0">
      <selection activeCell="A21" sqref="A21:XFD22"/>
    </sheetView>
  </sheetViews>
  <sheetFormatPr defaultRowHeight="14.4" x14ac:dyDescent="0.3"/>
  <cols>
    <col min="1" max="1" width="9.44140625" style="1" customWidth="1"/>
    <col min="2" max="2" width="41.5546875" style="1" customWidth="1"/>
    <col min="3" max="3" width="20.21875" style="1" customWidth="1"/>
    <col min="4" max="4" width="15" style="1" customWidth="1"/>
    <col min="5" max="5" width="10.6640625" style="1" customWidth="1"/>
    <col min="6" max="6" width="13.5546875" style="1" customWidth="1"/>
    <col min="8" max="8" width="13.6640625" customWidth="1"/>
    <col min="9" max="9" width="13.5546875" customWidth="1"/>
  </cols>
  <sheetData>
    <row r="1" spans="1:17" x14ac:dyDescent="0.3">
      <c r="A1" s="1" t="s">
        <v>81</v>
      </c>
      <c r="B1" s="1" t="s">
        <v>82</v>
      </c>
      <c r="C1" s="1" t="s">
        <v>86</v>
      </c>
      <c r="D1" s="1" t="s">
        <v>85</v>
      </c>
      <c r="E1" s="1" t="s">
        <v>91</v>
      </c>
      <c r="F1" s="1" t="s">
        <v>442</v>
      </c>
      <c r="G1" t="s">
        <v>89</v>
      </c>
      <c r="H1" t="s">
        <v>592</v>
      </c>
      <c r="I1" t="s">
        <v>587</v>
      </c>
      <c r="J1" t="s">
        <v>454</v>
      </c>
      <c r="K1" t="s">
        <v>469</v>
      </c>
      <c r="L1" t="s">
        <v>470</v>
      </c>
      <c r="M1" t="s">
        <v>588</v>
      </c>
      <c r="N1" t="s">
        <v>589</v>
      </c>
      <c r="O1" t="s">
        <v>590</v>
      </c>
      <c r="P1" t="s">
        <v>591</v>
      </c>
      <c r="Q1" t="s">
        <v>593</v>
      </c>
    </row>
    <row r="2" spans="1:17" x14ac:dyDescent="0.3">
      <c r="A2" s="2" t="s">
        <v>84</v>
      </c>
      <c r="B2" s="2" t="s">
        <v>83</v>
      </c>
      <c r="C2" s="3" t="s">
        <v>0</v>
      </c>
      <c r="D2" s="1" t="s">
        <v>1</v>
      </c>
      <c r="E2" s="2" t="s">
        <v>213</v>
      </c>
      <c r="F2" s="11">
        <v>0.5</v>
      </c>
      <c r="G2" t="s">
        <v>2</v>
      </c>
      <c r="H2" t="s">
        <v>460</v>
      </c>
      <c r="I2" t="s">
        <v>3</v>
      </c>
      <c r="J2" t="s">
        <v>4</v>
      </c>
      <c r="K2">
        <v>300</v>
      </c>
      <c r="L2" t="s">
        <v>5</v>
      </c>
      <c r="M2" t="s">
        <v>6</v>
      </c>
      <c r="O2" t="s">
        <v>7</v>
      </c>
      <c r="P2">
        <v>12</v>
      </c>
      <c r="Q2">
        <v>0</v>
      </c>
    </row>
    <row r="3" spans="1:17" x14ac:dyDescent="0.3">
      <c r="A3" s="2" t="s">
        <v>88</v>
      </c>
      <c r="B3" s="2" t="s">
        <v>87</v>
      </c>
      <c r="C3" s="3" t="s">
        <v>0</v>
      </c>
      <c r="D3" s="1" t="s">
        <v>1</v>
      </c>
      <c r="E3" s="2" t="s">
        <v>214</v>
      </c>
      <c r="F3" s="10">
        <v>0.5</v>
      </c>
      <c r="G3" t="s">
        <v>2</v>
      </c>
      <c r="H3" t="s">
        <v>460</v>
      </c>
      <c r="I3" t="s">
        <v>3</v>
      </c>
      <c r="J3" t="s">
        <v>4</v>
      </c>
      <c r="K3">
        <v>600</v>
      </c>
      <c r="L3" t="s">
        <v>5</v>
      </c>
      <c r="M3" t="s">
        <v>6</v>
      </c>
      <c r="O3" t="s">
        <v>7</v>
      </c>
      <c r="P3">
        <v>12</v>
      </c>
      <c r="Q3">
        <v>0</v>
      </c>
    </row>
    <row r="4" spans="1:17" x14ac:dyDescent="0.3">
      <c r="A4" s="2" t="s">
        <v>92</v>
      </c>
      <c r="B4" s="1" t="s">
        <v>336</v>
      </c>
      <c r="C4" s="3" t="s">
        <v>8</v>
      </c>
      <c r="D4" s="1" t="s">
        <v>1</v>
      </c>
      <c r="E4" s="2" t="s">
        <v>215</v>
      </c>
      <c r="F4" s="10">
        <v>1</v>
      </c>
      <c r="G4" t="s">
        <v>9</v>
      </c>
      <c r="H4" t="s">
        <v>10</v>
      </c>
      <c r="I4" t="s">
        <v>3</v>
      </c>
      <c r="J4" t="s">
        <v>4</v>
      </c>
      <c r="K4">
        <v>600</v>
      </c>
      <c r="L4" t="s">
        <v>5</v>
      </c>
      <c r="M4" t="s">
        <v>6</v>
      </c>
      <c r="N4" t="s">
        <v>11</v>
      </c>
      <c r="O4" t="s">
        <v>7</v>
      </c>
      <c r="P4">
        <v>36</v>
      </c>
    </row>
    <row r="5" spans="1:17" x14ac:dyDescent="0.3">
      <c r="A5" s="2" t="s">
        <v>93</v>
      </c>
      <c r="B5" s="1" t="s">
        <v>337</v>
      </c>
      <c r="C5" s="3" t="s">
        <v>8</v>
      </c>
      <c r="D5" s="1" t="s">
        <v>1</v>
      </c>
      <c r="E5" s="2" t="s">
        <v>216</v>
      </c>
      <c r="F5" s="10">
        <v>1</v>
      </c>
      <c r="G5" t="s">
        <v>9</v>
      </c>
      <c r="H5" t="s">
        <v>12</v>
      </c>
      <c r="I5" t="s">
        <v>3</v>
      </c>
      <c r="J5" t="s">
        <v>4</v>
      </c>
      <c r="K5">
        <v>600</v>
      </c>
      <c r="L5" t="s">
        <v>5</v>
      </c>
      <c r="M5" t="s">
        <v>6</v>
      </c>
      <c r="N5" t="s">
        <v>11</v>
      </c>
      <c r="O5" t="s">
        <v>7</v>
      </c>
      <c r="P5">
        <v>36</v>
      </c>
    </row>
    <row r="6" spans="1:17" x14ac:dyDescent="0.3">
      <c r="A6" s="2" t="s">
        <v>94</v>
      </c>
      <c r="B6" s="1" t="s">
        <v>518</v>
      </c>
      <c r="C6" s="15" t="s">
        <v>519</v>
      </c>
      <c r="D6" s="1" t="s">
        <v>1</v>
      </c>
      <c r="E6" s="2" t="s">
        <v>217</v>
      </c>
      <c r="F6" s="10">
        <v>7.5</v>
      </c>
      <c r="G6" t="s">
        <v>9</v>
      </c>
      <c r="I6" t="s">
        <v>520</v>
      </c>
      <c r="J6" t="s">
        <v>4</v>
      </c>
      <c r="K6">
        <v>600</v>
      </c>
      <c r="L6" t="s">
        <v>5</v>
      </c>
      <c r="M6" t="s">
        <v>6</v>
      </c>
      <c r="O6" t="s">
        <v>7</v>
      </c>
      <c r="P6">
        <v>12</v>
      </c>
      <c r="Q6">
        <v>0</v>
      </c>
    </row>
    <row r="7" spans="1:17" ht="14.4" customHeight="1" x14ac:dyDescent="0.3">
      <c r="A7" s="2" t="s">
        <v>95</v>
      </c>
      <c r="B7" s="4" t="s">
        <v>338</v>
      </c>
      <c r="C7" s="5" t="s">
        <v>13</v>
      </c>
      <c r="D7" s="1" t="s">
        <v>14</v>
      </c>
      <c r="E7" s="2" t="s">
        <v>218</v>
      </c>
      <c r="F7" s="10">
        <v>2</v>
      </c>
      <c r="G7" t="s">
        <v>15</v>
      </c>
      <c r="H7" t="s">
        <v>16</v>
      </c>
      <c r="I7" t="s">
        <v>3</v>
      </c>
      <c r="J7" t="s">
        <v>4</v>
      </c>
      <c r="K7">
        <v>100</v>
      </c>
      <c r="L7" t="s">
        <v>5</v>
      </c>
      <c r="M7" t="s">
        <v>6</v>
      </c>
      <c r="N7" t="s">
        <v>11</v>
      </c>
      <c r="O7" t="s">
        <v>7</v>
      </c>
      <c r="Q7">
        <v>0</v>
      </c>
    </row>
    <row r="8" spans="1:17" ht="13.2" customHeight="1" x14ac:dyDescent="0.3">
      <c r="A8" s="2" t="s">
        <v>96</v>
      </c>
      <c r="B8" s="4" t="s">
        <v>524</v>
      </c>
      <c r="C8" s="17" t="s">
        <v>13</v>
      </c>
      <c r="D8" s="1" t="s">
        <v>14</v>
      </c>
      <c r="E8" s="2" t="s">
        <v>219</v>
      </c>
      <c r="F8" s="18">
        <v>2</v>
      </c>
      <c r="G8" t="s">
        <v>9</v>
      </c>
      <c r="H8" t="s">
        <v>27</v>
      </c>
      <c r="I8" t="s">
        <v>3</v>
      </c>
      <c r="J8" t="s">
        <v>4</v>
      </c>
      <c r="K8">
        <v>100</v>
      </c>
      <c r="L8" t="s">
        <v>5</v>
      </c>
      <c r="M8" t="s">
        <v>6</v>
      </c>
      <c r="N8" t="s">
        <v>11</v>
      </c>
      <c r="O8" t="s">
        <v>7</v>
      </c>
      <c r="Q8">
        <v>0</v>
      </c>
    </row>
    <row r="9" spans="1:17" x14ac:dyDescent="0.3">
      <c r="A9" s="2" t="s">
        <v>97</v>
      </c>
      <c r="B9" s="4" t="s">
        <v>339</v>
      </c>
      <c r="C9" s="3" t="s">
        <v>17</v>
      </c>
      <c r="D9" s="1" t="s">
        <v>14</v>
      </c>
      <c r="E9" s="2" t="s">
        <v>220</v>
      </c>
      <c r="F9" s="10">
        <v>9</v>
      </c>
      <c r="G9" t="s">
        <v>18</v>
      </c>
      <c r="I9" t="s">
        <v>540</v>
      </c>
      <c r="J9" s="6" t="s">
        <v>4</v>
      </c>
      <c r="K9">
        <v>400</v>
      </c>
      <c r="L9" t="s">
        <v>5</v>
      </c>
      <c r="M9" s="6" t="s">
        <v>6</v>
      </c>
      <c r="N9" t="s">
        <v>11</v>
      </c>
      <c r="O9" t="s">
        <v>7</v>
      </c>
      <c r="P9">
        <v>12</v>
      </c>
      <c r="Q9">
        <v>4</v>
      </c>
    </row>
    <row r="10" spans="1:17" x14ac:dyDescent="0.3">
      <c r="A10" s="2" t="s">
        <v>98</v>
      </c>
      <c r="B10" s="4" t="s">
        <v>340</v>
      </c>
      <c r="C10" s="3" t="s">
        <v>17</v>
      </c>
      <c r="D10" s="1" t="s">
        <v>14</v>
      </c>
      <c r="E10" s="2" t="s">
        <v>221</v>
      </c>
      <c r="F10" s="10">
        <v>4</v>
      </c>
      <c r="G10" t="s">
        <v>18</v>
      </c>
      <c r="I10" t="s">
        <v>3</v>
      </c>
      <c r="J10" s="6" t="s">
        <v>4</v>
      </c>
      <c r="K10">
        <v>400</v>
      </c>
      <c r="L10" t="s">
        <v>5</v>
      </c>
      <c r="M10" s="6" t="s">
        <v>6</v>
      </c>
      <c r="O10" t="s">
        <v>7</v>
      </c>
      <c r="P10">
        <v>12</v>
      </c>
      <c r="Q10">
        <v>0</v>
      </c>
    </row>
    <row r="11" spans="1:17" x14ac:dyDescent="0.3">
      <c r="A11" s="2" t="s">
        <v>99</v>
      </c>
      <c r="B11" s="4" t="s">
        <v>341</v>
      </c>
      <c r="C11" s="3" t="s">
        <v>17</v>
      </c>
      <c r="D11" s="1" t="s">
        <v>14</v>
      </c>
      <c r="E11" s="2" t="s">
        <v>222</v>
      </c>
      <c r="F11" s="10">
        <v>3</v>
      </c>
      <c r="G11" t="s">
        <v>9</v>
      </c>
      <c r="H11" t="s">
        <v>20</v>
      </c>
      <c r="I11" t="s">
        <v>3</v>
      </c>
      <c r="J11" s="6" t="s">
        <v>4</v>
      </c>
      <c r="K11">
        <v>60</v>
      </c>
      <c r="L11" t="s">
        <v>5</v>
      </c>
      <c r="M11" s="6" t="s">
        <v>6</v>
      </c>
      <c r="O11" t="s">
        <v>7</v>
      </c>
      <c r="P11">
        <v>6</v>
      </c>
      <c r="Q11">
        <v>0</v>
      </c>
    </row>
    <row r="12" spans="1:17" x14ac:dyDescent="0.3">
      <c r="A12" s="2" t="s">
        <v>100</v>
      </c>
      <c r="B12" s="4" t="s">
        <v>342</v>
      </c>
      <c r="C12" s="3" t="s">
        <v>17</v>
      </c>
      <c r="D12" s="1" t="s">
        <v>14</v>
      </c>
      <c r="E12" s="2" t="s">
        <v>223</v>
      </c>
      <c r="F12" s="10">
        <v>3</v>
      </c>
      <c r="G12" t="s">
        <v>9</v>
      </c>
      <c r="H12" t="s">
        <v>20</v>
      </c>
      <c r="I12" t="s">
        <v>3</v>
      </c>
      <c r="J12" s="6" t="s">
        <v>4</v>
      </c>
      <c r="K12">
        <v>100</v>
      </c>
      <c r="L12" t="s">
        <v>5</v>
      </c>
      <c r="M12" s="6" t="s">
        <v>6</v>
      </c>
      <c r="O12" t="s">
        <v>7</v>
      </c>
      <c r="P12">
        <v>6</v>
      </c>
      <c r="Q12">
        <v>0</v>
      </c>
    </row>
    <row r="13" spans="1:17" x14ac:dyDescent="0.3">
      <c r="A13" s="2" t="s">
        <v>101</v>
      </c>
      <c r="B13" s="4" t="s">
        <v>343</v>
      </c>
      <c r="C13" s="3" t="s">
        <v>17</v>
      </c>
      <c r="D13" s="1" t="s">
        <v>14</v>
      </c>
      <c r="E13" s="2" t="s">
        <v>224</v>
      </c>
      <c r="F13" s="10">
        <v>3</v>
      </c>
      <c r="G13" t="s">
        <v>9</v>
      </c>
      <c r="H13" t="s">
        <v>20</v>
      </c>
      <c r="I13" t="s">
        <v>3</v>
      </c>
      <c r="J13" s="6" t="s">
        <v>4</v>
      </c>
      <c r="K13">
        <v>200</v>
      </c>
      <c r="L13" t="s">
        <v>5</v>
      </c>
      <c r="M13" s="6" t="s">
        <v>6</v>
      </c>
      <c r="O13" t="s">
        <v>7</v>
      </c>
      <c r="P13">
        <v>6</v>
      </c>
      <c r="Q13">
        <v>0</v>
      </c>
    </row>
    <row r="14" spans="1:17" x14ac:dyDescent="0.3">
      <c r="A14" s="2" t="s">
        <v>102</v>
      </c>
      <c r="B14" s="4" t="s">
        <v>346</v>
      </c>
      <c r="C14" s="3" t="s">
        <v>17</v>
      </c>
      <c r="D14" s="1" t="s">
        <v>14</v>
      </c>
      <c r="E14" s="2" t="s">
        <v>225</v>
      </c>
      <c r="F14" s="10">
        <v>3</v>
      </c>
      <c r="G14" t="s">
        <v>9</v>
      </c>
      <c r="H14" t="s">
        <v>20</v>
      </c>
      <c r="I14" t="s">
        <v>3</v>
      </c>
      <c r="J14" s="6" t="s">
        <v>4</v>
      </c>
      <c r="K14">
        <v>400</v>
      </c>
      <c r="L14" t="s">
        <v>5</v>
      </c>
      <c r="M14" s="6" t="s">
        <v>6</v>
      </c>
      <c r="O14" t="s">
        <v>7</v>
      </c>
      <c r="P14">
        <v>7</v>
      </c>
      <c r="Q14">
        <v>0</v>
      </c>
    </row>
    <row r="15" spans="1:17" x14ac:dyDescent="0.3">
      <c r="A15" s="2" t="s">
        <v>103</v>
      </c>
      <c r="B15" s="4" t="s">
        <v>347</v>
      </c>
      <c r="C15" s="3" t="s">
        <v>17</v>
      </c>
      <c r="D15" s="1" t="s">
        <v>14</v>
      </c>
      <c r="E15" s="2" t="s">
        <v>226</v>
      </c>
      <c r="F15" s="10">
        <v>4</v>
      </c>
      <c r="G15" t="s">
        <v>9</v>
      </c>
      <c r="H15" t="s">
        <v>20</v>
      </c>
      <c r="I15" t="s">
        <v>3</v>
      </c>
      <c r="J15" s="6" t="s">
        <v>4</v>
      </c>
      <c r="K15">
        <v>400</v>
      </c>
      <c r="L15" t="s">
        <v>5</v>
      </c>
      <c r="M15" s="6" t="s">
        <v>6</v>
      </c>
      <c r="O15" t="s">
        <v>7</v>
      </c>
      <c r="P15">
        <v>12</v>
      </c>
      <c r="Q15">
        <v>0</v>
      </c>
    </row>
    <row r="16" spans="1:17" x14ac:dyDescent="0.3">
      <c r="A16" s="2" t="s">
        <v>104</v>
      </c>
      <c r="B16" s="4" t="s">
        <v>344</v>
      </c>
      <c r="C16" s="3" t="s">
        <v>17</v>
      </c>
      <c r="D16" s="1" t="s">
        <v>14</v>
      </c>
      <c r="E16" s="2" t="s">
        <v>227</v>
      </c>
      <c r="F16" s="10">
        <v>3</v>
      </c>
      <c r="G16" t="s">
        <v>9</v>
      </c>
      <c r="H16" t="s">
        <v>20</v>
      </c>
      <c r="I16" t="s">
        <v>3</v>
      </c>
      <c r="J16" s="6" t="s">
        <v>4</v>
      </c>
      <c r="K16">
        <v>600</v>
      </c>
      <c r="L16" t="s">
        <v>5</v>
      </c>
      <c r="M16" s="6" t="s">
        <v>6</v>
      </c>
      <c r="O16" t="s">
        <v>7</v>
      </c>
      <c r="P16">
        <v>7</v>
      </c>
      <c r="Q16">
        <v>0</v>
      </c>
    </row>
    <row r="17" spans="1:17" x14ac:dyDescent="0.3">
      <c r="A17" s="2" t="s">
        <v>105</v>
      </c>
      <c r="B17" s="4" t="s">
        <v>345</v>
      </c>
      <c r="C17" s="3" t="s">
        <v>17</v>
      </c>
      <c r="D17" s="1" t="s">
        <v>14</v>
      </c>
      <c r="E17" s="2" t="s">
        <v>228</v>
      </c>
      <c r="F17" s="10">
        <v>9</v>
      </c>
      <c r="G17" t="s">
        <v>9</v>
      </c>
      <c r="H17" t="s">
        <v>20</v>
      </c>
      <c r="I17" t="s">
        <v>540</v>
      </c>
      <c r="J17" s="6" t="s">
        <v>4</v>
      </c>
      <c r="K17">
        <v>400</v>
      </c>
      <c r="L17" t="s">
        <v>5</v>
      </c>
      <c r="M17" s="6" t="s">
        <v>6</v>
      </c>
      <c r="N17" t="s">
        <v>11</v>
      </c>
      <c r="O17" t="s">
        <v>7</v>
      </c>
      <c r="P17">
        <v>10</v>
      </c>
      <c r="Q17">
        <v>3</v>
      </c>
    </row>
    <row r="18" spans="1:17" x14ac:dyDescent="0.3">
      <c r="A18" s="2" t="s">
        <v>106</v>
      </c>
      <c r="B18" s="4" t="s">
        <v>545</v>
      </c>
      <c r="C18" s="3" t="s">
        <v>21</v>
      </c>
      <c r="D18" s="1" t="s">
        <v>22</v>
      </c>
      <c r="E18" s="2" t="s">
        <v>229</v>
      </c>
      <c r="F18" s="10">
        <v>28</v>
      </c>
      <c r="G18" t="s">
        <v>9</v>
      </c>
      <c r="H18" t="s">
        <v>27</v>
      </c>
      <c r="I18" t="s">
        <v>3</v>
      </c>
      <c r="J18" s="6" t="s">
        <v>24</v>
      </c>
      <c r="K18">
        <v>100</v>
      </c>
      <c r="L18" t="s">
        <v>5</v>
      </c>
      <c r="M18" s="6" t="s">
        <v>6</v>
      </c>
      <c r="O18" t="s">
        <v>7</v>
      </c>
      <c r="P18">
        <v>4</v>
      </c>
      <c r="Q18">
        <v>0</v>
      </c>
    </row>
    <row r="19" spans="1:17" x14ac:dyDescent="0.3">
      <c r="A19" s="2" t="s">
        <v>107</v>
      </c>
      <c r="B19" s="4" t="s">
        <v>544</v>
      </c>
      <c r="C19" s="3" t="s">
        <v>21</v>
      </c>
      <c r="D19" s="1" t="s">
        <v>22</v>
      </c>
      <c r="E19" s="2" t="s">
        <v>230</v>
      </c>
      <c r="F19" s="10">
        <v>14</v>
      </c>
      <c r="G19" t="s">
        <v>9</v>
      </c>
      <c r="H19" t="s">
        <v>27</v>
      </c>
      <c r="I19" t="s">
        <v>3</v>
      </c>
      <c r="J19" s="6" t="s">
        <v>24</v>
      </c>
      <c r="K19">
        <v>400</v>
      </c>
      <c r="L19" t="s">
        <v>5</v>
      </c>
      <c r="M19" s="6" t="s">
        <v>6</v>
      </c>
      <c r="O19" t="s">
        <v>7</v>
      </c>
      <c r="P19">
        <v>8</v>
      </c>
      <c r="Q19">
        <v>0</v>
      </c>
    </row>
    <row r="20" spans="1:17" x14ac:dyDescent="0.3">
      <c r="A20" s="2" t="s">
        <v>108</v>
      </c>
      <c r="B20" s="4" t="s">
        <v>348</v>
      </c>
      <c r="C20" s="3" t="s">
        <v>21</v>
      </c>
      <c r="D20" s="1" t="s">
        <v>22</v>
      </c>
      <c r="E20" s="2" t="s">
        <v>231</v>
      </c>
      <c r="F20" s="10">
        <f>14+7</f>
        <v>21</v>
      </c>
      <c r="G20" t="s">
        <v>9</v>
      </c>
      <c r="H20" t="s">
        <v>16</v>
      </c>
      <c r="I20" t="s">
        <v>23</v>
      </c>
      <c r="J20" s="6" t="s">
        <v>24</v>
      </c>
      <c r="K20">
        <v>400</v>
      </c>
      <c r="L20" t="s">
        <v>5</v>
      </c>
      <c r="M20" s="6" t="s">
        <v>6</v>
      </c>
      <c r="O20" t="s">
        <v>7</v>
      </c>
      <c r="P20">
        <v>18</v>
      </c>
      <c r="Q20">
        <v>0</v>
      </c>
    </row>
    <row r="21" spans="1:17" x14ac:dyDescent="0.3">
      <c r="A21" s="2" t="s">
        <v>109</v>
      </c>
      <c r="B21" s="4" t="s">
        <v>349</v>
      </c>
      <c r="C21" s="3" t="s">
        <v>21</v>
      </c>
      <c r="D21" s="1" t="s">
        <v>22</v>
      </c>
      <c r="E21" s="2" t="s">
        <v>232</v>
      </c>
      <c r="F21" s="10">
        <f>10+1</f>
        <v>11</v>
      </c>
      <c r="G21" t="s">
        <v>9</v>
      </c>
      <c r="H21" t="s">
        <v>16</v>
      </c>
      <c r="I21" t="s">
        <v>19</v>
      </c>
      <c r="J21" s="6" t="s">
        <v>24</v>
      </c>
      <c r="K21">
        <v>400</v>
      </c>
      <c r="L21" t="s">
        <v>5</v>
      </c>
      <c r="M21" s="6" t="s">
        <v>6</v>
      </c>
      <c r="O21" t="s">
        <v>7</v>
      </c>
      <c r="P21">
        <v>22</v>
      </c>
      <c r="Q21">
        <v>0</v>
      </c>
    </row>
    <row r="22" spans="1:17" x14ac:dyDescent="0.3">
      <c r="A22" s="2" t="s">
        <v>110</v>
      </c>
      <c r="B22" s="4" t="s">
        <v>350</v>
      </c>
      <c r="C22" s="3" t="s">
        <v>21</v>
      </c>
      <c r="D22" s="1" t="s">
        <v>22</v>
      </c>
      <c r="E22" s="2" t="s">
        <v>233</v>
      </c>
      <c r="F22" s="10">
        <f>11+1</f>
        <v>12</v>
      </c>
      <c r="G22" t="s">
        <v>9</v>
      </c>
      <c r="H22" t="s">
        <v>16</v>
      </c>
      <c r="I22" t="s">
        <v>546</v>
      </c>
      <c r="J22" s="6" t="s">
        <v>24</v>
      </c>
      <c r="K22">
        <v>400</v>
      </c>
      <c r="L22" t="s">
        <v>5</v>
      </c>
      <c r="M22" s="6" t="s">
        <v>6</v>
      </c>
      <c r="O22" t="s">
        <v>7</v>
      </c>
      <c r="P22">
        <v>15</v>
      </c>
      <c r="Q22">
        <v>0</v>
      </c>
    </row>
    <row r="23" spans="1:17" x14ac:dyDescent="0.3">
      <c r="A23" s="2" t="s">
        <v>111</v>
      </c>
      <c r="B23" s="4" t="s">
        <v>351</v>
      </c>
      <c r="C23" s="3" t="s">
        <v>26</v>
      </c>
      <c r="D23" s="1" t="s">
        <v>22</v>
      </c>
      <c r="E23" s="2" t="s">
        <v>234</v>
      </c>
      <c r="F23" s="10">
        <v>11</v>
      </c>
      <c r="G23" t="s">
        <v>9</v>
      </c>
      <c r="H23" t="s">
        <v>40</v>
      </c>
      <c r="I23" t="s">
        <v>3</v>
      </c>
      <c r="J23" s="6" t="s">
        <v>4</v>
      </c>
      <c r="K23">
        <v>10</v>
      </c>
      <c r="L23" t="s">
        <v>5</v>
      </c>
      <c r="M23" s="6" t="s">
        <v>6</v>
      </c>
      <c r="O23" t="s">
        <v>7</v>
      </c>
      <c r="P23">
        <v>6</v>
      </c>
    </row>
    <row r="24" spans="1:17" x14ac:dyDescent="0.3">
      <c r="A24" s="2" t="s">
        <v>112</v>
      </c>
      <c r="B24" s="4" t="s">
        <v>352</v>
      </c>
      <c r="C24" s="3" t="s">
        <v>26</v>
      </c>
      <c r="D24" s="1" t="s">
        <v>22</v>
      </c>
      <c r="E24" s="2" t="s">
        <v>235</v>
      </c>
      <c r="F24" s="10">
        <v>11</v>
      </c>
      <c r="G24" t="s">
        <v>9</v>
      </c>
      <c r="H24" t="s">
        <v>40</v>
      </c>
      <c r="I24" t="s">
        <v>3</v>
      </c>
      <c r="J24" s="6" t="s">
        <v>4</v>
      </c>
      <c r="K24">
        <v>30</v>
      </c>
      <c r="L24" t="s">
        <v>5</v>
      </c>
      <c r="M24" s="6" t="s">
        <v>6</v>
      </c>
      <c r="O24" t="s">
        <v>7</v>
      </c>
      <c r="P24">
        <v>6</v>
      </c>
    </row>
    <row r="25" spans="1:17" x14ac:dyDescent="0.3">
      <c r="A25" s="2" t="s">
        <v>113</v>
      </c>
      <c r="B25" s="4" t="s">
        <v>353</v>
      </c>
      <c r="C25" s="3" t="s">
        <v>26</v>
      </c>
      <c r="D25" s="1" t="s">
        <v>22</v>
      </c>
      <c r="E25" s="2" t="s">
        <v>236</v>
      </c>
      <c r="F25" s="10">
        <v>11</v>
      </c>
      <c r="G25" t="s">
        <v>9</v>
      </c>
      <c r="H25" t="s">
        <v>40</v>
      </c>
      <c r="I25" t="s">
        <v>3</v>
      </c>
      <c r="J25" s="6" t="s">
        <v>4</v>
      </c>
      <c r="K25">
        <v>100</v>
      </c>
      <c r="L25" t="s">
        <v>5</v>
      </c>
      <c r="M25" s="6" t="s">
        <v>6</v>
      </c>
      <c r="O25" t="s">
        <v>7</v>
      </c>
      <c r="P25">
        <v>6</v>
      </c>
    </row>
    <row r="26" spans="1:17" x14ac:dyDescent="0.3">
      <c r="A26" s="2" t="s">
        <v>114</v>
      </c>
      <c r="B26" s="4" t="s">
        <v>354</v>
      </c>
      <c r="C26" s="3" t="s">
        <v>26</v>
      </c>
      <c r="D26" s="1" t="s">
        <v>22</v>
      </c>
      <c r="E26" s="2" t="s">
        <v>237</v>
      </c>
      <c r="F26" s="10">
        <v>11</v>
      </c>
      <c r="G26" t="s">
        <v>9</v>
      </c>
      <c r="H26" t="s">
        <v>40</v>
      </c>
      <c r="I26" t="s">
        <v>3</v>
      </c>
      <c r="J26" s="6" t="s">
        <v>4</v>
      </c>
      <c r="K26">
        <v>300</v>
      </c>
      <c r="L26" t="s">
        <v>5</v>
      </c>
      <c r="M26" s="6" t="s">
        <v>6</v>
      </c>
      <c r="O26" t="s">
        <v>7</v>
      </c>
      <c r="P26">
        <v>6</v>
      </c>
    </row>
    <row r="27" spans="1:17" x14ac:dyDescent="0.3">
      <c r="A27" s="2" t="s">
        <v>115</v>
      </c>
      <c r="B27" s="4" t="s">
        <v>355</v>
      </c>
      <c r="C27" s="3" t="s">
        <v>26</v>
      </c>
      <c r="D27" s="1" t="s">
        <v>22</v>
      </c>
      <c r="E27" s="2" t="s">
        <v>238</v>
      </c>
      <c r="F27" s="10">
        <v>11</v>
      </c>
      <c r="G27" t="s">
        <v>9</v>
      </c>
      <c r="H27" t="s">
        <v>40</v>
      </c>
      <c r="I27" t="s">
        <v>3</v>
      </c>
      <c r="J27" s="6" t="s">
        <v>4</v>
      </c>
      <c r="K27">
        <v>450</v>
      </c>
      <c r="L27" t="s">
        <v>5</v>
      </c>
      <c r="M27" s="6" t="s">
        <v>6</v>
      </c>
      <c r="O27" t="s">
        <v>7</v>
      </c>
      <c r="P27">
        <v>6</v>
      </c>
    </row>
    <row r="28" spans="1:17" x14ac:dyDescent="0.3">
      <c r="A28" s="2" t="s">
        <v>116</v>
      </c>
      <c r="B28" s="4" t="s">
        <v>356</v>
      </c>
      <c r="C28" s="3" t="s">
        <v>26</v>
      </c>
      <c r="D28" s="1" t="s">
        <v>22</v>
      </c>
      <c r="E28" s="2" t="s">
        <v>239</v>
      </c>
      <c r="F28" s="10">
        <v>11</v>
      </c>
      <c r="G28" t="s">
        <v>9</v>
      </c>
      <c r="H28" t="s">
        <v>40</v>
      </c>
      <c r="I28" t="s">
        <v>3</v>
      </c>
      <c r="J28" s="6" t="s">
        <v>4</v>
      </c>
      <c r="K28">
        <v>700</v>
      </c>
      <c r="L28" t="s">
        <v>5</v>
      </c>
      <c r="M28" s="6" t="s">
        <v>6</v>
      </c>
      <c r="O28" t="s">
        <v>7</v>
      </c>
      <c r="P28">
        <v>6</v>
      </c>
    </row>
    <row r="29" spans="1:17" x14ac:dyDescent="0.3">
      <c r="A29" s="2" t="s">
        <v>117</v>
      </c>
      <c r="B29" s="4" t="s">
        <v>359</v>
      </c>
      <c r="C29" s="3" t="s">
        <v>28</v>
      </c>
      <c r="D29" s="1" t="s">
        <v>22</v>
      </c>
      <c r="E29" s="2" t="s">
        <v>240</v>
      </c>
      <c r="F29" s="10">
        <v>20</v>
      </c>
      <c r="G29" t="s">
        <v>9</v>
      </c>
      <c r="H29" t="s">
        <v>40</v>
      </c>
      <c r="I29" t="s">
        <v>23</v>
      </c>
      <c r="J29" s="6" t="s">
        <v>4</v>
      </c>
      <c r="K29">
        <v>50</v>
      </c>
      <c r="L29" t="s">
        <v>5</v>
      </c>
      <c r="M29" s="6" t="s">
        <v>6</v>
      </c>
      <c r="O29" t="s">
        <v>7</v>
      </c>
      <c r="P29">
        <v>6</v>
      </c>
    </row>
    <row r="30" spans="1:17" x14ac:dyDescent="0.3">
      <c r="A30" s="2" t="s">
        <v>118</v>
      </c>
      <c r="B30" s="4" t="s">
        <v>360</v>
      </c>
      <c r="C30" s="3" t="s">
        <v>28</v>
      </c>
      <c r="D30" s="1" t="s">
        <v>22</v>
      </c>
      <c r="E30" s="2" t="s">
        <v>241</v>
      </c>
      <c r="F30" s="10">
        <v>20</v>
      </c>
      <c r="G30" t="s">
        <v>9</v>
      </c>
      <c r="H30" t="s">
        <v>40</v>
      </c>
      <c r="I30" t="s">
        <v>23</v>
      </c>
      <c r="J30" s="6" t="s">
        <v>4</v>
      </c>
      <c r="K30">
        <v>150</v>
      </c>
      <c r="L30" t="s">
        <v>5</v>
      </c>
      <c r="M30" s="6" t="s">
        <v>6</v>
      </c>
      <c r="O30" t="s">
        <v>7</v>
      </c>
      <c r="P30">
        <v>6</v>
      </c>
    </row>
    <row r="31" spans="1:17" x14ac:dyDescent="0.3">
      <c r="A31" s="2" t="s">
        <v>119</v>
      </c>
      <c r="B31" s="4" t="s">
        <v>357</v>
      </c>
      <c r="C31" s="3" t="s">
        <v>26</v>
      </c>
      <c r="D31" s="1" t="s">
        <v>22</v>
      </c>
      <c r="E31" s="2" t="s">
        <v>242</v>
      </c>
      <c r="F31" s="10">
        <v>20</v>
      </c>
      <c r="G31" t="s">
        <v>9</v>
      </c>
      <c r="H31" t="s">
        <v>40</v>
      </c>
      <c r="I31" t="s">
        <v>23</v>
      </c>
      <c r="J31" s="6" t="s">
        <v>4</v>
      </c>
      <c r="K31">
        <v>400</v>
      </c>
      <c r="L31" t="s">
        <v>5</v>
      </c>
      <c r="M31" s="6" t="s">
        <v>6</v>
      </c>
      <c r="O31" t="s">
        <v>7</v>
      </c>
      <c r="P31">
        <v>6</v>
      </c>
    </row>
    <row r="32" spans="1:17" x14ac:dyDescent="0.3">
      <c r="A32" s="2" t="s">
        <v>120</v>
      </c>
      <c r="B32" s="4" t="s">
        <v>358</v>
      </c>
      <c r="C32" s="3" t="s">
        <v>28</v>
      </c>
      <c r="D32" s="1" t="s">
        <v>22</v>
      </c>
      <c r="E32" s="2" t="s">
        <v>243</v>
      </c>
      <c r="F32" s="10">
        <f>14+4320/24</f>
        <v>194</v>
      </c>
      <c r="G32" t="s">
        <v>9</v>
      </c>
      <c r="H32" t="s">
        <v>40</v>
      </c>
      <c r="I32" t="s">
        <v>29</v>
      </c>
      <c r="J32" s="6" t="s">
        <v>4</v>
      </c>
      <c r="K32">
        <v>400</v>
      </c>
      <c r="L32" t="s">
        <v>5</v>
      </c>
      <c r="M32" s="6" t="s">
        <v>6</v>
      </c>
      <c r="O32" t="s">
        <v>7</v>
      </c>
      <c r="P32">
        <v>6</v>
      </c>
    </row>
    <row r="33" spans="1:17" x14ac:dyDescent="0.3">
      <c r="A33" s="2" t="s">
        <v>121</v>
      </c>
      <c r="B33" s="4" t="s">
        <v>361</v>
      </c>
      <c r="C33" s="3" t="s">
        <v>30</v>
      </c>
      <c r="D33" s="1" t="s">
        <v>31</v>
      </c>
      <c r="E33" s="2" t="s">
        <v>244</v>
      </c>
      <c r="F33" s="10">
        <f>48/24</f>
        <v>2</v>
      </c>
      <c r="G33" t="s">
        <v>9</v>
      </c>
      <c r="H33" t="s">
        <v>16</v>
      </c>
      <c r="I33" s="7" t="s">
        <v>3</v>
      </c>
      <c r="J33" s="6" t="s">
        <v>4</v>
      </c>
      <c r="K33">
        <v>500</v>
      </c>
      <c r="L33" t="s">
        <v>5</v>
      </c>
      <c r="M33" t="s">
        <v>6</v>
      </c>
      <c r="N33" t="s">
        <v>11</v>
      </c>
      <c r="O33" t="s">
        <v>7</v>
      </c>
      <c r="P33">
        <v>4</v>
      </c>
      <c r="Q33">
        <v>4</v>
      </c>
    </row>
    <row r="34" spans="1:17" x14ac:dyDescent="0.3">
      <c r="A34" s="2" t="s">
        <v>122</v>
      </c>
      <c r="B34" s="4" t="s">
        <v>362</v>
      </c>
      <c r="C34" s="3" t="s">
        <v>30</v>
      </c>
      <c r="D34" s="1" t="s">
        <v>31</v>
      </c>
      <c r="E34" s="2" t="s">
        <v>245</v>
      </c>
      <c r="F34" s="10">
        <f>48/24</f>
        <v>2</v>
      </c>
      <c r="G34" t="s">
        <v>9</v>
      </c>
      <c r="H34" t="s">
        <v>16</v>
      </c>
      <c r="I34" s="7" t="s">
        <v>3</v>
      </c>
      <c r="J34" s="6" t="s">
        <v>4</v>
      </c>
      <c r="K34">
        <v>500</v>
      </c>
      <c r="L34" t="s">
        <v>5</v>
      </c>
      <c r="M34" t="s">
        <v>6</v>
      </c>
      <c r="N34" t="s">
        <v>11</v>
      </c>
      <c r="O34" t="s">
        <v>7</v>
      </c>
      <c r="P34">
        <v>4</v>
      </c>
      <c r="Q34">
        <v>0</v>
      </c>
    </row>
    <row r="35" spans="1:17" ht="13.8" customHeight="1" x14ac:dyDescent="0.3">
      <c r="A35" s="2" t="s">
        <v>123</v>
      </c>
      <c r="B35" s="4" t="s">
        <v>363</v>
      </c>
      <c r="C35" s="8" t="s">
        <v>32</v>
      </c>
      <c r="D35" s="1" t="s">
        <v>31</v>
      </c>
      <c r="E35" s="2" t="s">
        <v>246</v>
      </c>
      <c r="F35" s="10">
        <f>15+1</f>
        <v>16</v>
      </c>
      <c r="G35" t="s">
        <v>9</v>
      </c>
      <c r="H35" t="s">
        <v>27</v>
      </c>
      <c r="I35" s="7" t="s">
        <v>33</v>
      </c>
      <c r="J35" s="6" t="s">
        <v>34</v>
      </c>
      <c r="K35">
        <v>375</v>
      </c>
      <c r="L35" t="s">
        <v>5</v>
      </c>
      <c r="M35" t="s">
        <v>6</v>
      </c>
      <c r="N35" t="s">
        <v>11</v>
      </c>
      <c r="O35" t="s">
        <v>7</v>
      </c>
      <c r="P35">
        <v>6</v>
      </c>
      <c r="Q35">
        <v>2</v>
      </c>
    </row>
    <row r="36" spans="1:17" ht="13.8" customHeight="1" x14ac:dyDescent="0.3">
      <c r="A36" s="2" t="s">
        <v>124</v>
      </c>
      <c r="B36" s="4" t="s">
        <v>364</v>
      </c>
      <c r="C36" s="8" t="s">
        <v>32</v>
      </c>
      <c r="D36" s="1" t="s">
        <v>31</v>
      </c>
      <c r="E36" s="2" t="s">
        <v>247</v>
      </c>
      <c r="F36" s="10">
        <f t="shared" ref="F36:F37" si="0">15+1</f>
        <v>16</v>
      </c>
      <c r="G36" t="s">
        <v>9</v>
      </c>
      <c r="H36" t="s">
        <v>27</v>
      </c>
      <c r="I36" s="7" t="s">
        <v>33</v>
      </c>
      <c r="J36" s="6" t="s">
        <v>34</v>
      </c>
      <c r="K36">
        <v>500</v>
      </c>
      <c r="L36" t="s">
        <v>5</v>
      </c>
      <c r="M36" t="s">
        <v>6</v>
      </c>
      <c r="N36" t="s">
        <v>11</v>
      </c>
      <c r="O36" t="s">
        <v>7</v>
      </c>
      <c r="P36">
        <v>6</v>
      </c>
      <c r="Q36">
        <v>2</v>
      </c>
    </row>
    <row r="37" spans="1:17" ht="13.8" customHeight="1" x14ac:dyDescent="0.3">
      <c r="A37" s="2" t="s">
        <v>125</v>
      </c>
      <c r="B37" s="4" t="s">
        <v>365</v>
      </c>
      <c r="C37" s="8" t="s">
        <v>32</v>
      </c>
      <c r="D37" s="1" t="s">
        <v>31</v>
      </c>
      <c r="E37" s="2" t="s">
        <v>248</v>
      </c>
      <c r="F37" s="10">
        <f t="shared" si="0"/>
        <v>16</v>
      </c>
      <c r="G37" t="s">
        <v>9</v>
      </c>
      <c r="H37" t="s">
        <v>27</v>
      </c>
      <c r="I37" s="7" t="s">
        <v>33</v>
      </c>
      <c r="J37" s="6" t="s">
        <v>34</v>
      </c>
      <c r="K37">
        <v>625</v>
      </c>
      <c r="L37" t="s">
        <v>5</v>
      </c>
      <c r="M37" t="s">
        <v>6</v>
      </c>
      <c r="N37" t="s">
        <v>11</v>
      </c>
      <c r="O37" t="s">
        <v>7</v>
      </c>
      <c r="P37">
        <v>6</v>
      </c>
      <c r="Q37">
        <v>2</v>
      </c>
    </row>
    <row r="38" spans="1:17" ht="13.8" customHeight="1" x14ac:dyDescent="0.3">
      <c r="A38" s="2" t="s">
        <v>126</v>
      </c>
      <c r="B38" s="4" t="s">
        <v>366</v>
      </c>
      <c r="C38" s="8" t="s">
        <v>32</v>
      </c>
      <c r="D38" s="1" t="s">
        <v>31</v>
      </c>
      <c r="E38" s="2" t="s">
        <v>249</v>
      </c>
      <c r="F38" s="10">
        <f>8+1</f>
        <v>9</v>
      </c>
      <c r="G38" t="s">
        <v>15</v>
      </c>
      <c r="I38" s="7" t="s">
        <v>35</v>
      </c>
      <c r="J38" s="6" t="s">
        <v>34</v>
      </c>
      <c r="K38">
        <v>500</v>
      </c>
      <c r="L38" t="s">
        <v>5</v>
      </c>
      <c r="M38" t="s">
        <v>6</v>
      </c>
      <c r="N38" t="s">
        <v>11</v>
      </c>
      <c r="O38" t="s">
        <v>7</v>
      </c>
      <c r="P38">
        <v>6</v>
      </c>
      <c r="Q38">
        <v>1</v>
      </c>
    </row>
    <row r="39" spans="1:17" ht="13.8" customHeight="1" x14ac:dyDescent="0.3">
      <c r="A39" s="2" t="s">
        <v>127</v>
      </c>
      <c r="B39" s="4" t="s">
        <v>367</v>
      </c>
      <c r="C39" s="8" t="s">
        <v>32</v>
      </c>
      <c r="D39" s="1" t="s">
        <v>31</v>
      </c>
      <c r="E39" s="2" t="s">
        <v>250</v>
      </c>
      <c r="F39" s="10">
        <f>8+1</f>
        <v>9</v>
      </c>
      <c r="G39" t="s">
        <v>15</v>
      </c>
      <c r="I39" s="7" t="s">
        <v>35</v>
      </c>
      <c r="J39" s="6" t="s">
        <v>34</v>
      </c>
      <c r="K39">
        <v>625</v>
      </c>
      <c r="L39" t="s">
        <v>5</v>
      </c>
      <c r="M39" t="s">
        <v>6</v>
      </c>
      <c r="N39" t="s">
        <v>11</v>
      </c>
      <c r="O39" t="s">
        <v>7</v>
      </c>
      <c r="P39">
        <v>6</v>
      </c>
      <c r="Q39">
        <v>0</v>
      </c>
    </row>
    <row r="40" spans="1:17" x14ac:dyDescent="0.3">
      <c r="A40" s="2" t="s">
        <v>128</v>
      </c>
      <c r="B40" s="4" t="s">
        <v>368</v>
      </c>
      <c r="C40" s="3" t="s">
        <v>36</v>
      </c>
      <c r="D40" s="1" t="s">
        <v>37</v>
      </c>
      <c r="E40" s="2" t="s">
        <v>251</v>
      </c>
      <c r="F40" s="10">
        <v>2</v>
      </c>
      <c r="G40" t="s">
        <v>9</v>
      </c>
      <c r="H40" t="s">
        <v>27</v>
      </c>
      <c r="I40" s="7" t="s">
        <v>3</v>
      </c>
      <c r="J40" s="6" t="s">
        <v>4</v>
      </c>
      <c r="K40">
        <v>300</v>
      </c>
      <c r="L40" t="s">
        <v>5</v>
      </c>
      <c r="M40" t="s">
        <v>6</v>
      </c>
      <c r="N40" t="s">
        <v>11</v>
      </c>
      <c r="O40" t="s">
        <v>7</v>
      </c>
      <c r="P40">
        <v>6</v>
      </c>
    </row>
    <row r="41" spans="1:17" x14ac:dyDescent="0.3">
      <c r="A41" s="2" t="s">
        <v>129</v>
      </c>
      <c r="B41" s="4" t="s">
        <v>369</v>
      </c>
      <c r="C41" s="3" t="s">
        <v>36</v>
      </c>
      <c r="D41" s="1" t="s">
        <v>37</v>
      </c>
      <c r="E41" s="2" t="s">
        <v>252</v>
      </c>
      <c r="F41" s="10">
        <v>2</v>
      </c>
      <c r="G41" t="s">
        <v>9</v>
      </c>
      <c r="H41" t="s">
        <v>27</v>
      </c>
      <c r="I41" s="7" t="s">
        <v>3</v>
      </c>
      <c r="J41" s="6" t="s">
        <v>4</v>
      </c>
      <c r="K41">
        <v>600</v>
      </c>
      <c r="L41" t="s">
        <v>5</v>
      </c>
      <c r="M41" t="s">
        <v>6</v>
      </c>
      <c r="N41" t="s">
        <v>11</v>
      </c>
      <c r="O41" t="s">
        <v>7</v>
      </c>
      <c r="P41">
        <v>6</v>
      </c>
    </row>
    <row r="42" spans="1:17" x14ac:dyDescent="0.3">
      <c r="A42" s="2" t="s">
        <v>130</v>
      </c>
      <c r="B42" s="4" t="s">
        <v>370</v>
      </c>
      <c r="C42" s="3" t="s">
        <v>36</v>
      </c>
      <c r="D42" s="1" t="s">
        <v>37</v>
      </c>
      <c r="E42" s="2" t="s">
        <v>253</v>
      </c>
      <c r="F42" s="10">
        <v>2</v>
      </c>
      <c r="G42" t="s">
        <v>9</v>
      </c>
      <c r="H42" t="s">
        <v>27</v>
      </c>
      <c r="I42" s="7" t="s">
        <v>3</v>
      </c>
      <c r="J42" s="6" t="s">
        <v>4</v>
      </c>
      <c r="K42">
        <v>1200</v>
      </c>
      <c r="L42" t="s">
        <v>5</v>
      </c>
      <c r="M42" t="s">
        <v>6</v>
      </c>
      <c r="N42" t="s">
        <v>11</v>
      </c>
      <c r="O42" t="s">
        <v>7</v>
      </c>
      <c r="P42">
        <v>6</v>
      </c>
    </row>
    <row r="43" spans="1:17" x14ac:dyDescent="0.3">
      <c r="A43" s="2" t="s">
        <v>131</v>
      </c>
      <c r="B43" s="4" t="s">
        <v>371</v>
      </c>
      <c r="C43" s="3" t="s">
        <v>36</v>
      </c>
      <c r="D43" s="1" t="s">
        <v>37</v>
      </c>
      <c r="E43" s="2" t="s">
        <v>254</v>
      </c>
      <c r="F43" s="10">
        <v>2</v>
      </c>
      <c r="G43" t="s">
        <v>9</v>
      </c>
      <c r="H43" t="s">
        <v>27</v>
      </c>
      <c r="I43" s="7" t="s">
        <v>3</v>
      </c>
      <c r="J43" s="6" t="s">
        <v>4</v>
      </c>
      <c r="K43">
        <v>1800</v>
      </c>
      <c r="L43" t="s">
        <v>5</v>
      </c>
      <c r="M43" t="s">
        <v>6</v>
      </c>
      <c r="N43" t="s">
        <v>11</v>
      </c>
      <c r="O43" t="s">
        <v>7</v>
      </c>
      <c r="P43">
        <v>6</v>
      </c>
    </row>
    <row r="44" spans="1:17" ht="15" customHeight="1" x14ac:dyDescent="0.3">
      <c r="A44" s="2" t="s">
        <v>132</v>
      </c>
      <c r="B44" s="4" t="s">
        <v>372</v>
      </c>
      <c r="C44" s="5" t="s">
        <v>38</v>
      </c>
      <c r="D44" s="1" t="s">
        <v>39</v>
      </c>
      <c r="E44" s="2" t="s">
        <v>255</v>
      </c>
      <c r="F44" s="10">
        <f>72/24</f>
        <v>3</v>
      </c>
      <c r="G44" t="s">
        <v>9</v>
      </c>
      <c r="H44" t="s">
        <v>40</v>
      </c>
      <c r="I44" s="7" t="s">
        <v>3</v>
      </c>
      <c r="J44" s="6" t="s">
        <v>4</v>
      </c>
      <c r="K44">
        <v>200</v>
      </c>
      <c r="L44" t="s">
        <v>5</v>
      </c>
      <c r="M44" t="s">
        <v>6</v>
      </c>
      <c r="N44" t="s">
        <v>11</v>
      </c>
      <c r="O44" t="s">
        <v>7</v>
      </c>
      <c r="P44">
        <v>6</v>
      </c>
    </row>
    <row r="45" spans="1:17" ht="15.6" customHeight="1" x14ac:dyDescent="0.3">
      <c r="A45" s="2" t="s">
        <v>133</v>
      </c>
      <c r="B45" s="4" t="s">
        <v>373</v>
      </c>
      <c r="C45" s="5" t="s">
        <v>38</v>
      </c>
      <c r="D45" s="1" t="s">
        <v>39</v>
      </c>
      <c r="E45" s="2" t="s">
        <v>256</v>
      </c>
      <c r="F45" s="10">
        <f t="shared" ref="F45:F48" si="1">72/24</f>
        <v>3</v>
      </c>
      <c r="G45" t="s">
        <v>9</v>
      </c>
      <c r="H45" t="s">
        <v>40</v>
      </c>
      <c r="I45" s="7" t="s">
        <v>3</v>
      </c>
      <c r="J45" s="6" t="s">
        <v>4</v>
      </c>
      <c r="K45">
        <v>400</v>
      </c>
      <c r="L45" t="s">
        <v>5</v>
      </c>
      <c r="M45" t="s">
        <v>6</v>
      </c>
      <c r="N45" t="s">
        <v>11</v>
      </c>
      <c r="O45" t="s">
        <v>7</v>
      </c>
      <c r="P45">
        <v>6</v>
      </c>
    </row>
    <row r="46" spans="1:17" ht="14.4" customHeight="1" x14ac:dyDescent="0.3">
      <c r="A46" s="2" t="s">
        <v>134</v>
      </c>
      <c r="B46" s="4" t="s">
        <v>374</v>
      </c>
      <c r="C46" s="5" t="s">
        <v>38</v>
      </c>
      <c r="D46" s="1" t="s">
        <v>39</v>
      </c>
      <c r="E46" s="2" t="s">
        <v>257</v>
      </c>
      <c r="F46" s="10">
        <f t="shared" si="1"/>
        <v>3</v>
      </c>
      <c r="G46" t="s">
        <v>9</v>
      </c>
      <c r="H46" t="s">
        <v>40</v>
      </c>
      <c r="I46" s="7" t="s">
        <v>3</v>
      </c>
      <c r="J46" s="6" t="s">
        <v>4</v>
      </c>
      <c r="K46">
        <v>600</v>
      </c>
      <c r="L46" t="s">
        <v>5</v>
      </c>
      <c r="M46" t="s">
        <v>6</v>
      </c>
      <c r="N46" t="s">
        <v>11</v>
      </c>
      <c r="O46" t="s">
        <v>7</v>
      </c>
      <c r="P46">
        <v>6</v>
      </c>
    </row>
    <row r="47" spans="1:17" ht="12" customHeight="1" x14ac:dyDescent="0.3">
      <c r="A47" s="2" t="s">
        <v>135</v>
      </c>
      <c r="B47" s="4" t="s">
        <v>375</v>
      </c>
      <c r="C47" s="5" t="s">
        <v>38</v>
      </c>
      <c r="D47" s="1" t="s">
        <v>39</v>
      </c>
      <c r="E47" s="2" t="s">
        <v>258</v>
      </c>
      <c r="F47" s="10">
        <f t="shared" si="1"/>
        <v>3</v>
      </c>
      <c r="G47" t="s">
        <v>9</v>
      </c>
      <c r="H47" t="s">
        <v>40</v>
      </c>
      <c r="I47" s="7" t="s">
        <v>3</v>
      </c>
      <c r="J47" s="6" t="s">
        <v>4</v>
      </c>
      <c r="K47">
        <v>800</v>
      </c>
      <c r="L47" t="s">
        <v>5</v>
      </c>
      <c r="M47" t="s">
        <v>6</v>
      </c>
      <c r="N47" t="s">
        <v>11</v>
      </c>
      <c r="O47" t="s">
        <v>7</v>
      </c>
      <c r="P47">
        <v>6</v>
      </c>
    </row>
    <row r="48" spans="1:17" ht="12" customHeight="1" x14ac:dyDescent="0.3">
      <c r="A48" s="2" t="s">
        <v>136</v>
      </c>
      <c r="B48" s="4" t="s">
        <v>376</v>
      </c>
      <c r="C48" s="5" t="s">
        <v>38</v>
      </c>
      <c r="D48" s="1" t="s">
        <v>39</v>
      </c>
      <c r="E48" s="2" t="s">
        <v>259</v>
      </c>
      <c r="F48" s="10">
        <f t="shared" si="1"/>
        <v>3</v>
      </c>
      <c r="G48" t="s">
        <v>9</v>
      </c>
      <c r="H48" t="s">
        <v>40</v>
      </c>
      <c r="I48" s="7" t="s">
        <v>3</v>
      </c>
      <c r="J48" s="6" t="s">
        <v>4</v>
      </c>
      <c r="K48">
        <v>1200</v>
      </c>
      <c r="L48" t="s">
        <v>5</v>
      </c>
      <c r="M48" t="s">
        <v>6</v>
      </c>
      <c r="N48" t="s">
        <v>11</v>
      </c>
      <c r="O48" t="s">
        <v>7</v>
      </c>
      <c r="P48">
        <v>6</v>
      </c>
    </row>
    <row r="49" spans="1:17" ht="15" customHeight="1" x14ac:dyDescent="0.3">
      <c r="A49" s="2" t="s">
        <v>137</v>
      </c>
      <c r="B49" s="4" t="s">
        <v>377</v>
      </c>
      <c r="C49" s="5" t="s">
        <v>38</v>
      </c>
      <c r="D49" s="1" t="s">
        <v>39</v>
      </c>
      <c r="E49" s="2" t="s">
        <v>260</v>
      </c>
      <c r="F49" s="10">
        <f>21</f>
        <v>21</v>
      </c>
      <c r="G49" t="s">
        <v>9</v>
      </c>
      <c r="H49" t="s">
        <v>40</v>
      </c>
      <c r="I49" s="7" t="s">
        <v>41</v>
      </c>
      <c r="J49" s="6" t="s">
        <v>4</v>
      </c>
      <c r="K49">
        <v>200</v>
      </c>
      <c r="L49" t="s">
        <v>5</v>
      </c>
      <c r="M49" t="s">
        <v>6</v>
      </c>
      <c r="N49" t="s">
        <v>11</v>
      </c>
      <c r="O49" t="s">
        <v>7</v>
      </c>
      <c r="P49">
        <v>8</v>
      </c>
    </row>
    <row r="50" spans="1:17" ht="15.6" customHeight="1" x14ac:dyDescent="0.3">
      <c r="A50" s="2" t="s">
        <v>138</v>
      </c>
      <c r="B50" s="4" t="s">
        <v>378</v>
      </c>
      <c r="C50" s="5" t="s">
        <v>38</v>
      </c>
      <c r="D50" s="1" t="s">
        <v>39</v>
      </c>
      <c r="E50" s="2" t="s">
        <v>261</v>
      </c>
      <c r="F50" s="10">
        <v>21</v>
      </c>
      <c r="G50" t="s">
        <v>9</v>
      </c>
      <c r="H50" t="s">
        <v>40</v>
      </c>
      <c r="I50" s="7" t="s">
        <v>41</v>
      </c>
      <c r="J50" s="6" t="s">
        <v>4</v>
      </c>
      <c r="K50">
        <v>300</v>
      </c>
      <c r="L50" t="s">
        <v>5</v>
      </c>
      <c r="M50" t="s">
        <v>6</v>
      </c>
      <c r="N50" t="s">
        <v>11</v>
      </c>
      <c r="O50" t="s">
        <v>7</v>
      </c>
      <c r="P50">
        <v>8</v>
      </c>
    </row>
    <row r="51" spans="1:17" ht="14.4" customHeight="1" x14ac:dyDescent="0.3">
      <c r="A51" s="2" t="s">
        <v>139</v>
      </c>
      <c r="B51" s="4" t="s">
        <v>379</v>
      </c>
      <c r="C51" s="5" t="s">
        <v>38</v>
      </c>
      <c r="D51" s="1" t="s">
        <v>39</v>
      </c>
      <c r="E51" s="2" t="s">
        <v>262</v>
      </c>
      <c r="F51" s="10">
        <v>21</v>
      </c>
      <c r="G51" t="s">
        <v>9</v>
      </c>
      <c r="H51" t="s">
        <v>40</v>
      </c>
      <c r="I51" s="7" t="s">
        <v>41</v>
      </c>
      <c r="J51" s="6" t="s">
        <v>4</v>
      </c>
      <c r="K51">
        <v>400</v>
      </c>
      <c r="L51" t="s">
        <v>5</v>
      </c>
      <c r="M51" t="s">
        <v>6</v>
      </c>
      <c r="N51" t="s">
        <v>11</v>
      </c>
      <c r="O51" t="s">
        <v>7</v>
      </c>
      <c r="P51">
        <v>8</v>
      </c>
    </row>
    <row r="52" spans="1:17" ht="16.8" customHeight="1" x14ac:dyDescent="0.3">
      <c r="A52" s="2" t="s">
        <v>140</v>
      </c>
      <c r="B52" s="4" t="s">
        <v>381</v>
      </c>
      <c r="C52" s="5" t="s">
        <v>42</v>
      </c>
      <c r="D52" s="1" t="s">
        <v>39</v>
      </c>
      <c r="E52" s="2" t="s">
        <v>263</v>
      </c>
      <c r="F52" s="10">
        <v>3.5</v>
      </c>
      <c r="G52" t="s">
        <v>43</v>
      </c>
      <c r="I52" s="7" t="s">
        <v>3</v>
      </c>
      <c r="J52" s="6" t="s">
        <v>4</v>
      </c>
      <c r="K52">
        <v>100</v>
      </c>
      <c r="L52" t="s">
        <v>5</v>
      </c>
      <c r="M52" t="s">
        <v>6</v>
      </c>
      <c r="O52" t="s">
        <v>7</v>
      </c>
      <c r="P52">
        <v>9</v>
      </c>
    </row>
    <row r="53" spans="1:17" ht="16.8" customHeight="1" x14ac:dyDescent="0.3">
      <c r="A53" s="2" t="s">
        <v>141</v>
      </c>
      <c r="B53" s="4" t="s">
        <v>380</v>
      </c>
      <c r="C53" s="5" t="s">
        <v>42</v>
      </c>
      <c r="D53" s="1" t="s">
        <v>39</v>
      </c>
      <c r="E53" s="2" t="s">
        <v>264</v>
      </c>
      <c r="F53" s="10">
        <v>3.5</v>
      </c>
      <c r="G53" t="s">
        <v>43</v>
      </c>
      <c r="I53" s="7" t="s">
        <v>3</v>
      </c>
      <c r="J53" s="6" t="s">
        <v>4</v>
      </c>
      <c r="K53">
        <v>200</v>
      </c>
      <c r="L53" t="s">
        <v>5</v>
      </c>
      <c r="M53" t="s">
        <v>6</v>
      </c>
      <c r="O53" t="s">
        <v>7</v>
      </c>
      <c r="P53">
        <v>9</v>
      </c>
    </row>
    <row r="54" spans="1:17" ht="16.8" customHeight="1" x14ac:dyDescent="0.3">
      <c r="A54" s="2" t="s">
        <v>142</v>
      </c>
      <c r="B54" s="4" t="s">
        <v>382</v>
      </c>
      <c r="C54" s="5" t="s">
        <v>42</v>
      </c>
      <c r="D54" s="1" t="s">
        <v>39</v>
      </c>
      <c r="E54" s="2" t="s">
        <v>265</v>
      </c>
      <c r="F54" s="10">
        <v>3.5</v>
      </c>
      <c r="G54" t="s">
        <v>43</v>
      </c>
      <c r="I54" s="7" t="s">
        <v>3</v>
      </c>
      <c r="J54" s="6" t="s">
        <v>4</v>
      </c>
      <c r="K54">
        <v>300</v>
      </c>
      <c r="L54" t="s">
        <v>5</v>
      </c>
      <c r="M54" t="s">
        <v>6</v>
      </c>
      <c r="O54" t="s">
        <v>7</v>
      </c>
      <c r="P54">
        <v>8</v>
      </c>
    </row>
    <row r="55" spans="1:17" ht="16.8" customHeight="1" x14ac:dyDescent="0.3">
      <c r="A55" s="2" t="s">
        <v>143</v>
      </c>
      <c r="B55" s="4" t="s">
        <v>383</v>
      </c>
      <c r="C55" s="5" t="s">
        <v>42</v>
      </c>
      <c r="D55" s="1" t="s">
        <v>39</v>
      </c>
      <c r="E55" s="2" t="s">
        <v>266</v>
      </c>
      <c r="F55" s="10">
        <v>3.5</v>
      </c>
      <c r="G55" t="s">
        <v>43</v>
      </c>
      <c r="I55" s="7" t="s">
        <v>3</v>
      </c>
      <c r="J55" s="6" t="s">
        <v>4</v>
      </c>
      <c r="K55">
        <v>400</v>
      </c>
      <c r="L55" t="s">
        <v>5</v>
      </c>
      <c r="M55" t="s">
        <v>6</v>
      </c>
      <c r="O55" t="s">
        <v>7</v>
      </c>
      <c r="P55">
        <v>9</v>
      </c>
    </row>
    <row r="56" spans="1:17" ht="16.8" customHeight="1" x14ac:dyDescent="0.3">
      <c r="A56" s="2" t="s">
        <v>144</v>
      </c>
      <c r="B56" s="4" t="s">
        <v>384</v>
      </c>
      <c r="C56" s="5" t="s">
        <v>42</v>
      </c>
      <c r="D56" s="1" t="s">
        <v>39</v>
      </c>
      <c r="E56" s="2" t="s">
        <v>267</v>
      </c>
      <c r="F56" s="10">
        <v>7.5</v>
      </c>
      <c r="G56" t="s">
        <v>18</v>
      </c>
      <c r="I56" s="7" t="s">
        <v>25</v>
      </c>
      <c r="J56" s="6" t="s">
        <v>4</v>
      </c>
      <c r="K56">
        <v>200</v>
      </c>
      <c r="L56" t="s">
        <v>5</v>
      </c>
      <c r="M56" t="s">
        <v>6</v>
      </c>
      <c r="O56" t="s">
        <v>7</v>
      </c>
      <c r="P56">
        <v>8</v>
      </c>
    </row>
    <row r="57" spans="1:17" ht="16.8" customHeight="1" x14ac:dyDescent="0.3">
      <c r="A57" s="2" t="s">
        <v>145</v>
      </c>
      <c r="B57" s="4" t="s">
        <v>380</v>
      </c>
      <c r="C57" s="5" t="s">
        <v>42</v>
      </c>
      <c r="D57" s="1" t="s">
        <v>39</v>
      </c>
      <c r="E57" s="2" t="s">
        <v>268</v>
      </c>
      <c r="F57" s="10">
        <v>3.5</v>
      </c>
      <c r="G57" t="s">
        <v>18</v>
      </c>
      <c r="I57" s="7" t="s">
        <v>3</v>
      </c>
      <c r="J57" s="6" t="s">
        <v>4</v>
      </c>
      <c r="K57">
        <v>200</v>
      </c>
      <c r="L57" t="s">
        <v>5</v>
      </c>
      <c r="M57" t="s">
        <v>6</v>
      </c>
      <c r="O57" t="s">
        <v>7</v>
      </c>
      <c r="P57">
        <v>8</v>
      </c>
    </row>
    <row r="58" spans="1:17" ht="16.8" customHeight="1" x14ac:dyDescent="0.3">
      <c r="A58" s="2" t="s">
        <v>146</v>
      </c>
      <c r="B58" s="4" t="s">
        <v>560</v>
      </c>
      <c r="C58" s="5" t="s">
        <v>42</v>
      </c>
      <c r="D58" s="1" t="s">
        <v>39</v>
      </c>
      <c r="E58" s="2" t="s">
        <v>269</v>
      </c>
      <c r="F58" s="10">
        <v>3</v>
      </c>
      <c r="G58" t="s">
        <v>9</v>
      </c>
      <c r="I58" s="7" t="s">
        <v>3</v>
      </c>
      <c r="J58" s="6" t="s">
        <v>4</v>
      </c>
      <c r="K58">
        <v>200</v>
      </c>
      <c r="L58" t="s">
        <v>5</v>
      </c>
      <c r="M58" t="s">
        <v>6</v>
      </c>
      <c r="O58" t="s">
        <v>7</v>
      </c>
      <c r="P58">
        <v>8</v>
      </c>
    </row>
    <row r="59" spans="1:17" x14ac:dyDescent="0.3">
      <c r="A59" s="2" t="s">
        <v>147</v>
      </c>
      <c r="B59" s="4" t="s">
        <v>566</v>
      </c>
      <c r="C59" s="3" t="s">
        <v>44</v>
      </c>
      <c r="D59" s="1" t="s">
        <v>39</v>
      </c>
      <c r="E59" s="2" t="s">
        <v>270</v>
      </c>
      <c r="F59" s="10">
        <f>72/24</f>
        <v>3</v>
      </c>
      <c r="G59" t="s">
        <v>18</v>
      </c>
      <c r="I59" s="7" t="s">
        <v>3</v>
      </c>
      <c r="J59" s="6" t="s">
        <v>4</v>
      </c>
      <c r="K59">
        <v>200</v>
      </c>
      <c r="L59" t="s">
        <v>5</v>
      </c>
      <c r="M59" t="s">
        <v>6</v>
      </c>
      <c r="O59" s="9" t="s">
        <v>7</v>
      </c>
      <c r="P59">
        <v>8</v>
      </c>
    </row>
    <row r="60" spans="1:17" x14ac:dyDescent="0.3">
      <c r="A60" s="2" t="s">
        <v>148</v>
      </c>
      <c r="B60" s="4" t="s">
        <v>561</v>
      </c>
      <c r="C60" s="15" t="s">
        <v>44</v>
      </c>
      <c r="D60" s="1" t="s">
        <v>39</v>
      </c>
      <c r="E60" s="2" t="s">
        <v>271</v>
      </c>
      <c r="F60" s="11">
        <v>3</v>
      </c>
      <c r="G60" t="s">
        <v>9</v>
      </c>
      <c r="I60" s="7" t="s">
        <v>3</v>
      </c>
      <c r="J60" s="6" t="s">
        <v>4</v>
      </c>
      <c r="K60">
        <v>200</v>
      </c>
      <c r="L60" t="s">
        <v>5</v>
      </c>
      <c r="M60" t="s">
        <v>6</v>
      </c>
      <c r="O60" s="9" t="s">
        <v>7</v>
      </c>
      <c r="P60">
        <v>8</v>
      </c>
    </row>
    <row r="61" spans="1:17" x14ac:dyDescent="0.3">
      <c r="A61" s="2" t="s">
        <v>149</v>
      </c>
      <c r="B61" s="4" t="s">
        <v>563</v>
      </c>
      <c r="C61" s="15" t="s">
        <v>44</v>
      </c>
      <c r="D61" s="1" t="s">
        <v>39</v>
      </c>
      <c r="E61" s="2" t="s">
        <v>272</v>
      </c>
      <c r="F61" s="11">
        <v>3</v>
      </c>
      <c r="G61" t="s">
        <v>9</v>
      </c>
      <c r="I61" s="7" t="s">
        <v>3</v>
      </c>
      <c r="J61" s="6" t="s">
        <v>4</v>
      </c>
      <c r="K61">
        <v>200</v>
      </c>
      <c r="L61" t="s">
        <v>5</v>
      </c>
      <c r="M61" t="s">
        <v>6</v>
      </c>
      <c r="O61" s="9" t="s">
        <v>7</v>
      </c>
      <c r="P61">
        <v>8</v>
      </c>
    </row>
    <row r="62" spans="1:17" x14ac:dyDescent="0.3">
      <c r="A62" s="2" t="s">
        <v>150</v>
      </c>
      <c r="B62" s="4" t="s">
        <v>385</v>
      </c>
      <c r="C62" s="3" t="s">
        <v>45</v>
      </c>
      <c r="D62" s="1" t="s">
        <v>46</v>
      </c>
      <c r="E62" s="2" t="s">
        <v>273</v>
      </c>
      <c r="F62" s="10">
        <f>312/24</f>
        <v>13</v>
      </c>
      <c r="G62" t="s">
        <v>9</v>
      </c>
      <c r="I62" t="s">
        <v>3</v>
      </c>
      <c r="J62" t="s">
        <v>4</v>
      </c>
      <c r="K62">
        <v>10</v>
      </c>
      <c r="L62" t="s">
        <v>5</v>
      </c>
      <c r="M62" t="s">
        <v>6</v>
      </c>
      <c r="N62" t="s">
        <v>11</v>
      </c>
      <c r="O62" t="s">
        <v>7</v>
      </c>
      <c r="P62">
        <v>6</v>
      </c>
      <c r="Q62">
        <v>2</v>
      </c>
    </row>
    <row r="63" spans="1:17" x14ac:dyDescent="0.3">
      <c r="A63" s="2" t="s">
        <v>151</v>
      </c>
      <c r="B63" s="4" t="s">
        <v>386</v>
      </c>
      <c r="C63" s="3" t="s">
        <v>45</v>
      </c>
      <c r="D63" s="1" t="s">
        <v>46</v>
      </c>
      <c r="E63" s="2" t="s">
        <v>274</v>
      </c>
      <c r="F63" s="10">
        <f t="shared" ref="F63:F68" si="2">312/24</f>
        <v>13</v>
      </c>
      <c r="G63" t="s">
        <v>9</v>
      </c>
      <c r="I63" t="s">
        <v>3</v>
      </c>
      <c r="J63" t="s">
        <v>4</v>
      </c>
      <c r="K63">
        <v>30</v>
      </c>
      <c r="L63" t="s">
        <v>5</v>
      </c>
      <c r="M63" t="s">
        <v>6</v>
      </c>
      <c r="N63" t="s">
        <v>11</v>
      </c>
      <c r="O63" t="s">
        <v>7</v>
      </c>
      <c r="P63">
        <v>6</v>
      </c>
      <c r="Q63">
        <v>2</v>
      </c>
    </row>
    <row r="64" spans="1:17" x14ac:dyDescent="0.3">
      <c r="A64" s="2" t="s">
        <v>152</v>
      </c>
      <c r="B64" s="4" t="s">
        <v>387</v>
      </c>
      <c r="C64" s="3" t="s">
        <v>45</v>
      </c>
      <c r="D64" s="1" t="s">
        <v>46</v>
      </c>
      <c r="E64" s="2" t="s">
        <v>275</v>
      </c>
      <c r="F64" s="10">
        <f t="shared" si="2"/>
        <v>13</v>
      </c>
      <c r="G64" t="s">
        <v>9</v>
      </c>
      <c r="I64" t="s">
        <v>3</v>
      </c>
      <c r="J64" t="s">
        <v>4</v>
      </c>
      <c r="K64">
        <v>50</v>
      </c>
      <c r="L64" t="s">
        <v>5</v>
      </c>
      <c r="M64" t="s">
        <v>6</v>
      </c>
      <c r="N64" t="s">
        <v>11</v>
      </c>
      <c r="O64" t="s">
        <v>7</v>
      </c>
      <c r="P64">
        <v>6</v>
      </c>
      <c r="Q64">
        <v>1</v>
      </c>
    </row>
    <row r="65" spans="1:17" x14ac:dyDescent="0.3">
      <c r="A65" s="2" t="s">
        <v>153</v>
      </c>
      <c r="B65" s="4" t="s">
        <v>391</v>
      </c>
      <c r="C65" s="3" t="s">
        <v>45</v>
      </c>
      <c r="D65" s="1" t="s">
        <v>46</v>
      </c>
      <c r="E65" s="2" t="s">
        <v>276</v>
      </c>
      <c r="F65" s="10">
        <f t="shared" si="2"/>
        <v>13</v>
      </c>
      <c r="G65" t="s">
        <v>9</v>
      </c>
      <c r="I65" t="s">
        <v>3</v>
      </c>
      <c r="J65" t="s">
        <v>4</v>
      </c>
      <c r="K65">
        <v>100</v>
      </c>
      <c r="L65" t="s">
        <v>5</v>
      </c>
      <c r="M65" t="s">
        <v>6</v>
      </c>
      <c r="N65" t="s">
        <v>11</v>
      </c>
      <c r="O65" t="s">
        <v>7</v>
      </c>
      <c r="P65">
        <v>6</v>
      </c>
      <c r="Q65">
        <v>2</v>
      </c>
    </row>
    <row r="66" spans="1:17" x14ac:dyDescent="0.3">
      <c r="A66" s="2" t="s">
        <v>154</v>
      </c>
      <c r="B66" s="4" t="s">
        <v>388</v>
      </c>
      <c r="C66" s="3" t="s">
        <v>45</v>
      </c>
      <c r="D66" s="1" t="s">
        <v>46</v>
      </c>
      <c r="E66" s="2" t="s">
        <v>277</v>
      </c>
      <c r="F66" s="10">
        <f t="shared" si="2"/>
        <v>13</v>
      </c>
      <c r="G66" t="s">
        <v>9</v>
      </c>
      <c r="I66" t="s">
        <v>3</v>
      </c>
      <c r="J66" t="s">
        <v>4</v>
      </c>
      <c r="K66">
        <v>200</v>
      </c>
      <c r="L66" t="s">
        <v>5</v>
      </c>
      <c r="M66" t="s">
        <v>6</v>
      </c>
      <c r="N66" t="s">
        <v>11</v>
      </c>
      <c r="O66" t="s">
        <v>7</v>
      </c>
      <c r="P66">
        <v>6</v>
      </c>
      <c r="Q66">
        <v>2</v>
      </c>
    </row>
    <row r="67" spans="1:17" x14ac:dyDescent="0.3">
      <c r="A67" s="2" t="s">
        <v>155</v>
      </c>
      <c r="B67" s="4" t="s">
        <v>389</v>
      </c>
      <c r="C67" s="3" t="s">
        <v>45</v>
      </c>
      <c r="D67" s="1" t="s">
        <v>46</v>
      </c>
      <c r="E67" s="2" t="s">
        <v>278</v>
      </c>
      <c r="F67" s="10">
        <f t="shared" si="2"/>
        <v>13</v>
      </c>
      <c r="G67" t="s">
        <v>9</v>
      </c>
      <c r="I67" t="s">
        <v>3</v>
      </c>
      <c r="J67" t="s">
        <v>4</v>
      </c>
      <c r="K67">
        <v>400</v>
      </c>
      <c r="L67" t="s">
        <v>5</v>
      </c>
      <c r="M67" t="s">
        <v>6</v>
      </c>
      <c r="N67" t="s">
        <v>11</v>
      </c>
      <c r="O67" t="s">
        <v>7</v>
      </c>
      <c r="P67">
        <v>6</v>
      </c>
      <c r="Q67">
        <v>2</v>
      </c>
    </row>
    <row r="68" spans="1:17" x14ac:dyDescent="0.3">
      <c r="A68" s="2" t="s">
        <v>156</v>
      </c>
      <c r="B68" s="4" t="s">
        <v>390</v>
      </c>
      <c r="C68" s="3" t="s">
        <v>45</v>
      </c>
      <c r="D68" s="1" t="s">
        <v>46</v>
      </c>
      <c r="E68" s="2" t="s">
        <v>279</v>
      </c>
      <c r="F68" s="10">
        <f t="shared" si="2"/>
        <v>13</v>
      </c>
      <c r="G68" t="s">
        <v>9</v>
      </c>
      <c r="I68" t="s">
        <v>3</v>
      </c>
      <c r="J68" t="s">
        <v>4</v>
      </c>
      <c r="K68">
        <v>800</v>
      </c>
      <c r="L68" t="s">
        <v>5</v>
      </c>
      <c r="M68" t="s">
        <v>6</v>
      </c>
      <c r="N68" t="s">
        <v>11</v>
      </c>
      <c r="O68" t="s">
        <v>7</v>
      </c>
      <c r="P68">
        <v>6</v>
      </c>
      <c r="Q68">
        <v>1</v>
      </c>
    </row>
    <row r="69" spans="1:17" x14ac:dyDescent="0.3">
      <c r="A69" s="2" t="s">
        <v>157</v>
      </c>
      <c r="B69" s="4" t="s">
        <v>568</v>
      </c>
      <c r="C69" s="3" t="s">
        <v>48</v>
      </c>
      <c r="D69" s="1" t="s">
        <v>46</v>
      </c>
      <c r="E69" s="2" t="s">
        <v>280</v>
      </c>
      <c r="F69" s="10">
        <f>336/24</f>
        <v>14</v>
      </c>
      <c r="G69" t="s">
        <v>9</v>
      </c>
      <c r="I69" t="s">
        <v>23</v>
      </c>
      <c r="J69" t="s">
        <v>4</v>
      </c>
      <c r="K69">
        <v>20</v>
      </c>
      <c r="L69" t="s">
        <v>5</v>
      </c>
      <c r="M69" t="s">
        <v>6</v>
      </c>
      <c r="N69" t="s">
        <v>47</v>
      </c>
      <c r="O69" t="s">
        <v>7</v>
      </c>
      <c r="P69">
        <v>6</v>
      </c>
      <c r="Q69">
        <v>0</v>
      </c>
    </row>
    <row r="70" spans="1:17" x14ac:dyDescent="0.3">
      <c r="A70" s="2" t="s">
        <v>158</v>
      </c>
      <c r="B70" s="4" t="s">
        <v>569</v>
      </c>
      <c r="C70" s="3" t="s">
        <v>48</v>
      </c>
      <c r="D70" s="1" t="s">
        <v>46</v>
      </c>
      <c r="E70" s="2" t="s">
        <v>281</v>
      </c>
      <c r="F70" s="10">
        <f t="shared" ref="F70:F74" si="3">336/24</f>
        <v>14</v>
      </c>
      <c r="G70" t="s">
        <v>9</v>
      </c>
      <c r="I70" t="s">
        <v>23</v>
      </c>
      <c r="J70" t="s">
        <v>4</v>
      </c>
      <c r="K70">
        <v>50</v>
      </c>
      <c r="L70" t="s">
        <v>5</v>
      </c>
      <c r="M70" t="s">
        <v>6</v>
      </c>
      <c r="N70" t="s">
        <v>47</v>
      </c>
      <c r="O70" t="s">
        <v>7</v>
      </c>
      <c r="P70">
        <v>6</v>
      </c>
      <c r="Q70">
        <v>1</v>
      </c>
    </row>
    <row r="71" spans="1:17" x14ac:dyDescent="0.3">
      <c r="A71" s="2" t="s">
        <v>159</v>
      </c>
      <c r="B71" s="4" t="s">
        <v>570</v>
      </c>
      <c r="C71" s="3" t="s">
        <v>48</v>
      </c>
      <c r="D71" s="1" t="s">
        <v>46</v>
      </c>
      <c r="E71" s="2" t="s">
        <v>282</v>
      </c>
      <c r="F71" s="10">
        <f t="shared" si="3"/>
        <v>14</v>
      </c>
      <c r="G71" t="s">
        <v>9</v>
      </c>
      <c r="I71" t="s">
        <v>23</v>
      </c>
      <c r="J71" t="s">
        <v>4</v>
      </c>
      <c r="K71">
        <v>100</v>
      </c>
      <c r="L71" t="s">
        <v>5</v>
      </c>
      <c r="M71" t="s">
        <v>6</v>
      </c>
      <c r="N71" t="s">
        <v>47</v>
      </c>
      <c r="O71" t="s">
        <v>7</v>
      </c>
      <c r="P71">
        <v>6</v>
      </c>
      <c r="Q71">
        <v>0</v>
      </c>
    </row>
    <row r="72" spans="1:17" x14ac:dyDescent="0.3">
      <c r="A72" s="2" t="s">
        <v>160</v>
      </c>
      <c r="B72" s="4" t="s">
        <v>571</v>
      </c>
      <c r="C72" s="3" t="s">
        <v>48</v>
      </c>
      <c r="D72" s="1" t="s">
        <v>46</v>
      </c>
      <c r="E72" s="2" t="s">
        <v>283</v>
      </c>
      <c r="F72" s="10">
        <f t="shared" si="3"/>
        <v>14</v>
      </c>
      <c r="G72" t="s">
        <v>9</v>
      </c>
      <c r="I72" t="s">
        <v>23</v>
      </c>
      <c r="J72" t="s">
        <v>4</v>
      </c>
      <c r="K72">
        <v>160</v>
      </c>
      <c r="L72" t="s">
        <v>5</v>
      </c>
      <c r="M72" t="s">
        <v>6</v>
      </c>
      <c r="N72" t="s">
        <v>47</v>
      </c>
      <c r="O72" t="s">
        <v>7</v>
      </c>
      <c r="P72">
        <v>6</v>
      </c>
      <c r="Q72">
        <v>0</v>
      </c>
    </row>
    <row r="73" spans="1:17" x14ac:dyDescent="0.3">
      <c r="A73" s="2" t="s">
        <v>161</v>
      </c>
      <c r="B73" s="4" t="s">
        <v>572</v>
      </c>
      <c r="C73" s="3" t="s">
        <v>48</v>
      </c>
      <c r="D73" s="1" t="s">
        <v>46</v>
      </c>
      <c r="E73" s="2" t="s">
        <v>284</v>
      </c>
      <c r="F73" s="10">
        <f t="shared" si="3"/>
        <v>14</v>
      </c>
      <c r="G73" t="s">
        <v>9</v>
      </c>
      <c r="I73" t="s">
        <v>23</v>
      </c>
      <c r="J73" t="s">
        <v>4</v>
      </c>
      <c r="K73">
        <v>250</v>
      </c>
      <c r="L73" t="s">
        <v>5</v>
      </c>
      <c r="M73" t="s">
        <v>6</v>
      </c>
      <c r="N73" t="s">
        <v>47</v>
      </c>
      <c r="O73" t="s">
        <v>7</v>
      </c>
      <c r="P73">
        <v>6</v>
      </c>
      <c r="Q73">
        <v>0</v>
      </c>
    </row>
    <row r="74" spans="1:17" x14ac:dyDescent="0.3">
      <c r="A74" s="2" t="s">
        <v>162</v>
      </c>
      <c r="B74" s="4" t="s">
        <v>573</v>
      </c>
      <c r="C74" s="3" t="s">
        <v>48</v>
      </c>
      <c r="D74" s="1" t="s">
        <v>46</v>
      </c>
      <c r="E74" s="2" t="s">
        <v>285</v>
      </c>
      <c r="F74" s="10">
        <f t="shared" si="3"/>
        <v>14</v>
      </c>
      <c r="G74" t="s">
        <v>9</v>
      </c>
      <c r="I74" t="s">
        <v>23</v>
      </c>
      <c r="J74" t="s">
        <v>4</v>
      </c>
      <c r="K74">
        <v>320</v>
      </c>
      <c r="L74" t="s">
        <v>5</v>
      </c>
      <c r="M74" t="s">
        <v>6</v>
      </c>
      <c r="N74" t="s">
        <v>47</v>
      </c>
      <c r="O74" t="s">
        <v>7</v>
      </c>
      <c r="P74">
        <v>6</v>
      </c>
      <c r="Q74">
        <v>0</v>
      </c>
    </row>
    <row r="75" spans="1:17" x14ac:dyDescent="0.3">
      <c r="A75" s="2" t="s">
        <v>163</v>
      </c>
      <c r="B75" s="4" t="s">
        <v>393</v>
      </c>
      <c r="C75" s="3" t="s">
        <v>53</v>
      </c>
      <c r="D75" s="1" t="s">
        <v>50</v>
      </c>
      <c r="E75" s="2" t="s">
        <v>286</v>
      </c>
      <c r="F75" s="10">
        <v>2</v>
      </c>
      <c r="G75" t="s">
        <v>9</v>
      </c>
      <c r="H75" t="s">
        <v>51</v>
      </c>
      <c r="I75" t="s">
        <v>3</v>
      </c>
      <c r="J75" t="s">
        <v>4</v>
      </c>
      <c r="K75">
        <v>320</v>
      </c>
      <c r="L75" t="s">
        <v>5</v>
      </c>
      <c r="M75" t="s">
        <v>6</v>
      </c>
      <c r="O75" t="s">
        <v>7</v>
      </c>
      <c r="P75">
        <v>1</v>
      </c>
      <c r="Q75">
        <v>0</v>
      </c>
    </row>
    <row r="76" spans="1:17" ht="13.8" customHeight="1" x14ac:dyDescent="0.3">
      <c r="A76" s="2" t="s">
        <v>164</v>
      </c>
      <c r="B76" s="4" t="s">
        <v>392</v>
      </c>
      <c r="C76" s="8" t="s">
        <v>49</v>
      </c>
      <c r="D76" s="1" t="s">
        <v>50</v>
      </c>
      <c r="E76" s="2" t="s">
        <v>287</v>
      </c>
      <c r="F76" s="10">
        <f>324/24</f>
        <v>13.5</v>
      </c>
      <c r="G76" t="s">
        <v>9</v>
      </c>
      <c r="H76" t="s">
        <v>51</v>
      </c>
      <c r="I76" t="s">
        <v>52</v>
      </c>
      <c r="J76" t="s">
        <v>4</v>
      </c>
      <c r="K76">
        <v>300</v>
      </c>
      <c r="L76" t="s">
        <v>5</v>
      </c>
      <c r="M76" t="s">
        <v>6</v>
      </c>
      <c r="O76" t="s">
        <v>7</v>
      </c>
      <c r="P76">
        <v>6</v>
      </c>
      <c r="Q76">
        <v>0</v>
      </c>
    </row>
    <row r="77" spans="1:17" x14ac:dyDescent="0.3">
      <c r="A77" s="2" t="s">
        <v>165</v>
      </c>
      <c r="B77" s="4" t="s">
        <v>394</v>
      </c>
      <c r="C77" s="3" t="s">
        <v>54</v>
      </c>
      <c r="D77" s="1" t="s">
        <v>492</v>
      </c>
      <c r="E77" s="2" t="s">
        <v>288</v>
      </c>
      <c r="F77" s="10">
        <f>144/24</f>
        <v>6</v>
      </c>
      <c r="G77" t="s">
        <v>9</v>
      </c>
      <c r="H77" t="s">
        <v>27</v>
      </c>
      <c r="I77" t="s">
        <v>3</v>
      </c>
      <c r="J77" t="s">
        <v>4</v>
      </c>
      <c r="K77">
        <v>50</v>
      </c>
      <c r="L77" t="s">
        <v>5</v>
      </c>
      <c r="M77" t="s">
        <v>6</v>
      </c>
      <c r="N77" t="s">
        <v>11</v>
      </c>
      <c r="O77" t="s">
        <v>7</v>
      </c>
      <c r="P77">
        <v>4</v>
      </c>
      <c r="Q77">
        <v>0</v>
      </c>
    </row>
    <row r="78" spans="1:17" x14ac:dyDescent="0.3">
      <c r="A78" s="2" t="s">
        <v>166</v>
      </c>
      <c r="B78" s="4" t="s">
        <v>395</v>
      </c>
      <c r="C78" s="3" t="s">
        <v>54</v>
      </c>
      <c r="D78" s="1" t="s">
        <v>492</v>
      </c>
      <c r="E78" s="2" t="s">
        <v>289</v>
      </c>
      <c r="F78" s="10">
        <f t="shared" ref="F78:F83" si="4">144/24</f>
        <v>6</v>
      </c>
      <c r="G78" t="s">
        <v>9</v>
      </c>
      <c r="H78" t="s">
        <v>27</v>
      </c>
      <c r="I78" t="s">
        <v>3</v>
      </c>
      <c r="J78" t="s">
        <v>4</v>
      </c>
      <c r="K78">
        <v>250</v>
      </c>
      <c r="L78" t="s">
        <v>5</v>
      </c>
      <c r="M78" t="s">
        <v>6</v>
      </c>
      <c r="N78" t="s">
        <v>11</v>
      </c>
      <c r="O78" t="s">
        <v>7</v>
      </c>
      <c r="P78">
        <v>6</v>
      </c>
      <c r="Q78">
        <v>0</v>
      </c>
    </row>
    <row r="79" spans="1:17" x14ac:dyDescent="0.3">
      <c r="A79" s="2" t="s">
        <v>167</v>
      </c>
      <c r="B79" s="4" t="s">
        <v>396</v>
      </c>
      <c r="C79" s="3" t="s">
        <v>54</v>
      </c>
      <c r="D79" s="1" t="s">
        <v>492</v>
      </c>
      <c r="E79" s="2" t="s">
        <v>290</v>
      </c>
      <c r="F79" s="10">
        <f t="shared" si="4"/>
        <v>6</v>
      </c>
      <c r="G79" t="s">
        <v>9</v>
      </c>
      <c r="H79" t="s">
        <v>27</v>
      </c>
      <c r="I79" t="s">
        <v>3</v>
      </c>
      <c r="J79" t="s">
        <v>4</v>
      </c>
      <c r="K79">
        <v>500</v>
      </c>
      <c r="L79" t="s">
        <v>5</v>
      </c>
      <c r="M79" t="s">
        <v>6</v>
      </c>
      <c r="N79" t="s">
        <v>11</v>
      </c>
      <c r="O79" t="s">
        <v>7</v>
      </c>
      <c r="P79">
        <v>6</v>
      </c>
      <c r="Q79">
        <v>0</v>
      </c>
    </row>
    <row r="80" spans="1:17" x14ac:dyDescent="0.3">
      <c r="A80" s="2" t="s">
        <v>168</v>
      </c>
      <c r="B80" s="4" t="s">
        <v>397</v>
      </c>
      <c r="C80" s="3" t="s">
        <v>54</v>
      </c>
      <c r="D80" s="1" t="s">
        <v>492</v>
      </c>
      <c r="E80" s="2" t="s">
        <v>291</v>
      </c>
      <c r="F80" s="10">
        <f t="shared" si="4"/>
        <v>6</v>
      </c>
      <c r="G80" t="s">
        <v>9</v>
      </c>
      <c r="H80" t="s">
        <v>27</v>
      </c>
      <c r="I80" t="s">
        <v>3</v>
      </c>
      <c r="J80" t="s">
        <v>4</v>
      </c>
      <c r="K80">
        <v>750</v>
      </c>
      <c r="L80" t="s">
        <v>5</v>
      </c>
      <c r="M80" t="s">
        <v>6</v>
      </c>
      <c r="N80" t="s">
        <v>11</v>
      </c>
      <c r="O80" t="s">
        <v>7</v>
      </c>
      <c r="P80">
        <v>6</v>
      </c>
      <c r="Q80">
        <v>0</v>
      </c>
    </row>
    <row r="81" spans="1:17" x14ac:dyDescent="0.3">
      <c r="A81" s="2" t="s">
        <v>169</v>
      </c>
      <c r="B81" s="4" t="s">
        <v>398</v>
      </c>
      <c r="C81" s="3" t="s">
        <v>54</v>
      </c>
      <c r="D81" s="1" t="s">
        <v>492</v>
      </c>
      <c r="E81" s="2" t="s">
        <v>292</v>
      </c>
      <c r="F81" s="10">
        <f t="shared" si="4"/>
        <v>6</v>
      </c>
      <c r="G81" t="s">
        <v>9</v>
      </c>
      <c r="H81" t="s">
        <v>27</v>
      </c>
      <c r="I81" t="s">
        <v>3</v>
      </c>
      <c r="J81" t="s">
        <v>4</v>
      </c>
      <c r="K81">
        <v>1000</v>
      </c>
      <c r="L81" t="s">
        <v>5</v>
      </c>
      <c r="M81" t="s">
        <v>6</v>
      </c>
      <c r="N81" t="s">
        <v>11</v>
      </c>
      <c r="O81" t="s">
        <v>7</v>
      </c>
      <c r="P81">
        <v>6</v>
      </c>
      <c r="Q81">
        <v>0</v>
      </c>
    </row>
    <row r="82" spans="1:17" x14ac:dyDescent="0.3">
      <c r="A82" s="2" t="s">
        <v>170</v>
      </c>
      <c r="B82" s="4" t="s">
        <v>399</v>
      </c>
      <c r="C82" s="3" t="s">
        <v>54</v>
      </c>
      <c r="D82" s="1" t="s">
        <v>492</v>
      </c>
      <c r="E82" s="2" t="s">
        <v>293</v>
      </c>
      <c r="F82" s="10">
        <f t="shared" si="4"/>
        <v>6</v>
      </c>
      <c r="G82" t="s">
        <v>9</v>
      </c>
      <c r="H82" t="s">
        <v>27</v>
      </c>
      <c r="I82" t="s">
        <v>3</v>
      </c>
      <c r="J82" t="s">
        <v>4</v>
      </c>
      <c r="K82">
        <v>1250</v>
      </c>
      <c r="L82" t="s">
        <v>5</v>
      </c>
      <c r="M82" t="s">
        <v>6</v>
      </c>
      <c r="N82" t="s">
        <v>11</v>
      </c>
      <c r="O82" t="s">
        <v>7</v>
      </c>
      <c r="P82">
        <v>6</v>
      </c>
      <c r="Q82">
        <v>0</v>
      </c>
    </row>
    <row r="83" spans="1:17" x14ac:dyDescent="0.3">
      <c r="A83" s="2" t="s">
        <v>171</v>
      </c>
      <c r="B83" s="4" t="s">
        <v>400</v>
      </c>
      <c r="C83" s="3" t="s">
        <v>54</v>
      </c>
      <c r="D83" s="1" t="s">
        <v>492</v>
      </c>
      <c r="E83" s="2" t="s">
        <v>294</v>
      </c>
      <c r="F83" s="10">
        <f t="shared" si="4"/>
        <v>6</v>
      </c>
      <c r="G83" t="s">
        <v>9</v>
      </c>
      <c r="H83" t="s">
        <v>27</v>
      </c>
      <c r="I83" t="s">
        <v>3</v>
      </c>
      <c r="J83" t="s">
        <v>4</v>
      </c>
      <c r="K83">
        <v>1500</v>
      </c>
      <c r="L83" t="s">
        <v>5</v>
      </c>
      <c r="M83" t="s">
        <v>6</v>
      </c>
      <c r="N83" t="s">
        <v>11</v>
      </c>
      <c r="O83" t="s">
        <v>7</v>
      </c>
      <c r="P83">
        <v>6</v>
      </c>
      <c r="Q83">
        <v>0</v>
      </c>
    </row>
    <row r="84" spans="1:17" x14ac:dyDescent="0.3">
      <c r="A84" s="2" t="s">
        <v>172</v>
      </c>
      <c r="B84" s="4" t="s">
        <v>401</v>
      </c>
      <c r="C84" s="3" t="s">
        <v>54</v>
      </c>
      <c r="D84" s="1" t="s">
        <v>492</v>
      </c>
      <c r="E84" s="2" t="s">
        <v>295</v>
      </c>
      <c r="F84" s="10">
        <f>15</f>
        <v>15</v>
      </c>
      <c r="G84" t="s">
        <v>9</v>
      </c>
      <c r="H84" t="s">
        <v>27</v>
      </c>
      <c r="I84" t="s">
        <v>25</v>
      </c>
      <c r="J84" t="s">
        <v>4</v>
      </c>
      <c r="K84">
        <v>200</v>
      </c>
      <c r="L84" t="s">
        <v>5</v>
      </c>
      <c r="M84" t="s">
        <v>6</v>
      </c>
      <c r="N84" t="s">
        <v>11</v>
      </c>
      <c r="O84" t="s">
        <v>7</v>
      </c>
      <c r="P84">
        <v>6</v>
      </c>
    </row>
    <row r="85" spans="1:17" x14ac:dyDescent="0.3">
      <c r="A85" s="2" t="s">
        <v>173</v>
      </c>
      <c r="B85" s="4" t="s">
        <v>402</v>
      </c>
      <c r="C85" s="3" t="s">
        <v>54</v>
      </c>
      <c r="D85" s="1" t="s">
        <v>492</v>
      </c>
      <c r="E85" s="2" t="s">
        <v>296</v>
      </c>
      <c r="F85" s="10">
        <f>15</f>
        <v>15</v>
      </c>
      <c r="G85" t="s">
        <v>9</v>
      </c>
      <c r="H85" t="s">
        <v>27</v>
      </c>
      <c r="I85" t="s">
        <v>25</v>
      </c>
      <c r="J85" t="s">
        <v>4</v>
      </c>
      <c r="K85">
        <v>600</v>
      </c>
      <c r="L85" t="s">
        <v>5</v>
      </c>
      <c r="M85" t="s">
        <v>6</v>
      </c>
      <c r="N85" t="s">
        <v>11</v>
      </c>
      <c r="O85" t="s">
        <v>7</v>
      </c>
      <c r="P85">
        <v>6</v>
      </c>
    </row>
    <row r="86" spans="1:17" x14ac:dyDescent="0.3">
      <c r="A86" s="2" t="s">
        <v>174</v>
      </c>
      <c r="B86" s="4" t="s">
        <v>403</v>
      </c>
      <c r="C86" s="3" t="s">
        <v>54</v>
      </c>
      <c r="D86" s="1" t="s">
        <v>492</v>
      </c>
      <c r="E86" s="2" t="s">
        <v>297</v>
      </c>
      <c r="F86" s="10">
        <f>15</f>
        <v>15</v>
      </c>
      <c r="G86" t="s">
        <v>9</v>
      </c>
      <c r="H86" t="s">
        <v>27</v>
      </c>
      <c r="I86" t="s">
        <v>55</v>
      </c>
      <c r="J86" t="s">
        <v>4</v>
      </c>
      <c r="K86">
        <v>1000</v>
      </c>
      <c r="L86" t="s">
        <v>5</v>
      </c>
      <c r="M86" t="s">
        <v>6</v>
      </c>
      <c r="N86" t="s">
        <v>11</v>
      </c>
      <c r="O86" t="s">
        <v>7</v>
      </c>
      <c r="P86">
        <v>6</v>
      </c>
    </row>
    <row r="87" spans="1:17" x14ac:dyDescent="0.3">
      <c r="A87" s="2" t="s">
        <v>175</v>
      </c>
      <c r="B87" s="4" t="s">
        <v>405</v>
      </c>
      <c r="C87" s="3" t="s">
        <v>56</v>
      </c>
      <c r="D87" s="1" t="s">
        <v>492</v>
      </c>
      <c r="E87" s="2" t="s">
        <v>298</v>
      </c>
      <c r="F87" s="10">
        <f>96/24</f>
        <v>4</v>
      </c>
      <c r="G87" t="s">
        <v>9</v>
      </c>
      <c r="H87" t="s">
        <v>27</v>
      </c>
      <c r="I87" t="s">
        <v>3</v>
      </c>
      <c r="J87" t="s">
        <v>4</v>
      </c>
      <c r="K87">
        <v>50</v>
      </c>
      <c r="L87" t="s">
        <v>5</v>
      </c>
      <c r="M87" t="s">
        <v>6</v>
      </c>
      <c r="N87" t="s">
        <v>11</v>
      </c>
      <c r="O87" t="s">
        <v>7</v>
      </c>
      <c r="P87">
        <v>16</v>
      </c>
      <c r="Q87">
        <v>8</v>
      </c>
    </row>
    <row r="88" spans="1:17" x14ac:dyDescent="0.3">
      <c r="A88" s="2" t="s">
        <v>176</v>
      </c>
      <c r="B88" s="4" t="s">
        <v>406</v>
      </c>
      <c r="C88" s="3" t="s">
        <v>56</v>
      </c>
      <c r="D88" s="1" t="s">
        <v>492</v>
      </c>
      <c r="E88" s="2" t="s">
        <v>299</v>
      </c>
      <c r="F88" s="10">
        <f t="shared" ref="F88" si="5">96/24</f>
        <v>4</v>
      </c>
      <c r="G88" t="s">
        <v>9</v>
      </c>
      <c r="H88" t="s">
        <v>27</v>
      </c>
      <c r="I88" t="s">
        <v>3</v>
      </c>
      <c r="J88" t="s">
        <v>4</v>
      </c>
      <c r="K88">
        <v>200</v>
      </c>
      <c r="L88" t="s">
        <v>5</v>
      </c>
      <c r="M88" t="s">
        <v>6</v>
      </c>
      <c r="N88" t="s">
        <v>11</v>
      </c>
      <c r="O88" t="s">
        <v>7</v>
      </c>
      <c r="P88">
        <v>16</v>
      </c>
      <c r="Q88">
        <v>8</v>
      </c>
    </row>
    <row r="89" spans="1:17" x14ac:dyDescent="0.3">
      <c r="A89" s="2" t="s">
        <v>177</v>
      </c>
      <c r="B89" s="4" t="s">
        <v>404</v>
      </c>
      <c r="C89" s="3" t="s">
        <v>56</v>
      </c>
      <c r="D89" s="1" t="s">
        <v>492</v>
      </c>
      <c r="E89" s="2" t="s">
        <v>300</v>
      </c>
      <c r="F89" s="10">
        <f>168/24</f>
        <v>7</v>
      </c>
      <c r="G89" t="s">
        <v>9</v>
      </c>
      <c r="H89" t="s">
        <v>27</v>
      </c>
      <c r="I89" t="s">
        <v>3</v>
      </c>
      <c r="J89" t="s">
        <v>4</v>
      </c>
      <c r="K89">
        <v>1000</v>
      </c>
      <c r="L89" t="s">
        <v>5</v>
      </c>
      <c r="M89" t="s">
        <v>6</v>
      </c>
      <c r="N89" t="s">
        <v>11</v>
      </c>
      <c r="O89" t="s">
        <v>7</v>
      </c>
      <c r="P89">
        <v>16</v>
      </c>
      <c r="Q89">
        <v>7</v>
      </c>
    </row>
    <row r="90" spans="1:17" x14ac:dyDescent="0.3">
      <c r="A90" s="2" t="s">
        <v>178</v>
      </c>
      <c r="B90" s="1" t="s">
        <v>407</v>
      </c>
      <c r="C90" s="3" t="s">
        <v>57</v>
      </c>
      <c r="D90" s="1" t="s">
        <v>58</v>
      </c>
      <c r="E90" s="2" t="s">
        <v>301</v>
      </c>
      <c r="F90" s="10">
        <v>2</v>
      </c>
      <c r="G90" t="s">
        <v>9</v>
      </c>
      <c r="I90" t="s">
        <v>3</v>
      </c>
      <c r="J90" t="s">
        <v>4</v>
      </c>
      <c r="K90">
        <v>100</v>
      </c>
      <c r="L90" t="s">
        <v>5</v>
      </c>
      <c r="M90" t="s">
        <v>6</v>
      </c>
      <c r="N90" t="s">
        <v>47</v>
      </c>
      <c r="O90" t="s">
        <v>7</v>
      </c>
      <c r="P90">
        <v>6</v>
      </c>
      <c r="Q90">
        <v>0</v>
      </c>
    </row>
    <row r="91" spans="1:17" x14ac:dyDescent="0.3">
      <c r="A91" s="2" t="s">
        <v>179</v>
      </c>
      <c r="B91" s="1" t="s">
        <v>408</v>
      </c>
      <c r="C91" s="3" t="s">
        <v>57</v>
      </c>
      <c r="D91" s="1" t="s">
        <v>58</v>
      </c>
      <c r="E91" s="2" t="s">
        <v>302</v>
      </c>
      <c r="F91" s="10">
        <v>2</v>
      </c>
      <c r="G91" t="s">
        <v>9</v>
      </c>
      <c r="I91" t="s">
        <v>3</v>
      </c>
      <c r="J91" t="s">
        <v>4</v>
      </c>
      <c r="K91">
        <v>200</v>
      </c>
      <c r="L91" t="s">
        <v>5</v>
      </c>
      <c r="M91" t="s">
        <v>6</v>
      </c>
      <c r="N91" t="s">
        <v>47</v>
      </c>
      <c r="O91" t="s">
        <v>7</v>
      </c>
      <c r="P91">
        <v>6</v>
      </c>
    </row>
    <row r="92" spans="1:17" x14ac:dyDescent="0.3">
      <c r="A92" s="2" t="s">
        <v>180</v>
      </c>
      <c r="B92" s="1" t="s">
        <v>409</v>
      </c>
      <c r="C92" s="3" t="s">
        <v>57</v>
      </c>
      <c r="D92" s="1" t="s">
        <v>58</v>
      </c>
      <c r="E92" s="2" t="s">
        <v>303</v>
      </c>
      <c r="F92" s="10">
        <v>2</v>
      </c>
      <c r="G92" t="s">
        <v>9</v>
      </c>
      <c r="I92" t="s">
        <v>3</v>
      </c>
      <c r="J92" t="s">
        <v>4</v>
      </c>
      <c r="K92">
        <v>400</v>
      </c>
      <c r="L92" t="s">
        <v>5</v>
      </c>
      <c r="M92" t="s">
        <v>6</v>
      </c>
      <c r="N92" t="s">
        <v>47</v>
      </c>
      <c r="O92" t="s">
        <v>7</v>
      </c>
      <c r="P92">
        <v>6</v>
      </c>
    </row>
    <row r="93" spans="1:17" x14ac:dyDescent="0.3">
      <c r="A93" s="2" t="s">
        <v>181</v>
      </c>
      <c r="B93" s="1" t="s">
        <v>410</v>
      </c>
      <c r="C93" s="3" t="s">
        <v>57</v>
      </c>
      <c r="D93" s="1" t="s">
        <v>58</v>
      </c>
      <c r="E93" s="2" t="s">
        <v>304</v>
      </c>
      <c r="F93" s="10">
        <f>10+48/24</f>
        <v>12</v>
      </c>
      <c r="G93" t="s">
        <v>9</v>
      </c>
      <c r="I93" t="s">
        <v>19</v>
      </c>
      <c r="J93" t="s">
        <v>4</v>
      </c>
      <c r="K93">
        <v>100</v>
      </c>
      <c r="L93" t="s">
        <v>5</v>
      </c>
      <c r="M93" t="s">
        <v>6</v>
      </c>
      <c r="N93" t="s">
        <v>47</v>
      </c>
      <c r="O93" t="s">
        <v>7</v>
      </c>
      <c r="P93">
        <v>6</v>
      </c>
      <c r="Q93">
        <v>0</v>
      </c>
    </row>
    <row r="94" spans="1:17" x14ac:dyDescent="0.3">
      <c r="A94" s="2" t="s">
        <v>182</v>
      </c>
      <c r="B94" s="1" t="s">
        <v>411</v>
      </c>
      <c r="C94" s="3" t="s">
        <v>57</v>
      </c>
      <c r="D94" s="1" t="s">
        <v>58</v>
      </c>
      <c r="E94" s="2" t="s">
        <v>305</v>
      </c>
      <c r="F94" s="10">
        <f t="shared" ref="F94:F95" si="6">10+48/24</f>
        <v>12</v>
      </c>
      <c r="G94" t="s">
        <v>9</v>
      </c>
      <c r="I94" t="s">
        <v>19</v>
      </c>
      <c r="J94" t="s">
        <v>4</v>
      </c>
      <c r="K94">
        <v>200</v>
      </c>
      <c r="L94" t="s">
        <v>5</v>
      </c>
      <c r="M94" t="s">
        <v>6</v>
      </c>
      <c r="N94" t="s">
        <v>47</v>
      </c>
      <c r="O94" t="s">
        <v>7</v>
      </c>
      <c r="P94">
        <v>5</v>
      </c>
      <c r="Q94">
        <v>0</v>
      </c>
    </row>
    <row r="95" spans="1:17" x14ac:dyDescent="0.3">
      <c r="A95" s="2" t="s">
        <v>183</v>
      </c>
      <c r="B95" s="1" t="s">
        <v>412</v>
      </c>
      <c r="C95" s="3" t="s">
        <v>57</v>
      </c>
      <c r="D95" s="1" t="s">
        <v>58</v>
      </c>
      <c r="E95" s="2" t="s">
        <v>306</v>
      </c>
      <c r="F95" s="10">
        <f t="shared" si="6"/>
        <v>12</v>
      </c>
      <c r="G95" t="s">
        <v>9</v>
      </c>
      <c r="I95" t="s">
        <v>19</v>
      </c>
      <c r="J95" t="s">
        <v>4</v>
      </c>
      <c r="K95">
        <v>400</v>
      </c>
      <c r="L95" t="s">
        <v>5</v>
      </c>
      <c r="M95" t="s">
        <v>6</v>
      </c>
      <c r="N95" t="s">
        <v>47</v>
      </c>
      <c r="O95" t="s">
        <v>7</v>
      </c>
      <c r="P95">
        <v>6</v>
      </c>
      <c r="Q95">
        <v>0</v>
      </c>
    </row>
    <row r="96" spans="1:17" x14ac:dyDescent="0.3">
      <c r="A96" s="2" t="s">
        <v>184</v>
      </c>
      <c r="B96" s="1" t="s">
        <v>413</v>
      </c>
      <c r="C96" s="3" t="s">
        <v>57</v>
      </c>
      <c r="D96" s="1" t="s">
        <v>58</v>
      </c>
      <c r="E96" s="2" t="s">
        <v>307</v>
      </c>
      <c r="F96" s="10">
        <f>10+24/24</f>
        <v>11</v>
      </c>
      <c r="G96" t="s">
        <v>9</v>
      </c>
      <c r="I96" t="s">
        <v>59</v>
      </c>
      <c r="J96" t="s">
        <v>4</v>
      </c>
      <c r="K96">
        <v>100</v>
      </c>
      <c r="L96" t="s">
        <v>5</v>
      </c>
      <c r="M96" t="s">
        <v>6</v>
      </c>
      <c r="N96" t="s">
        <v>47</v>
      </c>
      <c r="O96" t="s">
        <v>7</v>
      </c>
      <c r="P96">
        <v>12</v>
      </c>
    </row>
    <row r="97" spans="1:17" x14ac:dyDescent="0.3">
      <c r="A97" s="2" t="s">
        <v>185</v>
      </c>
      <c r="B97" s="1" t="s">
        <v>414</v>
      </c>
      <c r="C97" s="3" t="s">
        <v>57</v>
      </c>
      <c r="D97" s="1" t="s">
        <v>58</v>
      </c>
      <c r="E97" s="2" t="s">
        <v>308</v>
      </c>
      <c r="F97" s="10">
        <f>10+24/24</f>
        <v>11</v>
      </c>
      <c r="G97" t="s">
        <v>9</v>
      </c>
      <c r="I97" t="s">
        <v>59</v>
      </c>
      <c r="J97" t="s">
        <v>4</v>
      </c>
      <c r="K97">
        <v>200</v>
      </c>
      <c r="L97" t="s">
        <v>5</v>
      </c>
      <c r="M97" t="s">
        <v>6</v>
      </c>
      <c r="N97" t="s">
        <v>47</v>
      </c>
      <c r="O97" t="s">
        <v>7</v>
      </c>
      <c r="P97">
        <v>12</v>
      </c>
    </row>
    <row r="98" spans="1:17" x14ac:dyDescent="0.3">
      <c r="A98" s="2" t="s">
        <v>186</v>
      </c>
      <c r="B98" s="1" t="s">
        <v>415</v>
      </c>
      <c r="C98" s="3" t="s">
        <v>57</v>
      </c>
      <c r="D98" s="1" t="s">
        <v>58</v>
      </c>
      <c r="E98" s="2" t="s">
        <v>309</v>
      </c>
      <c r="F98" s="10">
        <f>10+24/24</f>
        <v>11</v>
      </c>
      <c r="G98" t="s">
        <v>9</v>
      </c>
      <c r="I98" t="s">
        <v>60</v>
      </c>
      <c r="J98" t="s">
        <v>4</v>
      </c>
      <c r="K98">
        <v>100</v>
      </c>
      <c r="L98" t="s">
        <v>5</v>
      </c>
      <c r="M98" t="s">
        <v>6</v>
      </c>
      <c r="N98" t="s">
        <v>47</v>
      </c>
      <c r="O98" t="s">
        <v>7</v>
      </c>
      <c r="P98">
        <v>9</v>
      </c>
    </row>
    <row r="99" spans="1:17" x14ac:dyDescent="0.3">
      <c r="A99" s="2" t="s">
        <v>187</v>
      </c>
      <c r="B99" s="1" t="s">
        <v>416</v>
      </c>
      <c r="C99" s="3" t="s">
        <v>57</v>
      </c>
      <c r="D99" s="1" t="s">
        <v>58</v>
      </c>
      <c r="E99" s="2" t="s">
        <v>310</v>
      </c>
      <c r="F99" s="10">
        <f t="shared" ref="F99:F100" si="7">10+24/24</f>
        <v>11</v>
      </c>
      <c r="G99" t="s">
        <v>9</v>
      </c>
      <c r="I99" t="s">
        <v>59</v>
      </c>
      <c r="J99" t="s">
        <v>4</v>
      </c>
      <c r="K99">
        <v>150</v>
      </c>
      <c r="L99" t="s">
        <v>5</v>
      </c>
      <c r="M99" t="s">
        <v>6</v>
      </c>
      <c r="N99" t="s">
        <v>47</v>
      </c>
      <c r="O99" t="s">
        <v>7</v>
      </c>
      <c r="P99">
        <v>10</v>
      </c>
    </row>
    <row r="100" spans="1:17" x14ac:dyDescent="0.3">
      <c r="A100" s="2" t="s">
        <v>188</v>
      </c>
      <c r="B100" s="1" t="s">
        <v>417</v>
      </c>
      <c r="C100" s="3" t="s">
        <v>57</v>
      </c>
      <c r="D100" s="1" t="s">
        <v>58</v>
      </c>
      <c r="E100" s="2" t="s">
        <v>311</v>
      </c>
      <c r="F100" s="10">
        <f t="shared" si="7"/>
        <v>11</v>
      </c>
      <c r="G100" t="s">
        <v>9</v>
      </c>
      <c r="I100" t="s">
        <v>19</v>
      </c>
      <c r="J100" t="s">
        <v>4</v>
      </c>
      <c r="K100">
        <v>300</v>
      </c>
      <c r="L100" t="s">
        <v>5</v>
      </c>
      <c r="M100" t="s">
        <v>6</v>
      </c>
      <c r="N100" t="s">
        <v>47</v>
      </c>
      <c r="O100" t="s">
        <v>7</v>
      </c>
      <c r="P100">
        <v>9</v>
      </c>
    </row>
    <row r="101" spans="1:17" x14ac:dyDescent="0.3">
      <c r="A101" s="2" t="s">
        <v>189</v>
      </c>
      <c r="B101" s="1" t="s">
        <v>418</v>
      </c>
      <c r="C101" s="3" t="s">
        <v>57</v>
      </c>
      <c r="D101" s="1" t="s">
        <v>58</v>
      </c>
      <c r="E101" s="2" t="s">
        <v>312</v>
      </c>
      <c r="F101" s="10">
        <f>24/24</f>
        <v>1</v>
      </c>
      <c r="G101" t="s">
        <v>9</v>
      </c>
      <c r="I101" t="s">
        <v>3</v>
      </c>
      <c r="J101" t="s">
        <v>4</v>
      </c>
      <c r="K101">
        <v>400</v>
      </c>
      <c r="L101" t="s">
        <v>5</v>
      </c>
      <c r="M101" t="s">
        <v>6</v>
      </c>
      <c r="N101" t="s">
        <v>11</v>
      </c>
      <c r="O101" t="s">
        <v>7</v>
      </c>
    </row>
    <row r="102" spans="1:17" x14ac:dyDescent="0.3">
      <c r="A102" s="2" t="s">
        <v>190</v>
      </c>
      <c r="B102" s="1" t="s">
        <v>419</v>
      </c>
      <c r="C102" s="3" t="s">
        <v>57</v>
      </c>
      <c r="D102" s="1" t="s">
        <v>58</v>
      </c>
      <c r="E102" s="2" t="s">
        <v>313</v>
      </c>
      <c r="F102" s="10">
        <f>48/24</f>
        <v>2</v>
      </c>
      <c r="G102" t="s">
        <v>9</v>
      </c>
      <c r="I102" t="s">
        <v>3</v>
      </c>
      <c r="J102" t="s">
        <v>4</v>
      </c>
      <c r="K102">
        <v>200</v>
      </c>
      <c r="L102" t="s">
        <v>5</v>
      </c>
      <c r="M102" t="s">
        <v>6</v>
      </c>
      <c r="N102" t="s">
        <v>11</v>
      </c>
      <c r="O102" t="s">
        <v>7</v>
      </c>
      <c r="P102">
        <v>6</v>
      </c>
      <c r="Q102">
        <v>0</v>
      </c>
    </row>
    <row r="103" spans="1:17" x14ac:dyDescent="0.3">
      <c r="A103" s="2" t="s">
        <v>191</v>
      </c>
      <c r="B103" s="1" t="s">
        <v>420</v>
      </c>
      <c r="C103" s="3" t="s">
        <v>57</v>
      </c>
      <c r="D103" s="1" t="s">
        <v>58</v>
      </c>
      <c r="E103" s="2" t="s">
        <v>314</v>
      </c>
      <c r="F103" s="10">
        <f>48/24</f>
        <v>2</v>
      </c>
      <c r="G103" t="s">
        <v>9</v>
      </c>
      <c r="I103" t="s">
        <v>3</v>
      </c>
      <c r="J103" t="s">
        <v>4</v>
      </c>
      <c r="K103">
        <v>200</v>
      </c>
      <c r="L103" t="s">
        <v>5</v>
      </c>
      <c r="M103" t="s">
        <v>6</v>
      </c>
      <c r="N103" t="s">
        <v>47</v>
      </c>
      <c r="O103" t="s">
        <v>7</v>
      </c>
      <c r="P103">
        <v>6</v>
      </c>
    </row>
    <row r="104" spans="1:17" x14ac:dyDescent="0.3">
      <c r="A104" s="2" t="s">
        <v>192</v>
      </c>
      <c r="B104" s="1" t="s">
        <v>422</v>
      </c>
      <c r="C104" s="3" t="s">
        <v>57</v>
      </c>
      <c r="D104" s="1" t="s">
        <v>58</v>
      </c>
      <c r="E104" s="2" t="s">
        <v>315</v>
      </c>
      <c r="F104" s="10">
        <f>48/24</f>
        <v>2</v>
      </c>
      <c r="G104" t="s">
        <v>9</v>
      </c>
      <c r="I104" t="s">
        <v>3</v>
      </c>
      <c r="J104" t="s">
        <v>4</v>
      </c>
      <c r="K104">
        <v>400</v>
      </c>
      <c r="L104" t="s">
        <v>5</v>
      </c>
      <c r="M104" t="s">
        <v>6</v>
      </c>
      <c r="N104" t="s">
        <v>11</v>
      </c>
      <c r="O104" t="s">
        <v>7</v>
      </c>
      <c r="P104">
        <v>6</v>
      </c>
      <c r="Q104">
        <v>0</v>
      </c>
    </row>
    <row r="105" spans="1:17" x14ac:dyDescent="0.3">
      <c r="A105" s="2" t="s">
        <v>193</v>
      </c>
      <c r="B105" s="1" t="s">
        <v>582</v>
      </c>
      <c r="C105" s="3" t="s">
        <v>57</v>
      </c>
      <c r="D105" s="1" t="s">
        <v>58</v>
      </c>
      <c r="E105" s="2" t="s">
        <v>316</v>
      </c>
      <c r="F105" s="10">
        <f>48/24</f>
        <v>2</v>
      </c>
      <c r="G105" t="s">
        <v>9</v>
      </c>
      <c r="I105" t="s">
        <v>3</v>
      </c>
      <c r="J105" t="s">
        <v>4</v>
      </c>
      <c r="K105">
        <v>400</v>
      </c>
      <c r="L105" t="s">
        <v>5</v>
      </c>
      <c r="M105" t="s">
        <v>6</v>
      </c>
      <c r="N105" t="s">
        <v>47</v>
      </c>
      <c r="O105" t="s">
        <v>7</v>
      </c>
      <c r="P105">
        <v>6</v>
      </c>
      <c r="Q105">
        <v>0</v>
      </c>
    </row>
    <row r="106" spans="1:17" x14ac:dyDescent="0.3">
      <c r="A106" s="2" t="s">
        <v>194</v>
      </c>
      <c r="B106" s="1" t="s">
        <v>423</v>
      </c>
      <c r="C106" s="3" t="s">
        <v>61</v>
      </c>
      <c r="D106" s="1" t="s">
        <v>58</v>
      </c>
      <c r="E106" s="2" t="s">
        <v>317</v>
      </c>
      <c r="F106" s="10">
        <f>48/24</f>
        <v>2</v>
      </c>
      <c r="G106" t="s">
        <v>9</v>
      </c>
      <c r="H106" t="s">
        <v>62</v>
      </c>
      <c r="I106" t="s">
        <v>3</v>
      </c>
      <c r="J106" t="s">
        <v>4</v>
      </c>
      <c r="K106">
        <v>25</v>
      </c>
      <c r="L106" t="s">
        <v>5</v>
      </c>
      <c r="M106" t="s">
        <v>6</v>
      </c>
      <c r="N106" t="s">
        <v>47</v>
      </c>
      <c r="O106" t="s">
        <v>7</v>
      </c>
      <c r="P106">
        <v>16</v>
      </c>
    </row>
    <row r="107" spans="1:17" x14ac:dyDescent="0.3">
      <c r="A107" s="2" t="s">
        <v>195</v>
      </c>
      <c r="B107" s="1" t="s">
        <v>424</v>
      </c>
      <c r="C107" s="3" t="s">
        <v>61</v>
      </c>
      <c r="D107" s="1" t="s">
        <v>58</v>
      </c>
      <c r="E107" s="2" t="s">
        <v>318</v>
      </c>
      <c r="F107" s="10">
        <f t="shared" ref="F107:F111" si="8">48/24</f>
        <v>2</v>
      </c>
      <c r="G107" t="s">
        <v>9</v>
      </c>
      <c r="H107" t="s">
        <v>63</v>
      </c>
      <c r="I107" t="s">
        <v>3</v>
      </c>
      <c r="J107" t="s">
        <v>4</v>
      </c>
      <c r="K107">
        <v>25</v>
      </c>
      <c r="L107" t="s">
        <v>5</v>
      </c>
      <c r="M107" t="s">
        <v>6</v>
      </c>
      <c r="N107" t="s">
        <v>47</v>
      </c>
      <c r="O107" t="s">
        <v>7</v>
      </c>
      <c r="P107">
        <v>17</v>
      </c>
    </row>
    <row r="108" spans="1:17" x14ac:dyDescent="0.3">
      <c r="A108" s="2" t="s">
        <v>196</v>
      </c>
      <c r="B108" s="1" t="s">
        <v>425</v>
      </c>
      <c r="C108" s="3" t="s">
        <v>61</v>
      </c>
      <c r="D108" s="1" t="s">
        <v>58</v>
      </c>
      <c r="E108" s="2" t="s">
        <v>319</v>
      </c>
      <c r="F108" s="10">
        <f t="shared" si="8"/>
        <v>2</v>
      </c>
      <c r="G108" t="s">
        <v>9</v>
      </c>
      <c r="H108" t="s">
        <v>62</v>
      </c>
      <c r="I108" t="s">
        <v>3</v>
      </c>
      <c r="J108" t="s">
        <v>4</v>
      </c>
      <c r="K108">
        <v>50</v>
      </c>
      <c r="L108" t="s">
        <v>5</v>
      </c>
      <c r="M108" t="s">
        <v>6</v>
      </c>
      <c r="N108" t="s">
        <v>47</v>
      </c>
      <c r="O108" t="s">
        <v>7</v>
      </c>
      <c r="P108">
        <v>16</v>
      </c>
    </row>
    <row r="109" spans="1:17" x14ac:dyDescent="0.3">
      <c r="A109" s="2" t="s">
        <v>197</v>
      </c>
      <c r="B109" s="1" t="s">
        <v>426</v>
      </c>
      <c r="C109" s="3" t="s">
        <v>61</v>
      </c>
      <c r="D109" s="1" t="s">
        <v>58</v>
      </c>
      <c r="E109" s="2" t="s">
        <v>320</v>
      </c>
      <c r="F109" s="10">
        <f t="shared" si="8"/>
        <v>2</v>
      </c>
      <c r="G109" t="s">
        <v>9</v>
      </c>
      <c r="H109" t="s">
        <v>63</v>
      </c>
      <c r="I109" t="s">
        <v>3</v>
      </c>
      <c r="J109" t="s">
        <v>4</v>
      </c>
      <c r="K109">
        <v>50</v>
      </c>
      <c r="L109" t="s">
        <v>5</v>
      </c>
      <c r="M109" t="s">
        <v>6</v>
      </c>
      <c r="N109" t="s">
        <v>47</v>
      </c>
      <c r="O109" t="s">
        <v>7</v>
      </c>
      <c r="P109">
        <v>17</v>
      </c>
    </row>
    <row r="110" spans="1:17" x14ac:dyDescent="0.3">
      <c r="A110" s="2" t="s">
        <v>198</v>
      </c>
      <c r="B110" s="1" t="s">
        <v>427</v>
      </c>
      <c r="C110" s="3" t="s">
        <v>61</v>
      </c>
      <c r="D110" s="1" t="s">
        <v>58</v>
      </c>
      <c r="E110" s="2" t="s">
        <v>321</v>
      </c>
      <c r="F110" s="10">
        <f t="shared" si="8"/>
        <v>2</v>
      </c>
      <c r="G110" t="s">
        <v>9</v>
      </c>
      <c r="H110" t="s">
        <v>62</v>
      </c>
      <c r="I110" t="s">
        <v>3</v>
      </c>
      <c r="J110" t="s">
        <v>4</v>
      </c>
      <c r="K110">
        <v>100</v>
      </c>
      <c r="L110" t="s">
        <v>5</v>
      </c>
      <c r="M110" t="s">
        <v>6</v>
      </c>
      <c r="N110" t="s">
        <v>47</v>
      </c>
      <c r="O110" t="s">
        <v>7</v>
      </c>
      <c r="P110">
        <v>16</v>
      </c>
    </row>
    <row r="111" spans="1:17" x14ac:dyDescent="0.3">
      <c r="A111" s="2" t="s">
        <v>199</v>
      </c>
      <c r="B111" s="1" t="s">
        <v>428</v>
      </c>
      <c r="C111" s="3" t="s">
        <v>61</v>
      </c>
      <c r="D111" s="1" t="s">
        <v>58</v>
      </c>
      <c r="E111" s="2" t="s">
        <v>322</v>
      </c>
      <c r="F111" s="10">
        <f t="shared" si="8"/>
        <v>2</v>
      </c>
      <c r="G111" t="s">
        <v>9</v>
      </c>
      <c r="H111" t="s">
        <v>63</v>
      </c>
      <c r="I111" t="s">
        <v>3</v>
      </c>
      <c r="J111" t="s">
        <v>4</v>
      </c>
      <c r="K111">
        <v>100</v>
      </c>
      <c r="L111" t="s">
        <v>5</v>
      </c>
      <c r="M111" t="s">
        <v>6</v>
      </c>
      <c r="N111" t="s">
        <v>47</v>
      </c>
      <c r="O111" t="s">
        <v>7</v>
      </c>
      <c r="P111">
        <v>16</v>
      </c>
    </row>
    <row r="112" spans="1:17" ht="13.2" customHeight="1" x14ac:dyDescent="0.3">
      <c r="A112" s="2" t="s">
        <v>200</v>
      </c>
      <c r="B112" s="1" t="s">
        <v>429</v>
      </c>
      <c r="C112" s="8" t="s">
        <v>64</v>
      </c>
      <c r="D112" s="1" t="s">
        <v>65</v>
      </c>
      <c r="E112" s="2" t="s">
        <v>323</v>
      </c>
      <c r="F112" s="10">
        <f>8/24</f>
        <v>0.33333333333333331</v>
      </c>
      <c r="G112" t="s">
        <v>15</v>
      </c>
      <c r="I112" t="s">
        <v>3</v>
      </c>
      <c r="J112" t="s">
        <v>4</v>
      </c>
      <c r="K112">
        <v>500</v>
      </c>
      <c r="L112" t="s">
        <v>5</v>
      </c>
      <c r="M112" t="s">
        <v>6</v>
      </c>
      <c r="O112" t="s">
        <v>7</v>
      </c>
      <c r="P112">
        <v>6</v>
      </c>
      <c r="Q112">
        <v>0</v>
      </c>
    </row>
    <row r="113" spans="1:17" ht="15" customHeight="1" x14ac:dyDescent="0.3">
      <c r="A113" s="2" t="s">
        <v>201</v>
      </c>
      <c r="B113" s="1" t="s">
        <v>430</v>
      </c>
      <c r="C113" s="8" t="s">
        <v>66</v>
      </c>
      <c r="D113" s="1" t="s">
        <v>65</v>
      </c>
      <c r="E113" s="2" t="s">
        <v>324</v>
      </c>
      <c r="F113" s="10">
        <f>8/24</f>
        <v>0.33333333333333331</v>
      </c>
      <c r="G113" t="s">
        <v>15</v>
      </c>
      <c r="I113" t="s">
        <v>3</v>
      </c>
      <c r="J113" t="s">
        <v>4</v>
      </c>
      <c r="K113">
        <v>500</v>
      </c>
      <c r="L113" t="s">
        <v>5</v>
      </c>
      <c r="M113" t="s">
        <v>6</v>
      </c>
      <c r="O113" t="s">
        <v>7</v>
      </c>
      <c r="P113">
        <v>6</v>
      </c>
      <c r="Q113">
        <v>0</v>
      </c>
    </row>
    <row r="114" spans="1:17" x14ac:dyDescent="0.3">
      <c r="A114" s="2" t="s">
        <v>202</v>
      </c>
      <c r="B114" s="1" t="s">
        <v>431</v>
      </c>
      <c r="C114" s="3" t="s">
        <v>71</v>
      </c>
      <c r="D114" s="1" t="s">
        <v>65</v>
      </c>
      <c r="E114" s="2" t="s">
        <v>325</v>
      </c>
      <c r="F114" s="10">
        <f>12/24</f>
        <v>0.5</v>
      </c>
      <c r="G114" t="s">
        <v>68</v>
      </c>
      <c r="I114" t="s">
        <v>3</v>
      </c>
      <c r="J114" t="s">
        <v>4</v>
      </c>
      <c r="K114">
        <v>0.5</v>
      </c>
      <c r="L114" t="s">
        <v>70</v>
      </c>
      <c r="M114" t="s">
        <v>6</v>
      </c>
      <c r="O114" t="s">
        <v>7</v>
      </c>
      <c r="P114">
        <v>6</v>
      </c>
    </row>
    <row r="115" spans="1:17" x14ac:dyDescent="0.3">
      <c r="A115" s="2" t="s">
        <v>203</v>
      </c>
      <c r="B115" s="1" t="s">
        <v>435</v>
      </c>
      <c r="C115" s="3" t="s">
        <v>72</v>
      </c>
      <c r="D115" s="1" t="s">
        <v>65</v>
      </c>
      <c r="E115" s="2" t="s">
        <v>326</v>
      </c>
      <c r="F115" s="10">
        <v>1.1000000000000001</v>
      </c>
      <c r="G115" t="s">
        <v>74</v>
      </c>
      <c r="I115" t="s">
        <v>75</v>
      </c>
      <c r="J115" t="s">
        <v>4</v>
      </c>
      <c r="K115">
        <v>1.5</v>
      </c>
      <c r="L115" t="s">
        <v>70</v>
      </c>
      <c r="M115" t="s">
        <v>6</v>
      </c>
      <c r="O115" t="s">
        <v>7</v>
      </c>
      <c r="P115">
        <v>8</v>
      </c>
      <c r="Q115">
        <v>4</v>
      </c>
    </row>
    <row r="116" spans="1:17" x14ac:dyDescent="0.3">
      <c r="A116" s="2" t="s">
        <v>204</v>
      </c>
      <c r="B116" s="1" t="s">
        <v>436</v>
      </c>
      <c r="C116" s="3" t="s">
        <v>72</v>
      </c>
      <c r="D116" s="1" t="s">
        <v>65</v>
      </c>
      <c r="E116" s="2" t="s">
        <v>327</v>
      </c>
      <c r="F116" s="10">
        <v>1.1000000000000001</v>
      </c>
      <c r="G116" t="s">
        <v>74</v>
      </c>
      <c r="I116" t="s">
        <v>76</v>
      </c>
      <c r="J116" t="s">
        <v>4</v>
      </c>
      <c r="K116">
        <v>3</v>
      </c>
      <c r="L116" t="s">
        <v>70</v>
      </c>
      <c r="M116" t="s">
        <v>6</v>
      </c>
      <c r="O116" t="s">
        <v>7</v>
      </c>
      <c r="P116">
        <v>8</v>
      </c>
      <c r="Q116">
        <v>4</v>
      </c>
    </row>
    <row r="117" spans="1:17" x14ac:dyDescent="0.3">
      <c r="A117" s="2" t="s">
        <v>205</v>
      </c>
      <c r="B117" s="1" t="s">
        <v>432</v>
      </c>
      <c r="C117" s="3" t="s">
        <v>72</v>
      </c>
      <c r="D117" s="1" t="s">
        <v>65</v>
      </c>
      <c r="E117" s="2" t="s">
        <v>328</v>
      </c>
      <c r="F117" s="10">
        <v>1</v>
      </c>
      <c r="G117" t="s">
        <v>68</v>
      </c>
      <c r="I117" t="s">
        <v>73</v>
      </c>
      <c r="J117" t="s">
        <v>4</v>
      </c>
      <c r="K117">
        <v>0.5</v>
      </c>
      <c r="L117" t="s">
        <v>70</v>
      </c>
      <c r="M117" t="s">
        <v>6</v>
      </c>
      <c r="O117" t="s">
        <v>7</v>
      </c>
      <c r="P117">
        <v>8</v>
      </c>
      <c r="Q117">
        <v>4</v>
      </c>
    </row>
    <row r="118" spans="1:17" x14ac:dyDescent="0.3">
      <c r="A118" s="2" t="s">
        <v>206</v>
      </c>
      <c r="B118" s="1" t="s">
        <v>433</v>
      </c>
      <c r="C118" s="3" t="s">
        <v>72</v>
      </c>
      <c r="D118" s="1" t="s">
        <v>65</v>
      </c>
      <c r="E118" s="2" t="s">
        <v>329</v>
      </c>
      <c r="F118" s="10">
        <v>1</v>
      </c>
      <c r="G118" t="s">
        <v>68</v>
      </c>
      <c r="I118" t="s">
        <v>73</v>
      </c>
      <c r="J118" t="s">
        <v>4</v>
      </c>
      <c r="K118">
        <v>1</v>
      </c>
      <c r="L118" t="s">
        <v>70</v>
      </c>
      <c r="M118" t="s">
        <v>6</v>
      </c>
      <c r="O118" t="s">
        <v>7</v>
      </c>
      <c r="P118">
        <v>8</v>
      </c>
      <c r="Q118">
        <v>4</v>
      </c>
    </row>
    <row r="119" spans="1:17" x14ac:dyDescent="0.3">
      <c r="A119" s="2" t="s">
        <v>207</v>
      </c>
      <c r="B119" s="1" t="s">
        <v>434</v>
      </c>
      <c r="C119" s="3" t="s">
        <v>67</v>
      </c>
      <c r="D119" s="1" t="s">
        <v>65</v>
      </c>
      <c r="E119" s="2" t="s">
        <v>330</v>
      </c>
      <c r="F119" s="10">
        <v>3</v>
      </c>
      <c r="G119" t="s">
        <v>68</v>
      </c>
      <c r="I119" t="s">
        <v>69</v>
      </c>
      <c r="J119" t="s">
        <v>4</v>
      </c>
      <c r="K119">
        <v>1</v>
      </c>
      <c r="L119" t="s">
        <v>70</v>
      </c>
      <c r="M119" t="s">
        <v>6</v>
      </c>
      <c r="N119" t="s">
        <v>11</v>
      </c>
      <c r="O119" t="s">
        <v>7</v>
      </c>
      <c r="P119">
        <v>8</v>
      </c>
    </row>
    <row r="120" spans="1:17" x14ac:dyDescent="0.3">
      <c r="A120" s="2" t="s">
        <v>208</v>
      </c>
      <c r="B120" s="1" t="s">
        <v>437</v>
      </c>
      <c r="C120" s="3" t="s">
        <v>77</v>
      </c>
      <c r="D120" s="1" t="s">
        <v>78</v>
      </c>
      <c r="E120" s="2" t="s">
        <v>331</v>
      </c>
      <c r="F120" s="10">
        <v>1</v>
      </c>
      <c r="G120" t="s">
        <v>15</v>
      </c>
      <c r="I120" t="s">
        <v>79</v>
      </c>
      <c r="J120" t="s">
        <v>4</v>
      </c>
      <c r="K120">
        <v>250</v>
      </c>
      <c r="L120" t="s">
        <v>5</v>
      </c>
      <c r="M120" t="s">
        <v>6</v>
      </c>
      <c r="N120" t="s">
        <v>11</v>
      </c>
    </row>
    <row r="121" spans="1:17" x14ac:dyDescent="0.3">
      <c r="A121" s="2" t="s">
        <v>209</v>
      </c>
      <c r="B121" s="1" t="s">
        <v>438</v>
      </c>
      <c r="C121" s="3" t="s">
        <v>77</v>
      </c>
      <c r="D121" s="1" t="s">
        <v>78</v>
      </c>
      <c r="E121" s="2" t="s">
        <v>332</v>
      </c>
      <c r="F121" s="10">
        <v>1</v>
      </c>
      <c r="G121" t="s">
        <v>9</v>
      </c>
      <c r="I121" t="s">
        <v>79</v>
      </c>
      <c r="J121" t="s">
        <v>4</v>
      </c>
      <c r="K121">
        <v>250</v>
      </c>
      <c r="L121" t="s">
        <v>5</v>
      </c>
      <c r="M121" t="s">
        <v>6</v>
      </c>
      <c r="N121" t="s">
        <v>11</v>
      </c>
    </row>
    <row r="122" spans="1:17" x14ac:dyDescent="0.3">
      <c r="A122" s="2" t="s">
        <v>210</v>
      </c>
      <c r="B122" s="1" t="s">
        <v>439</v>
      </c>
      <c r="C122" s="3" t="s">
        <v>77</v>
      </c>
      <c r="D122" s="1" t="s">
        <v>78</v>
      </c>
      <c r="E122" s="2" t="s">
        <v>333</v>
      </c>
      <c r="F122" s="10">
        <v>1</v>
      </c>
      <c r="G122" t="s">
        <v>9</v>
      </c>
      <c r="I122" t="s">
        <v>79</v>
      </c>
      <c r="J122" t="s">
        <v>4</v>
      </c>
      <c r="K122">
        <v>500</v>
      </c>
      <c r="L122" t="s">
        <v>5</v>
      </c>
      <c r="M122" t="s">
        <v>6</v>
      </c>
      <c r="N122" t="s">
        <v>11</v>
      </c>
    </row>
    <row r="123" spans="1:17" x14ac:dyDescent="0.3">
      <c r="A123" s="2" t="s">
        <v>211</v>
      </c>
      <c r="B123" s="1" t="s">
        <v>440</v>
      </c>
      <c r="C123" s="3" t="s">
        <v>77</v>
      </c>
      <c r="D123" s="1" t="s">
        <v>78</v>
      </c>
      <c r="E123" s="2" t="s">
        <v>334</v>
      </c>
      <c r="F123" s="10">
        <f>96/24</f>
        <v>4</v>
      </c>
      <c r="G123" t="s">
        <v>9</v>
      </c>
      <c r="I123" t="s">
        <v>80</v>
      </c>
      <c r="J123" t="s">
        <v>4</v>
      </c>
      <c r="K123">
        <v>250</v>
      </c>
      <c r="L123" t="s">
        <v>5</v>
      </c>
      <c r="M123" t="s">
        <v>6</v>
      </c>
      <c r="N123" t="s">
        <v>11</v>
      </c>
    </row>
    <row r="124" spans="1:17" x14ac:dyDescent="0.3">
      <c r="A124" s="2" t="s">
        <v>212</v>
      </c>
      <c r="B124" s="1" t="s">
        <v>441</v>
      </c>
      <c r="C124" s="3" t="s">
        <v>77</v>
      </c>
      <c r="D124" s="1" t="s">
        <v>78</v>
      </c>
      <c r="E124" s="2" t="s">
        <v>335</v>
      </c>
      <c r="F124" s="10">
        <f>168/24</f>
        <v>7</v>
      </c>
      <c r="G124" t="s">
        <v>9</v>
      </c>
      <c r="I124" t="s">
        <v>80</v>
      </c>
      <c r="J124" t="s">
        <v>4</v>
      </c>
      <c r="K124">
        <v>500</v>
      </c>
      <c r="L124" t="s">
        <v>5</v>
      </c>
      <c r="M124" t="s">
        <v>6</v>
      </c>
      <c r="N124" t="s">
        <v>11</v>
      </c>
    </row>
  </sheetData>
  <phoneticPr fontId="5" type="noConversion"/>
  <hyperlinks>
    <hyperlink ref="C3" r:id="rId1" xr:uid="{B4000526-BC63-4594-A030-6F60C4D3B01F}"/>
    <hyperlink ref="C2" r:id="rId2" xr:uid="{BB97ADA1-EC06-4632-BEB4-F0F57AC876C6}"/>
    <hyperlink ref="C5" r:id="rId3" xr:uid="{FF4D07FD-AED0-43AB-B3A4-8DD7B8E4137F}"/>
    <hyperlink ref="C4" r:id="rId4" xr:uid="{E0E0E194-969C-4F1F-8E16-103FFAA8F88A}"/>
    <hyperlink ref="C7" r:id="rId5" display="Pharmacokinetics of the 8-methoxyquinolone, moxifloxacin:_x000a_a comparison in humans and other mammalian species" xr:uid="{7001FB7C-A879-4028-8168-E783389590A5}"/>
    <hyperlink ref="C9" r:id="rId6" xr:uid="{62C5CD1D-E0F4-4F65-AF55-E3932B6F45D7}"/>
    <hyperlink ref="C10" r:id="rId7" xr:uid="{F17E5436-78B9-4747-A071-68CEBC17247B}"/>
    <hyperlink ref="C11" r:id="rId8" xr:uid="{0D744AF9-D5BF-44BD-9F05-17548B7AC2F9}"/>
    <hyperlink ref="C12" r:id="rId9" xr:uid="{161C5D54-8B8E-4FF8-9AA7-168DFA6F3049}"/>
    <hyperlink ref="C13" r:id="rId10" xr:uid="{5990F8CB-EA99-4D0B-8015-46C2698FB28F}"/>
    <hyperlink ref="C14" r:id="rId11" xr:uid="{2EA097FC-4BBF-4371-8977-F469330A3012}"/>
    <hyperlink ref="C16" r:id="rId12" xr:uid="{799E1879-682C-48A1-B5D4-6D6C72979D72}"/>
    <hyperlink ref="C15" r:id="rId13" xr:uid="{01D0A36A-A464-4710-BBD9-4B974AAB53F0}"/>
    <hyperlink ref="C17" r:id="rId14" xr:uid="{79A399F3-0BFD-42D9-BCD2-44775AEACE6C}"/>
    <hyperlink ref="C19" r:id="rId15" xr:uid="{0BE74B8C-2511-41F3-9829-D467B7E8F319}"/>
    <hyperlink ref="C18" r:id="rId16" xr:uid="{7CE532F5-C9F2-40B5-88C5-0C697958D43F}"/>
    <hyperlink ref="C20" r:id="rId17" xr:uid="{3C66CC92-08F4-4FF5-AC39-3C3EAB543CED}"/>
    <hyperlink ref="C23" r:id="rId18" xr:uid="{2517690C-B999-4F1D-A7AB-037E9F8B8199}"/>
    <hyperlink ref="C24" r:id="rId19" xr:uid="{D52B2A86-91EF-4BF4-A8E0-F217509C7B11}"/>
    <hyperlink ref="C25" r:id="rId20" xr:uid="{63A7F8E5-3B93-47C8-A279-E95A3715EE9D}"/>
    <hyperlink ref="C26" r:id="rId21" xr:uid="{7A42E6C7-80B2-4715-B023-FE503F780577}"/>
    <hyperlink ref="C27" r:id="rId22" xr:uid="{D6A3581B-C870-4C22-ACDD-6D262B3A261C}"/>
    <hyperlink ref="C28" r:id="rId23" xr:uid="{5ED5AD1E-C97A-4D5D-8F1C-69BFBEF93E68}"/>
    <hyperlink ref="C31" r:id="rId24" xr:uid="{9187815A-36C1-4BA8-8C53-73359FA2EA0A}"/>
    <hyperlink ref="C32" r:id="rId25" xr:uid="{5CAD032A-C2C3-414D-A2D8-680B8EB7F204}"/>
    <hyperlink ref="C29" r:id="rId26" xr:uid="{EAFFC4A6-48B5-4905-8577-5495567580CA}"/>
    <hyperlink ref="C30" r:id="rId27" xr:uid="{8CA6C301-4A62-431A-BF7A-6273FF476886}"/>
    <hyperlink ref="C33" r:id="rId28" xr:uid="{0DBE67F2-25DD-4A89-9700-1BC71B0AB275}"/>
    <hyperlink ref="C34" r:id="rId29" xr:uid="{952DB814-F749-46D1-B3B0-761D37FFF70D}"/>
    <hyperlink ref="C38" r:id="rId30" display="https://citeseerx.ist.psu.edu/document?repid=rep1&amp;type=pdf&amp;doi=d4e42f0fb6287c2b204645dab694010d2388ef25" xr:uid="{165336DA-B9E4-4BDF-A0E3-290915C5B8EB}"/>
    <hyperlink ref="C39" r:id="rId31" display="https://citeseerx.ist.psu.edu/document?repid=rep1&amp;type=pdf&amp;doi=d4e42f0fb6287c2b204645dab694010d2388ef25" xr:uid="{3E9BC0C5-E636-4E3F-954D-849AAA233BEB}"/>
    <hyperlink ref="C37" r:id="rId32" display="https://citeseerx.ist.psu.edu/document?repid=rep1&amp;type=pdf&amp;doi=d4e42f0fb6287c2b204645dab694010d2388ef25" xr:uid="{9F497A1B-528F-47B2-AF4B-3A8DD99B933C}"/>
    <hyperlink ref="C36" r:id="rId33" display="https://citeseerx.ist.psu.edu/document?repid=rep1&amp;type=pdf&amp;doi=d4e42f0fb6287c2b204645dab694010d2388ef25" xr:uid="{5340F2E0-BF7B-4663-8523-8E114CCFF0CA}"/>
    <hyperlink ref="C35" r:id="rId34" display="https://citeseerx.ist.psu.edu/document?repid=rep1&amp;type=pdf&amp;doi=d4e42f0fb6287c2b204645dab694010d2388ef25" xr:uid="{10467000-2A4C-452E-986E-1888E41BA532}"/>
    <hyperlink ref="C40" r:id="rId35" xr:uid="{350DB34C-D92E-4828-9D8B-C0CD2F23D41D}"/>
    <hyperlink ref="C41" r:id="rId36" xr:uid="{DADF8B6E-BFB4-4AA2-A48F-C364BAC02C97}"/>
    <hyperlink ref="C42" r:id="rId37" xr:uid="{B8F96AE2-AF06-4A88-85B2-3E3FA74D3C52}"/>
    <hyperlink ref="C43" r:id="rId38" xr:uid="{2C3C3ABD-6EE2-42E3-ACED-C0108F1FFA63}"/>
    <hyperlink ref="C49" r:id="rId39" xr:uid="{876EE43A-4807-4A46-B052-CD5613C1D8EC}"/>
    <hyperlink ref="C50" r:id="rId40" xr:uid="{EE7E664C-7B84-4861-B49A-9112404D688E}"/>
    <hyperlink ref="C51" r:id="rId41" xr:uid="{D7F2C859-634D-4612-9EE2-6023E4C68B91}"/>
    <hyperlink ref="C44" r:id="rId42" xr:uid="{3DBD440C-FAFB-475C-9E96-E722CCD503C7}"/>
    <hyperlink ref="C45" r:id="rId43" xr:uid="{F0CD847B-2175-428B-A25E-8E0B44A607C8}"/>
    <hyperlink ref="C46" r:id="rId44" xr:uid="{4F181B5D-F49C-4DAB-ADEA-7B748F8EF35D}"/>
    <hyperlink ref="C48" r:id="rId45" xr:uid="{53151FFD-8EAA-468E-89A1-82BC1F578F6A}"/>
    <hyperlink ref="C47" r:id="rId46" xr:uid="{922C86E8-1B9C-40BC-81E3-B99B324EF0A4}"/>
    <hyperlink ref="C57" r:id="rId47" display="Single- and Multiple-Dose Pharmacokinetics and Absolute_x000a_Bioavailability of Tedizolid" xr:uid="{03633C46-3D39-4A0C-AFAC-8BB6ACBF4410}"/>
    <hyperlink ref="C52:C56" r:id="rId48" display="Single- and Multiple-Dose Pharmacokinetics and Absolute_x000a_Bioavailability of Tedizolid" xr:uid="{99FDCB3F-01AB-4F62-9E27-9D4D3EEC0BEF}"/>
    <hyperlink ref="C59" r:id="rId49" xr:uid="{00E094A6-3910-4983-AEDD-6119FE3441C3}"/>
    <hyperlink ref="C62" r:id="rId50" xr:uid="{43421CA2-58EF-479B-8F30-A8441423D31E}"/>
    <hyperlink ref="C63" r:id="rId51" xr:uid="{15875EF5-53E9-485D-96AE-28516485BD50}"/>
    <hyperlink ref="C67" r:id="rId52" xr:uid="{EEAAE53E-FD07-4D0D-8688-93F3C01B3494}"/>
    <hyperlink ref="C68" r:id="rId53" xr:uid="{1907530F-F2B7-4D6C-A237-D056210155AA}"/>
    <hyperlink ref="C64" r:id="rId54" xr:uid="{E47FAB86-9194-45E5-BE4F-FA3FA72A5F85}"/>
    <hyperlink ref="C66" r:id="rId55" xr:uid="{11B79F4F-2CC7-4FFF-BE13-0819D988EA99}"/>
    <hyperlink ref="C69" r:id="rId56" xr:uid="{6DF7EB5C-1567-4933-A5DC-873BD04687A7}"/>
    <hyperlink ref="C70:C74" r:id="rId57" display="Safety, Tolerability, Pharmacokinetics, and Metabolism ofTelacebec (Q203) for the Treatment of Tuberculosis: aRandomized, Placebo-Controlled, Multiple Ascending DosePhase 1B Trial" xr:uid="{DA625652-F58E-45E0-A74F-CAB192B62AF8}"/>
    <hyperlink ref="C76" r:id="rId58" xr:uid="{129B2316-4073-4996-9E21-E5986647A1BD}"/>
    <hyperlink ref="C75" r:id="rId59" display="https://pmc.ncbi.nlm.nih.gov/articles/PMC6544242/" xr:uid="{13639016-B4C3-4F15-9208-D6C9F1772E0B}"/>
    <hyperlink ref="C77" r:id="rId60" xr:uid="{08DF05F4-2FD7-4DC9-8D0F-CA4B5B211FF2}"/>
    <hyperlink ref="C78" r:id="rId61" xr:uid="{E926F1DE-C00C-48ED-82ED-C5219A03D0CD}"/>
    <hyperlink ref="C79" r:id="rId62" xr:uid="{ED036030-1C6E-47B4-AB95-B901DB7216CA}"/>
    <hyperlink ref="C80" r:id="rId63" xr:uid="{51CE5E3A-2ABD-4CF3-AADF-4DFBBDC2696E}"/>
    <hyperlink ref="C81" r:id="rId64" xr:uid="{D8D2047E-8A3E-4826-AA13-A65B3F8B8370}"/>
    <hyperlink ref="C82" r:id="rId65" xr:uid="{7F9C93A2-1C43-43E5-A0F4-4E8FB6050069}"/>
    <hyperlink ref="C83" r:id="rId66" xr:uid="{CE4A9EAB-B39F-4D22-8CDE-FE872B32E5F9}"/>
    <hyperlink ref="C84" r:id="rId67" xr:uid="{2B8B444D-D949-4E1D-99A6-F5020063E7E9}"/>
    <hyperlink ref="C85" r:id="rId68" xr:uid="{BF90105A-1BEF-4EC2-A39F-3CBD92A50FBD}"/>
    <hyperlink ref="C86" r:id="rId69" xr:uid="{CB84D9FA-1DD3-44EB-B307-9DC1DF907FC8}"/>
    <hyperlink ref="C89" r:id="rId70" xr:uid="{182C4173-3C47-46CC-A5F8-647C73DE1EE0}"/>
    <hyperlink ref="C87" r:id="rId71" xr:uid="{1487C369-4CAC-4EAE-9137-584B35E8F696}"/>
    <hyperlink ref="C88" r:id="rId72" xr:uid="{DAA319B2-C692-499C-8429-085258F6E8D8}"/>
    <hyperlink ref="C90" r:id="rId73" xr:uid="{19D710FC-41D8-4B72-B314-EF1D8898787E}"/>
    <hyperlink ref="C91:C104" r:id="rId74" display="EMA report" xr:uid="{592550B8-4D35-4444-81C2-74B82EB26FE9}"/>
    <hyperlink ref="C98:C100" r:id="rId75" display="EMA report" xr:uid="{EF91D33B-82A6-46D1-86E1-F609B98B89BC}"/>
    <hyperlink ref="C96:C97" r:id="rId76" display="EMA report" xr:uid="{76E72728-BF3B-4228-92C4-62B8DE8A1446}"/>
    <hyperlink ref="C101" r:id="rId77" xr:uid="{48A62B30-DA3B-4FD0-878A-307B400A3975}"/>
    <hyperlink ref="C91:C103" r:id="rId78" display="EMA report" xr:uid="{C33CB08C-3719-4AB0-B5EF-A4E8EFD0BBDF}"/>
    <hyperlink ref="C92:C103" r:id="rId79" display="EMA report" xr:uid="{9E07E8AE-52B2-4F12-936A-A42EA6D2E9D2}"/>
    <hyperlink ref="C107" r:id="rId80" xr:uid="{6B5A73AE-0AA7-4228-AF3D-FE5A6B148876}"/>
    <hyperlink ref="C109" r:id="rId81" xr:uid="{71611490-E7B1-4096-A46A-1F963F0635CF}"/>
    <hyperlink ref="C111" r:id="rId82" xr:uid="{40A4B039-3E9C-4A87-9151-1856AE3EE660}"/>
    <hyperlink ref="C106" r:id="rId83" xr:uid="{1B396C0F-9B34-4948-9261-3B96AA1FF60B}"/>
    <hyperlink ref="C108" r:id="rId84" xr:uid="{3E392BEF-8D77-4F98-945D-4EE3A26203D9}"/>
    <hyperlink ref="C110" r:id="rId85" xr:uid="{FA54AE89-68BC-4F66-99D2-AB8BE133E4E5}"/>
    <hyperlink ref="C112" r:id="rId86" xr:uid="{6ECEE87F-7132-442C-8C77-7C59785961A7}"/>
    <hyperlink ref="C113" r:id="rId87" xr:uid="{08BEB257-4A1F-4272-9E5F-4D2FF0602E71}"/>
    <hyperlink ref="C119" r:id="rId88" xr:uid="{51E578F5-EC3B-4E24-9217-647C8A1CF790}"/>
    <hyperlink ref="C114" r:id="rId89" xr:uid="{CE5E6365-49DE-4204-8E78-E055DB859625}"/>
    <hyperlink ref="C117" r:id="rId90" xr:uid="{FB1F8652-4143-460A-A880-398897A04C55}"/>
    <hyperlink ref="C115" r:id="rId91" xr:uid="{D9280EFD-C805-4217-BB65-0B53AFDD9366}"/>
    <hyperlink ref="C118" r:id="rId92" xr:uid="{8B2BE3D0-BF0C-4AFA-972E-1EEB2C7D75FB}"/>
    <hyperlink ref="C116" r:id="rId93" xr:uid="{7F3DA1D9-1438-41CC-B4BB-C545003C457B}"/>
    <hyperlink ref="C120" r:id="rId94" xr:uid="{6FA49466-12E0-4C2F-8EE8-061CFD03A969}"/>
    <hyperlink ref="C121" r:id="rId95" xr:uid="{C28981DF-0E94-4887-A623-6AF83BF72D68}"/>
    <hyperlink ref="C123" r:id="rId96" xr:uid="{18C4B556-23A9-4AB9-8BF9-35FBDD54888A}"/>
    <hyperlink ref="C6" r:id="rId97" xr:uid="{DEEB2ED2-D9CB-4887-BC3A-8BA75B03B00E}"/>
    <hyperlink ref="C8" r:id="rId98" display="Pharmacokinetics of the 8-methoxyquinolone, moxifloxacin:_x000a_a comparison in humans and other mammalian species" xr:uid="{77BA85F5-4B59-4D07-800B-1A4AA09306A3}"/>
    <hyperlink ref="C21" r:id="rId99" xr:uid="{C7148B06-60E2-475C-9E2A-8FA882ADB178}"/>
    <hyperlink ref="C22" r:id="rId100" xr:uid="{7CB387B0-BDF7-4AFF-907C-22B954C4DE2A}"/>
    <hyperlink ref="C60" r:id="rId101" xr:uid="{D91C1E88-4B29-4CE1-BE2A-BE90553EC9F3}"/>
    <hyperlink ref="C61" r:id="rId102" xr:uid="{67159605-69CB-49F6-BB34-5D6AF867A07C}"/>
    <hyperlink ref="C58" r:id="rId103" display="Single- and Multiple-Dose Pharmacokinetics and Absolute_x000a_Bioavailability of Tedizolid" xr:uid="{651C5F15-F7A2-4476-92D4-2CFB79286A50}"/>
    <hyperlink ref="C65" r:id="rId104" xr:uid="{FF22EC20-3B49-4D0E-89C3-0F2C3A067DAA}"/>
    <hyperlink ref="C105" r:id="rId105" xr:uid="{8A6DB84F-45AF-4E99-A5DB-E41AC536AD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C100-15C9-4613-AFA3-002E3EDEC385}">
  <dimension ref="A1:T13"/>
  <sheetViews>
    <sheetView workbookViewId="0">
      <selection sqref="A1:T13"/>
    </sheetView>
  </sheetViews>
  <sheetFormatPr defaultRowHeight="14.4" x14ac:dyDescent="0.3"/>
  <cols>
    <col min="1" max="1" width="11.33203125" customWidth="1"/>
    <col min="2" max="2" width="11.21875" customWidth="1"/>
    <col min="3" max="3" width="11.6640625" customWidth="1"/>
    <col min="5" max="5" width="4.6640625" customWidth="1"/>
    <col min="6" max="6" width="4.21875" customWidth="1"/>
    <col min="7" max="7" width="4.109375" customWidth="1"/>
    <col min="8" max="8" width="3.109375" customWidth="1"/>
    <col min="9" max="9" width="11.109375" customWidth="1"/>
    <col min="16" max="16" width="9" customWidth="1"/>
  </cols>
  <sheetData>
    <row r="1" spans="1:20" x14ac:dyDescent="0.3">
      <c r="A1" t="s">
        <v>461</v>
      </c>
      <c r="B1" t="s">
        <v>85</v>
      </c>
      <c r="C1" t="s">
        <v>471</v>
      </c>
      <c r="D1" t="s">
        <v>466</v>
      </c>
      <c r="E1" t="s">
        <v>462</v>
      </c>
      <c r="F1" t="s">
        <v>463</v>
      </c>
      <c r="G1" t="s">
        <v>464</v>
      </c>
      <c r="H1" t="s">
        <v>465</v>
      </c>
      <c r="I1" t="s">
        <v>467</v>
      </c>
      <c r="J1" t="s">
        <v>503</v>
      </c>
      <c r="K1" t="s">
        <v>505</v>
      </c>
      <c r="L1" t="s">
        <v>504</v>
      </c>
      <c r="M1" t="s">
        <v>497</v>
      </c>
      <c r="N1" t="s">
        <v>498</v>
      </c>
      <c r="O1" t="s">
        <v>506</v>
      </c>
      <c r="P1" t="s">
        <v>502</v>
      </c>
      <c r="Q1" t="s">
        <v>507</v>
      </c>
      <c r="R1" t="s">
        <v>500</v>
      </c>
      <c r="S1" t="s">
        <v>499</v>
      </c>
      <c r="T1" t="s">
        <v>501</v>
      </c>
    </row>
    <row r="2" spans="1:20" x14ac:dyDescent="0.3">
      <c r="A2" t="s">
        <v>472</v>
      </c>
      <c r="B2" t="s">
        <v>1</v>
      </c>
      <c r="C2" s="12">
        <v>135398735</v>
      </c>
      <c r="D2" t="s">
        <v>484</v>
      </c>
      <c r="E2">
        <v>0</v>
      </c>
      <c r="F2">
        <v>0</v>
      </c>
      <c r="G2">
        <v>0</v>
      </c>
      <c r="H2">
        <v>0</v>
      </c>
      <c r="I2">
        <v>822.41</v>
      </c>
      <c r="J2">
        <v>-3.3317233161650699</v>
      </c>
      <c r="K2" s="14">
        <v>1.6300922551985999</v>
      </c>
      <c r="L2" s="13">
        <v>1.4873654454262299</v>
      </c>
      <c r="M2" s="13">
        <v>7.5228295243850098</v>
      </c>
      <c r="N2" s="13">
        <v>6.1667714882820803</v>
      </c>
      <c r="O2">
        <v>-5.3548036665641998</v>
      </c>
      <c r="P2">
        <v>-4.9431108569614501</v>
      </c>
      <c r="Q2" s="13">
        <v>0.99962019920349099</v>
      </c>
      <c r="R2" s="13">
        <v>84.069872412007896</v>
      </c>
      <c r="S2" s="13">
        <v>18.095829778966198</v>
      </c>
      <c r="T2" s="13">
        <v>1.90813573699224</v>
      </c>
    </row>
    <row r="3" spans="1:20" x14ac:dyDescent="0.3">
      <c r="A3" t="s">
        <v>473</v>
      </c>
      <c r="B3" s="1" t="s">
        <v>14</v>
      </c>
      <c r="C3">
        <v>152946</v>
      </c>
      <c r="D3" t="s">
        <v>485</v>
      </c>
      <c r="E3">
        <v>0</v>
      </c>
      <c r="F3">
        <v>0</v>
      </c>
      <c r="G3">
        <v>1</v>
      </c>
      <c r="H3">
        <v>0</v>
      </c>
      <c r="I3">
        <v>401.18</v>
      </c>
      <c r="J3">
        <v>-1.86025253838631</v>
      </c>
      <c r="K3" s="14">
        <v>1.4128455765108701</v>
      </c>
      <c r="L3" s="13">
        <v>0.44918302041678398</v>
      </c>
      <c r="M3" s="13">
        <v>5.5811673057164999</v>
      </c>
      <c r="N3" s="13">
        <v>6.07178159657966</v>
      </c>
      <c r="O3">
        <v>-5.6493160896659802</v>
      </c>
      <c r="P3">
        <v>-5.1348713520813103</v>
      </c>
      <c r="Q3" s="13">
        <v>0.96050763130187899</v>
      </c>
      <c r="R3" s="13">
        <v>44.733909224707702</v>
      </c>
      <c r="S3" s="13">
        <v>53.095262954739503</v>
      </c>
      <c r="T3" s="13">
        <v>1.77281034728678</v>
      </c>
    </row>
    <row r="4" spans="1:20" x14ac:dyDescent="0.3">
      <c r="A4" t="s">
        <v>474</v>
      </c>
      <c r="B4" s="1" t="s">
        <v>22</v>
      </c>
      <c r="C4">
        <v>5388906</v>
      </c>
      <c r="D4" t="s">
        <v>486</v>
      </c>
      <c r="E4">
        <v>0</v>
      </c>
      <c r="F4">
        <v>1</v>
      </c>
      <c r="G4">
        <v>0</v>
      </c>
      <c r="H4">
        <v>0</v>
      </c>
      <c r="I4">
        <v>554.16</v>
      </c>
      <c r="J4">
        <v>-5.1839346969587696</v>
      </c>
      <c r="K4" s="14">
        <v>4.0328415018399602</v>
      </c>
      <c r="L4" s="13">
        <v>4.9841337787279096</v>
      </c>
      <c r="M4" s="13">
        <v>10.1433944687536</v>
      </c>
      <c r="N4" s="13">
        <v>8.2121345931120704</v>
      </c>
      <c r="O4">
        <v>-4.6825130746749197</v>
      </c>
      <c r="P4">
        <v>-4.7414136775290796</v>
      </c>
      <c r="Q4">
        <v>5.9402726590633302E-2</v>
      </c>
      <c r="R4" s="13">
        <v>99.447094945714596</v>
      </c>
      <c r="S4" s="13">
        <v>0.26996751953250397</v>
      </c>
      <c r="T4" s="13">
        <v>7.8471630150551404</v>
      </c>
    </row>
    <row r="5" spans="1:20" x14ac:dyDescent="0.3">
      <c r="A5" t="s">
        <v>475</v>
      </c>
      <c r="B5" s="1" t="s">
        <v>31</v>
      </c>
      <c r="C5">
        <v>441401</v>
      </c>
      <c r="D5" t="s">
        <v>487</v>
      </c>
      <c r="E5">
        <v>0</v>
      </c>
      <c r="F5">
        <v>0</v>
      </c>
      <c r="G5">
        <v>1</v>
      </c>
      <c r="H5">
        <v>0</v>
      </c>
      <c r="I5">
        <v>337.14</v>
      </c>
      <c r="J5">
        <v>-1.6263124678955601</v>
      </c>
      <c r="K5" s="14">
        <v>0.77586870711897604</v>
      </c>
      <c r="L5" s="13">
        <v>0.53743368801399405</v>
      </c>
      <c r="M5" s="13">
        <v>8.9369289820932298</v>
      </c>
      <c r="N5" s="13">
        <v>3.4819065678860102</v>
      </c>
      <c r="O5">
        <v>-4.8749605961618299</v>
      </c>
      <c r="P5">
        <v>-4.56863050568868</v>
      </c>
      <c r="Q5" s="13">
        <v>0.77879327535629195</v>
      </c>
      <c r="R5" s="13">
        <v>25.747137165469901</v>
      </c>
      <c r="S5" s="13">
        <v>75.287577051951601</v>
      </c>
      <c r="T5" s="13">
        <v>0.92386954516599795</v>
      </c>
    </row>
    <row r="6" spans="1:20" x14ac:dyDescent="0.3">
      <c r="A6" t="s">
        <v>476</v>
      </c>
      <c r="B6" s="1" t="s">
        <v>37</v>
      </c>
      <c r="C6">
        <v>465951</v>
      </c>
      <c r="D6" t="s">
        <v>488</v>
      </c>
      <c r="E6">
        <v>0</v>
      </c>
      <c r="F6">
        <v>0</v>
      </c>
      <c r="G6">
        <v>1</v>
      </c>
      <c r="H6">
        <v>0</v>
      </c>
      <c r="I6">
        <v>353.12</v>
      </c>
      <c r="J6">
        <v>-2.5410198283362901</v>
      </c>
      <c r="K6" s="14">
        <v>1.47008149446782</v>
      </c>
      <c r="L6" s="13">
        <v>1.12187653953788</v>
      </c>
      <c r="M6" s="13">
        <v>7.78201310292242</v>
      </c>
      <c r="N6" s="13">
        <v>2.7351306530551298</v>
      </c>
      <c r="O6">
        <v>-4.8763988999160697</v>
      </c>
      <c r="P6">
        <v>-4.6054486580327403</v>
      </c>
      <c r="Q6" s="13">
        <v>0.18294650316238401</v>
      </c>
      <c r="R6" s="13">
        <v>81.193817639423202</v>
      </c>
      <c r="S6" s="13">
        <v>14.3287468786584</v>
      </c>
      <c r="T6" s="13">
        <v>1.4157629588089</v>
      </c>
    </row>
    <row r="7" spans="1:20" x14ac:dyDescent="0.3">
      <c r="A7" t="s">
        <v>477</v>
      </c>
      <c r="B7" s="1" t="s">
        <v>39</v>
      </c>
      <c r="C7">
        <v>11234049</v>
      </c>
      <c r="D7" t="s">
        <v>489</v>
      </c>
      <c r="E7">
        <v>0</v>
      </c>
      <c r="F7">
        <v>0</v>
      </c>
      <c r="G7">
        <v>1</v>
      </c>
      <c r="H7">
        <v>0</v>
      </c>
      <c r="I7">
        <v>370.12</v>
      </c>
      <c r="J7">
        <v>-3.3804114669194401</v>
      </c>
      <c r="K7" s="14">
        <v>1.6644171248545701</v>
      </c>
      <c r="L7" s="13">
        <v>1.2676669012471899</v>
      </c>
      <c r="M7">
        <v>7.6363421552337201</v>
      </c>
      <c r="N7" s="13">
        <v>3.8316811326225801</v>
      </c>
      <c r="O7">
        <v>-5.0000795105320304</v>
      </c>
      <c r="P7">
        <v>-4.6230981002988303</v>
      </c>
      <c r="Q7" s="13">
        <v>0.910458624362945</v>
      </c>
      <c r="R7" s="13">
        <v>83.210401249121006</v>
      </c>
      <c r="S7">
        <v>12.983233992824401</v>
      </c>
      <c r="T7" s="13">
        <v>1.1441648494739101</v>
      </c>
    </row>
    <row r="8" spans="1:20" x14ac:dyDescent="0.3">
      <c r="A8" t="s">
        <v>478</v>
      </c>
      <c r="B8" s="1" t="s">
        <v>46</v>
      </c>
      <c r="C8">
        <v>68234908</v>
      </c>
      <c r="D8" t="s">
        <v>490</v>
      </c>
      <c r="E8">
        <v>1</v>
      </c>
      <c r="F8">
        <v>0</v>
      </c>
      <c r="G8">
        <v>3</v>
      </c>
      <c r="H8">
        <v>0</v>
      </c>
      <c r="I8">
        <v>556.19000000000005</v>
      </c>
      <c r="J8">
        <v>-6.91764388716296</v>
      </c>
      <c r="K8" s="14">
        <v>4.6320513995896304</v>
      </c>
      <c r="L8" s="13">
        <v>6.26444801983064</v>
      </c>
      <c r="M8" s="13">
        <v>10.560705699261399</v>
      </c>
      <c r="N8" s="13">
        <v>4.8515440501139304</v>
      </c>
      <c r="O8">
        <v>-4.7281721162798602</v>
      </c>
      <c r="P8">
        <v>-4.57658018441533</v>
      </c>
      <c r="Q8">
        <v>4.3086870573461002E-4</v>
      </c>
      <c r="R8" s="13">
        <v>99.585217576481298</v>
      </c>
      <c r="S8" s="13">
        <v>0.23909228291733201</v>
      </c>
      <c r="T8" s="13">
        <v>5.48712591680333</v>
      </c>
    </row>
    <row r="9" spans="1:20" x14ac:dyDescent="0.3">
      <c r="A9" t="s">
        <v>479</v>
      </c>
      <c r="B9" s="1" t="s">
        <v>50</v>
      </c>
      <c r="C9">
        <v>57331386</v>
      </c>
      <c r="D9" t="s">
        <v>491</v>
      </c>
      <c r="E9">
        <v>0</v>
      </c>
      <c r="F9">
        <v>0</v>
      </c>
      <c r="G9">
        <v>3</v>
      </c>
      <c r="H9">
        <v>0</v>
      </c>
      <c r="I9">
        <v>456.14</v>
      </c>
      <c r="J9">
        <v>-4.8106435163570502</v>
      </c>
      <c r="K9" s="14">
        <v>3.5021567628991601</v>
      </c>
      <c r="L9" s="13">
        <v>3.8612577509777601</v>
      </c>
      <c r="M9" s="13">
        <v>8.1691906655370303</v>
      </c>
      <c r="N9">
        <v>4.8600811364198098</v>
      </c>
      <c r="O9">
        <v>-4.7801132754037301</v>
      </c>
      <c r="P9">
        <v>-4.7361129241074504</v>
      </c>
      <c r="Q9">
        <v>6.9972715573385304E-4</v>
      </c>
      <c r="R9">
        <v>98.475878219543603</v>
      </c>
      <c r="S9" s="13">
        <v>1.40006945184184</v>
      </c>
      <c r="T9" s="13">
        <v>4.6125211880954398</v>
      </c>
    </row>
    <row r="10" spans="1:20" x14ac:dyDescent="0.3">
      <c r="A10" t="s">
        <v>480</v>
      </c>
      <c r="B10" s="1" t="s">
        <v>492</v>
      </c>
      <c r="C10">
        <v>456199</v>
      </c>
      <c r="D10" t="s">
        <v>493</v>
      </c>
      <c r="E10">
        <v>0</v>
      </c>
      <c r="F10">
        <v>0</v>
      </c>
      <c r="G10">
        <v>3</v>
      </c>
      <c r="H10">
        <v>0</v>
      </c>
      <c r="I10">
        <v>359.07</v>
      </c>
      <c r="J10">
        <v>-3.1062696047351901</v>
      </c>
      <c r="K10" s="14">
        <v>2.6341361503423002</v>
      </c>
      <c r="L10" s="13">
        <v>2.4849331460648001</v>
      </c>
      <c r="M10" s="13">
        <v>6.6642279454099</v>
      </c>
      <c r="N10" s="13">
        <v>4.7351147836405403</v>
      </c>
      <c r="O10">
        <v>-4.5370034848154104</v>
      </c>
      <c r="P10">
        <v>-3.8441072363323401</v>
      </c>
      <c r="Q10" s="13">
        <v>0.50545960664749101</v>
      </c>
      <c r="R10" s="13">
        <v>69.705967090804194</v>
      </c>
      <c r="S10" s="13">
        <v>21.766162643674601</v>
      </c>
      <c r="T10">
        <v>4.3585120901654699</v>
      </c>
    </row>
    <row r="11" spans="1:20" x14ac:dyDescent="0.3">
      <c r="A11" t="s">
        <v>481</v>
      </c>
      <c r="B11" s="1" t="s">
        <v>58</v>
      </c>
      <c r="C11">
        <v>6480466</v>
      </c>
      <c r="D11" t="s">
        <v>494</v>
      </c>
      <c r="E11">
        <v>0</v>
      </c>
      <c r="F11">
        <v>0</v>
      </c>
      <c r="G11">
        <v>3</v>
      </c>
      <c r="H11">
        <v>0</v>
      </c>
      <c r="I11">
        <v>534.16999999999996</v>
      </c>
      <c r="J11">
        <v>-6.70511033512713</v>
      </c>
      <c r="K11" s="14">
        <v>4.0668654024961102</v>
      </c>
      <c r="L11" s="13">
        <v>5.22833564872853</v>
      </c>
      <c r="M11" s="13">
        <v>9.5109507614394193</v>
      </c>
      <c r="N11" s="13">
        <v>4.9028125607937199</v>
      </c>
      <c r="O11">
        <v>-4.52807015640707</v>
      </c>
      <c r="P11">
        <v>-4.1047717327330497</v>
      </c>
      <c r="Q11">
        <v>4.3693380430340698E-3</v>
      </c>
      <c r="R11" s="13">
        <v>97.093097978382303</v>
      </c>
      <c r="S11" s="13">
        <v>2.25216667456578</v>
      </c>
      <c r="T11" s="13">
        <v>6.5104480945787904</v>
      </c>
    </row>
    <row r="12" spans="1:20" x14ac:dyDescent="0.3">
      <c r="A12" t="s">
        <v>482</v>
      </c>
      <c r="B12" s="1" t="s">
        <v>65</v>
      </c>
      <c r="C12">
        <v>441130</v>
      </c>
      <c r="D12" t="s">
        <v>495</v>
      </c>
      <c r="E12">
        <v>0</v>
      </c>
      <c r="F12">
        <v>0</v>
      </c>
      <c r="G12">
        <v>0</v>
      </c>
      <c r="H12">
        <v>0</v>
      </c>
      <c r="I12">
        <v>383.15</v>
      </c>
      <c r="J12">
        <v>-1.6428775087848799</v>
      </c>
      <c r="K12" s="14">
        <v>0.63611517357362002</v>
      </c>
      <c r="L12">
        <v>-0.36884614374584002</v>
      </c>
      <c r="M12" s="13">
        <v>4.5271934004897396</v>
      </c>
      <c r="N12" s="13">
        <v>5.8344618965244104</v>
      </c>
      <c r="O12">
        <v>-5.7091418573525496</v>
      </c>
      <c r="P12">
        <v>-5.1590349354336604</v>
      </c>
      <c r="Q12" s="13">
        <v>0.99853706359863204</v>
      </c>
      <c r="R12">
        <v>6.2232679777188196</v>
      </c>
      <c r="S12" s="13">
        <v>96.352149379319798</v>
      </c>
      <c r="T12" s="13">
        <v>2.2550861723622901</v>
      </c>
    </row>
    <row r="13" spans="1:20" x14ac:dyDescent="0.3">
      <c r="A13" t="s">
        <v>483</v>
      </c>
      <c r="B13" s="1" t="s">
        <v>78</v>
      </c>
      <c r="C13">
        <v>84029</v>
      </c>
      <c r="D13" t="s">
        <v>496</v>
      </c>
      <c r="E13">
        <v>0</v>
      </c>
      <c r="F13">
        <v>0</v>
      </c>
      <c r="G13">
        <v>0</v>
      </c>
      <c r="H13">
        <v>0</v>
      </c>
      <c r="I13">
        <v>747.48</v>
      </c>
      <c r="J13">
        <v>-3.12563211659812</v>
      </c>
      <c r="K13" s="11">
        <v>2.6731522451398302</v>
      </c>
      <c r="L13" s="13">
        <v>2.2367395250277</v>
      </c>
      <c r="M13" s="13">
        <v>6.3741338866687904</v>
      </c>
      <c r="N13" s="13">
        <v>6.4821529601581496</v>
      </c>
      <c r="O13">
        <v>-5.5031805477952398</v>
      </c>
      <c r="P13">
        <v>-5.1636731397105002</v>
      </c>
      <c r="Q13" s="13">
        <v>0.999492287635803</v>
      </c>
      <c r="R13" s="13">
        <v>47.260362958492898</v>
      </c>
      <c r="S13">
        <v>51.101120549870501</v>
      </c>
      <c r="T13" s="13">
        <v>8.2586794743449694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69EB-0457-464F-9729-86A6E8F6E585}">
  <dimension ref="A1:N133"/>
  <sheetViews>
    <sheetView workbookViewId="0">
      <selection activeCell="H141" sqref="H141"/>
    </sheetView>
  </sheetViews>
  <sheetFormatPr defaultRowHeight="14.4" x14ac:dyDescent="0.3"/>
  <cols>
    <col min="1" max="2" width="10.6640625" style="1" customWidth="1"/>
    <col min="4" max="4" width="15.44140625" customWidth="1"/>
    <col min="5" max="5" width="5.33203125" customWidth="1"/>
    <col min="6" max="6" width="5.44140625" customWidth="1"/>
    <col min="7" max="7" width="5" customWidth="1"/>
    <col min="8" max="8" width="6.88671875" customWidth="1"/>
    <col min="9" max="9" width="8.88671875" customWidth="1"/>
    <col min="10" max="11" width="16.33203125" customWidth="1"/>
    <col min="12" max="12" width="8.33203125" customWidth="1"/>
    <col min="13" max="13" width="11.88671875" customWidth="1"/>
    <col min="14" max="14" width="13.6640625" customWidth="1"/>
  </cols>
  <sheetData>
    <row r="1" spans="1:14" x14ac:dyDescent="0.3">
      <c r="A1" s="1" t="s">
        <v>91</v>
      </c>
      <c r="B1" s="1" t="s">
        <v>85</v>
      </c>
      <c r="C1" t="s">
        <v>89</v>
      </c>
      <c r="D1" t="s">
        <v>558</v>
      </c>
      <c r="E1" t="s">
        <v>469</v>
      </c>
      <c r="F1" t="s">
        <v>470</v>
      </c>
      <c r="G1" t="s">
        <v>525</v>
      </c>
      <c r="H1" t="s">
        <v>526</v>
      </c>
      <c r="I1" t="s">
        <v>538</v>
      </c>
      <c r="J1" t="s">
        <v>541</v>
      </c>
      <c r="K1" t="s">
        <v>539</v>
      </c>
      <c r="L1" t="s">
        <v>600</v>
      </c>
      <c r="M1" t="s">
        <v>523</v>
      </c>
      <c r="N1" t="s">
        <v>90</v>
      </c>
    </row>
    <row r="2" spans="1:14" x14ac:dyDescent="0.3">
      <c r="A2" s="2" t="s">
        <v>213</v>
      </c>
      <c r="B2" s="2" t="s">
        <v>1</v>
      </c>
      <c r="C2" t="s">
        <v>594</v>
      </c>
      <c r="D2" t="s">
        <v>3</v>
      </c>
      <c r="E2">
        <v>300</v>
      </c>
      <c r="F2" t="s">
        <v>5</v>
      </c>
      <c r="I2">
        <v>0</v>
      </c>
    </row>
    <row r="3" spans="1:14" x14ac:dyDescent="0.3">
      <c r="A3" s="2" t="s">
        <v>214</v>
      </c>
      <c r="B3" s="2" t="s">
        <v>1</v>
      </c>
      <c r="C3" t="s">
        <v>594</v>
      </c>
      <c r="D3" t="s">
        <v>3</v>
      </c>
      <c r="E3">
        <v>600</v>
      </c>
      <c r="F3" t="s">
        <v>5</v>
      </c>
      <c r="I3">
        <v>0</v>
      </c>
    </row>
    <row r="4" spans="1:14" x14ac:dyDescent="0.3">
      <c r="A4" s="2" t="s">
        <v>215</v>
      </c>
      <c r="B4" s="2" t="s">
        <v>1</v>
      </c>
      <c r="C4" t="s">
        <v>595</v>
      </c>
      <c r="D4" t="s">
        <v>3</v>
      </c>
      <c r="E4">
        <v>600</v>
      </c>
      <c r="F4" t="s">
        <v>5</v>
      </c>
      <c r="I4">
        <v>0</v>
      </c>
      <c r="L4" s="11">
        <v>3.37</v>
      </c>
      <c r="M4" s="11"/>
      <c r="N4" t="s">
        <v>508</v>
      </c>
    </row>
    <row r="5" spans="1:14" x14ac:dyDescent="0.3">
      <c r="A5" s="2" t="s">
        <v>216</v>
      </c>
      <c r="B5" s="2" t="s">
        <v>1</v>
      </c>
      <c r="C5" t="s">
        <v>595</v>
      </c>
      <c r="D5" t="s">
        <v>3</v>
      </c>
      <c r="E5">
        <v>600</v>
      </c>
      <c r="F5" t="s">
        <v>5</v>
      </c>
      <c r="I5">
        <v>0</v>
      </c>
      <c r="L5" s="11">
        <v>3.37</v>
      </c>
      <c r="M5" s="11"/>
      <c r="N5" t="s">
        <v>509</v>
      </c>
    </row>
    <row r="6" spans="1:14" x14ac:dyDescent="0.3">
      <c r="A6" s="2" t="s">
        <v>217</v>
      </c>
      <c r="B6" s="2" t="s">
        <v>1</v>
      </c>
      <c r="C6" t="s">
        <v>595</v>
      </c>
      <c r="D6" t="s">
        <v>520</v>
      </c>
      <c r="E6">
        <v>600</v>
      </c>
      <c r="F6" t="s">
        <v>5</v>
      </c>
      <c r="I6">
        <v>0</v>
      </c>
      <c r="J6">
        <v>24</v>
      </c>
      <c r="K6">
        <v>8</v>
      </c>
    </row>
    <row r="7" spans="1:14" x14ac:dyDescent="0.3">
      <c r="A7" s="2" t="s">
        <v>218</v>
      </c>
      <c r="B7" s="2" t="s">
        <v>14</v>
      </c>
      <c r="C7" t="s">
        <v>596</v>
      </c>
      <c r="D7" t="s">
        <v>3</v>
      </c>
      <c r="E7">
        <v>100</v>
      </c>
      <c r="F7" t="s">
        <v>5</v>
      </c>
      <c r="G7">
        <v>1.2</v>
      </c>
      <c r="H7" t="s">
        <v>527</v>
      </c>
      <c r="I7">
        <v>0</v>
      </c>
      <c r="M7">
        <v>30</v>
      </c>
    </row>
    <row r="8" spans="1:14" x14ac:dyDescent="0.3">
      <c r="A8" s="2" t="s">
        <v>219</v>
      </c>
      <c r="B8" s="2" t="s">
        <v>14</v>
      </c>
      <c r="C8" t="s">
        <v>595</v>
      </c>
      <c r="D8" t="s">
        <v>3</v>
      </c>
      <c r="E8">
        <v>100</v>
      </c>
      <c r="F8" t="s">
        <v>5</v>
      </c>
      <c r="G8">
        <v>1.4</v>
      </c>
      <c r="H8" t="s">
        <v>527</v>
      </c>
      <c r="I8">
        <v>0</v>
      </c>
    </row>
    <row r="9" spans="1:14" x14ac:dyDescent="0.3">
      <c r="A9" s="2" t="s">
        <v>220</v>
      </c>
      <c r="B9" s="2" t="s">
        <v>14</v>
      </c>
      <c r="C9" t="s">
        <v>596</v>
      </c>
      <c r="D9" t="s">
        <v>540</v>
      </c>
      <c r="E9">
        <v>400</v>
      </c>
      <c r="F9" t="s">
        <v>5</v>
      </c>
      <c r="I9">
        <v>0</v>
      </c>
      <c r="J9">
        <v>24</v>
      </c>
      <c r="K9">
        <v>9</v>
      </c>
    </row>
    <row r="10" spans="1:14" x14ac:dyDescent="0.3">
      <c r="A10" s="2" t="s">
        <v>221</v>
      </c>
      <c r="B10" s="2" t="s">
        <v>14</v>
      </c>
      <c r="C10" t="s">
        <v>596</v>
      </c>
      <c r="D10" t="s">
        <v>3</v>
      </c>
      <c r="E10">
        <v>400</v>
      </c>
      <c r="F10" t="s">
        <v>5</v>
      </c>
      <c r="I10">
        <v>0</v>
      </c>
      <c r="M10">
        <v>60</v>
      </c>
    </row>
    <row r="11" spans="1:14" x14ac:dyDescent="0.3">
      <c r="A11" s="2" t="s">
        <v>222</v>
      </c>
      <c r="B11" s="2" t="s">
        <v>14</v>
      </c>
      <c r="C11" t="s">
        <v>595</v>
      </c>
      <c r="D11" t="s">
        <v>3</v>
      </c>
      <c r="E11">
        <v>60</v>
      </c>
      <c r="F11" t="s">
        <v>5</v>
      </c>
      <c r="I11">
        <v>0</v>
      </c>
    </row>
    <row r="12" spans="1:14" x14ac:dyDescent="0.3">
      <c r="A12" s="2" t="s">
        <v>223</v>
      </c>
      <c r="B12" s="2" t="s">
        <v>14</v>
      </c>
      <c r="C12" t="s">
        <v>595</v>
      </c>
      <c r="D12" t="s">
        <v>3</v>
      </c>
      <c r="E12">
        <v>100</v>
      </c>
      <c r="F12" t="s">
        <v>5</v>
      </c>
      <c r="I12">
        <v>0</v>
      </c>
    </row>
    <row r="13" spans="1:14" x14ac:dyDescent="0.3">
      <c r="A13" s="2" t="s">
        <v>224</v>
      </c>
      <c r="B13" s="2" t="s">
        <v>14</v>
      </c>
      <c r="C13" t="s">
        <v>595</v>
      </c>
      <c r="D13" t="s">
        <v>3</v>
      </c>
      <c r="E13">
        <v>200</v>
      </c>
      <c r="F13" t="s">
        <v>5</v>
      </c>
      <c r="I13">
        <v>0</v>
      </c>
    </row>
    <row r="14" spans="1:14" x14ac:dyDescent="0.3">
      <c r="A14" s="2" t="s">
        <v>225</v>
      </c>
      <c r="B14" s="2" t="s">
        <v>14</v>
      </c>
      <c r="C14" t="s">
        <v>595</v>
      </c>
      <c r="D14" t="s">
        <v>3</v>
      </c>
      <c r="E14">
        <v>400</v>
      </c>
      <c r="F14" t="s">
        <v>5</v>
      </c>
      <c r="I14">
        <v>0</v>
      </c>
    </row>
    <row r="15" spans="1:14" x14ac:dyDescent="0.3">
      <c r="A15" s="2" t="s">
        <v>226</v>
      </c>
      <c r="B15" s="2" t="s">
        <v>14</v>
      </c>
      <c r="C15" t="s">
        <v>595</v>
      </c>
      <c r="D15" t="s">
        <v>3</v>
      </c>
      <c r="E15">
        <v>400</v>
      </c>
      <c r="F15" t="s">
        <v>5</v>
      </c>
      <c r="I15">
        <v>0</v>
      </c>
    </row>
    <row r="16" spans="1:14" x14ac:dyDescent="0.3">
      <c r="A16" s="2" t="s">
        <v>227</v>
      </c>
      <c r="B16" s="2" t="s">
        <v>14</v>
      </c>
      <c r="C16" t="s">
        <v>595</v>
      </c>
      <c r="D16" t="s">
        <v>3</v>
      </c>
      <c r="E16">
        <v>600</v>
      </c>
      <c r="F16" t="s">
        <v>5</v>
      </c>
      <c r="I16">
        <v>0</v>
      </c>
    </row>
    <row r="17" spans="1:14" x14ac:dyDescent="0.3">
      <c r="A17" s="2" t="s">
        <v>228</v>
      </c>
      <c r="B17" s="2" t="s">
        <v>14</v>
      </c>
      <c r="C17" t="s">
        <v>595</v>
      </c>
      <c r="D17" t="s">
        <v>19</v>
      </c>
      <c r="E17">
        <v>400</v>
      </c>
      <c r="F17" t="s">
        <v>5</v>
      </c>
      <c r="I17">
        <v>0</v>
      </c>
      <c r="J17">
        <v>24</v>
      </c>
      <c r="K17">
        <v>9</v>
      </c>
    </row>
    <row r="18" spans="1:14" x14ac:dyDescent="0.3">
      <c r="A18" s="2" t="s">
        <v>229</v>
      </c>
      <c r="B18" s="2" t="s">
        <v>22</v>
      </c>
      <c r="C18" t="s">
        <v>595</v>
      </c>
      <c r="D18" t="s">
        <v>3</v>
      </c>
      <c r="E18">
        <v>100</v>
      </c>
      <c r="F18" t="s">
        <v>5</v>
      </c>
      <c r="I18">
        <v>0</v>
      </c>
    </row>
    <row r="19" spans="1:14" x14ac:dyDescent="0.3">
      <c r="A19" s="2" t="s">
        <v>230</v>
      </c>
      <c r="B19" s="2" t="s">
        <v>22</v>
      </c>
      <c r="C19" t="s">
        <v>595</v>
      </c>
      <c r="D19" t="s">
        <v>3</v>
      </c>
      <c r="E19">
        <v>400</v>
      </c>
      <c r="F19" t="s">
        <v>5</v>
      </c>
      <c r="I19">
        <v>0</v>
      </c>
    </row>
    <row r="20" spans="1:14" x14ac:dyDescent="0.3">
      <c r="A20" s="2" t="s">
        <v>231</v>
      </c>
      <c r="B20" s="2" t="s">
        <v>22</v>
      </c>
      <c r="C20" t="s">
        <v>595</v>
      </c>
      <c r="D20" t="s">
        <v>23</v>
      </c>
      <c r="E20">
        <v>400</v>
      </c>
      <c r="F20" t="s">
        <v>5</v>
      </c>
      <c r="I20">
        <v>0</v>
      </c>
      <c r="J20">
        <v>24</v>
      </c>
      <c r="K20">
        <v>14</v>
      </c>
      <c r="N20" t="s">
        <v>16</v>
      </c>
    </row>
    <row r="21" spans="1:14" x14ac:dyDescent="0.3">
      <c r="A21" s="2" t="s">
        <v>232</v>
      </c>
      <c r="B21" s="2" t="s">
        <v>22</v>
      </c>
      <c r="C21" t="s">
        <v>595</v>
      </c>
      <c r="D21" t="s">
        <v>19</v>
      </c>
      <c r="E21">
        <v>400</v>
      </c>
      <c r="F21" t="s">
        <v>5</v>
      </c>
      <c r="I21">
        <v>0</v>
      </c>
      <c r="J21">
        <v>24</v>
      </c>
      <c r="K21">
        <v>10</v>
      </c>
      <c r="N21" t="s">
        <v>16</v>
      </c>
    </row>
    <row r="22" spans="1:14" x14ac:dyDescent="0.3">
      <c r="A22" s="2" t="s">
        <v>233</v>
      </c>
      <c r="B22" s="2" t="s">
        <v>22</v>
      </c>
      <c r="C22" t="s">
        <v>595</v>
      </c>
      <c r="D22" t="s">
        <v>546</v>
      </c>
      <c r="E22">
        <v>400</v>
      </c>
      <c r="F22" t="s">
        <v>5</v>
      </c>
      <c r="I22">
        <v>0</v>
      </c>
      <c r="J22">
        <v>24</v>
      </c>
      <c r="K22">
        <v>11</v>
      </c>
      <c r="N22" t="s">
        <v>16</v>
      </c>
    </row>
    <row r="23" spans="1:14" x14ac:dyDescent="0.3">
      <c r="A23" s="2" t="s">
        <v>234</v>
      </c>
      <c r="B23" s="2" t="s">
        <v>22</v>
      </c>
      <c r="C23" t="s">
        <v>595</v>
      </c>
      <c r="D23" t="s">
        <v>3</v>
      </c>
      <c r="E23">
        <v>10</v>
      </c>
      <c r="F23" t="s">
        <v>5</v>
      </c>
      <c r="I23">
        <v>0</v>
      </c>
    </row>
    <row r="24" spans="1:14" x14ac:dyDescent="0.3">
      <c r="A24" s="2" t="s">
        <v>235</v>
      </c>
      <c r="B24" s="2" t="s">
        <v>22</v>
      </c>
      <c r="C24" t="s">
        <v>595</v>
      </c>
      <c r="D24" t="s">
        <v>3</v>
      </c>
      <c r="E24">
        <v>30</v>
      </c>
      <c r="F24" t="s">
        <v>5</v>
      </c>
      <c r="I24">
        <v>0</v>
      </c>
    </row>
    <row r="25" spans="1:14" x14ac:dyDescent="0.3">
      <c r="A25" s="2" t="s">
        <v>236</v>
      </c>
      <c r="B25" s="2" t="s">
        <v>22</v>
      </c>
      <c r="C25" t="s">
        <v>595</v>
      </c>
      <c r="D25" t="s">
        <v>3</v>
      </c>
      <c r="E25">
        <v>100</v>
      </c>
      <c r="F25" t="s">
        <v>5</v>
      </c>
      <c r="I25">
        <v>0</v>
      </c>
    </row>
    <row r="26" spans="1:14" x14ac:dyDescent="0.3">
      <c r="A26" s="2" t="s">
        <v>237</v>
      </c>
      <c r="B26" s="2" t="s">
        <v>22</v>
      </c>
      <c r="C26" t="s">
        <v>595</v>
      </c>
      <c r="D26" t="s">
        <v>3</v>
      </c>
      <c r="E26">
        <v>300</v>
      </c>
      <c r="F26" t="s">
        <v>5</v>
      </c>
      <c r="I26">
        <v>0</v>
      </c>
    </row>
    <row r="27" spans="1:14" x14ac:dyDescent="0.3">
      <c r="A27" s="2" t="s">
        <v>238</v>
      </c>
      <c r="B27" s="2" t="s">
        <v>22</v>
      </c>
      <c r="C27" t="s">
        <v>595</v>
      </c>
      <c r="D27" t="s">
        <v>3</v>
      </c>
      <c r="E27">
        <v>450</v>
      </c>
      <c r="F27" t="s">
        <v>5</v>
      </c>
      <c r="I27">
        <v>0</v>
      </c>
    </row>
    <row r="28" spans="1:14" x14ac:dyDescent="0.3">
      <c r="A28" s="2" t="s">
        <v>239</v>
      </c>
      <c r="B28" s="2" t="s">
        <v>22</v>
      </c>
      <c r="C28" t="s">
        <v>595</v>
      </c>
      <c r="D28" t="s">
        <v>3</v>
      </c>
      <c r="E28">
        <v>700</v>
      </c>
      <c r="F28" t="s">
        <v>5</v>
      </c>
      <c r="I28">
        <v>0</v>
      </c>
    </row>
    <row r="29" spans="1:14" x14ac:dyDescent="0.3">
      <c r="A29" s="2" t="s">
        <v>240</v>
      </c>
      <c r="B29" s="2" t="s">
        <v>22</v>
      </c>
      <c r="C29" t="s">
        <v>595</v>
      </c>
      <c r="D29" t="s">
        <v>23</v>
      </c>
      <c r="E29">
        <v>50</v>
      </c>
      <c r="F29" t="s">
        <v>5</v>
      </c>
      <c r="I29">
        <v>0</v>
      </c>
      <c r="J29">
        <v>24</v>
      </c>
      <c r="K29">
        <v>14</v>
      </c>
    </row>
    <row r="30" spans="1:14" x14ac:dyDescent="0.3">
      <c r="A30" s="2" t="s">
        <v>241</v>
      </c>
      <c r="B30" s="2" t="s">
        <v>22</v>
      </c>
      <c r="C30" t="s">
        <v>595</v>
      </c>
      <c r="D30" t="s">
        <v>23</v>
      </c>
      <c r="E30">
        <v>150</v>
      </c>
      <c r="F30" t="s">
        <v>5</v>
      </c>
      <c r="I30">
        <v>0</v>
      </c>
      <c r="J30">
        <v>24</v>
      </c>
      <c r="K30">
        <v>14</v>
      </c>
    </row>
    <row r="31" spans="1:14" x14ac:dyDescent="0.3">
      <c r="A31" s="2" t="s">
        <v>242</v>
      </c>
      <c r="B31" s="2" t="s">
        <v>22</v>
      </c>
      <c r="C31" t="s">
        <v>595</v>
      </c>
      <c r="D31" t="s">
        <v>23</v>
      </c>
      <c r="E31">
        <v>400</v>
      </c>
      <c r="F31" t="s">
        <v>5</v>
      </c>
      <c r="I31">
        <v>0</v>
      </c>
      <c r="J31">
        <v>24</v>
      </c>
      <c r="K31">
        <v>14</v>
      </c>
    </row>
    <row r="32" spans="1:14" x14ac:dyDescent="0.3">
      <c r="A32" s="2" t="s">
        <v>243</v>
      </c>
      <c r="B32" s="2" t="s">
        <v>22</v>
      </c>
      <c r="C32" t="s">
        <v>595</v>
      </c>
      <c r="D32" t="s">
        <v>29</v>
      </c>
      <c r="E32">
        <v>400</v>
      </c>
      <c r="F32" t="s">
        <v>5</v>
      </c>
      <c r="I32">
        <v>0</v>
      </c>
      <c r="J32">
        <v>24</v>
      </c>
      <c r="K32">
        <v>15</v>
      </c>
    </row>
    <row r="33" spans="1:14" ht="14.4" customHeight="1" x14ac:dyDescent="0.3">
      <c r="A33" s="2" t="s">
        <v>244</v>
      </c>
      <c r="B33" s="2" t="s">
        <v>31</v>
      </c>
      <c r="C33" t="s">
        <v>595</v>
      </c>
      <c r="D33" s="7" t="s">
        <v>3</v>
      </c>
      <c r="E33">
        <v>500</v>
      </c>
      <c r="F33" t="s">
        <v>5</v>
      </c>
      <c r="G33">
        <v>8.64</v>
      </c>
      <c r="H33" t="s">
        <v>527</v>
      </c>
      <c r="I33">
        <v>0</v>
      </c>
      <c r="N33" t="s">
        <v>16</v>
      </c>
    </row>
    <row r="34" spans="1:14" ht="14.4" customHeight="1" x14ac:dyDescent="0.3">
      <c r="A34" s="2" t="s">
        <v>245</v>
      </c>
      <c r="B34" s="2" t="s">
        <v>31</v>
      </c>
      <c r="C34" t="s">
        <v>595</v>
      </c>
      <c r="D34" s="7" t="s">
        <v>3</v>
      </c>
      <c r="E34">
        <v>500</v>
      </c>
      <c r="F34" t="s">
        <v>5</v>
      </c>
      <c r="G34">
        <v>6.49</v>
      </c>
      <c r="H34" t="s">
        <v>527</v>
      </c>
      <c r="I34">
        <v>0</v>
      </c>
      <c r="N34" t="s">
        <v>16</v>
      </c>
    </row>
    <row r="35" spans="1:14" ht="14.4" customHeight="1" x14ac:dyDescent="0.3">
      <c r="A35" s="2" t="s">
        <v>246</v>
      </c>
      <c r="B35" s="2" t="s">
        <v>31</v>
      </c>
      <c r="C35" t="s">
        <v>595</v>
      </c>
      <c r="D35" s="7" t="s">
        <v>33</v>
      </c>
      <c r="E35">
        <v>375</v>
      </c>
      <c r="F35" t="s">
        <v>5</v>
      </c>
      <c r="I35">
        <v>0</v>
      </c>
    </row>
    <row r="36" spans="1:14" ht="14.4" customHeight="1" x14ac:dyDescent="0.3">
      <c r="A36" s="2" t="s">
        <v>246</v>
      </c>
      <c r="B36" s="2" t="s">
        <v>31</v>
      </c>
      <c r="C36" t="s">
        <v>595</v>
      </c>
      <c r="D36" s="7" t="s">
        <v>33</v>
      </c>
      <c r="E36">
        <v>375</v>
      </c>
      <c r="F36" t="s">
        <v>5</v>
      </c>
      <c r="I36">
        <v>24</v>
      </c>
      <c r="J36">
        <v>12</v>
      </c>
      <c r="K36">
        <v>29</v>
      </c>
    </row>
    <row r="37" spans="1:14" ht="14.4" customHeight="1" x14ac:dyDescent="0.3">
      <c r="A37" s="2" t="s">
        <v>247</v>
      </c>
      <c r="B37" s="2" t="s">
        <v>31</v>
      </c>
      <c r="C37" t="s">
        <v>595</v>
      </c>
      <c r="D37" s="7" t="s">
        <v>33</v>
      </c>
      <c r="E37">
        <v>500</v>
      </c>
      <c r="F37" t="s">
        <v>5</v>
      </c>
      <c r="I37">
        <v>0</v>
      </c>
    </row>
    <row r="38" spans="1:14" ht="14.4" customHeight="1" x14ac:dyDescent="0.3">
      <c r="A38" s="2" t="s">
        <v>247</v>
      </c>
      <c r="B38" s="2" t="s">
        <v>31</v>
      </c>
      <c r="C38" t="s">
        <v>595</v>
      </c>
      <c r="D38" s="7" t="s">
        <v>33</v>
      </c>
      <c r="E38">
        <v>500</v>
      </c>
      <c r="F38" t="s">
        <v>5</v>
      </c>
      <c r="I38">
        <v>24</v>
      </c>
      <c r="J38">
        <v>12</v>
      </c>
      <c r="K38">
        <v>29</v>
      </c>
    </row>
    <row r="39" spans="1:14" ht="14.4" customHeight="1" x14ac:dyDescent="0.3">
      <c r="A39" s="2" t="s">
        <v>248</v>
      </c>
      <c r="B39" s="2" t="s">
        <v>31</v>
      </c>
      <c r="C39" t="s">
        <v>595</v>
      </c>
      <c r="D39" s="7" t="s">
        <v>33</v>
      </c>
      <c r="E39">
        <v>625</v>
      </c>
      <c r="F39" t="s">
        <v>5</v>
      </c>
      <c r="I39">
        <v>0</v>
      </c>
    </row>
    <row r="40" spans="1:14" ht="14.4" customHeight="1" x14ac:dyDescent="0.3">
      <c r="A40" s="2" t="s">
        <v>248</v>
      </c>
      <c r="B40" s="2" t="s">
        <v>31</v>
      </c>
      <c r="C40" t="s">
        <v>595</v>
      </c>
      <c r="D40" s="7" t="s">
        <v>33</v>
      </c>
      <c r="E40">
        <v>625</v>
      </c>
      <c r="F40" t="s">
        <v>5</v>
      </c>
      <c r="I40">
        <v>24</v>
      </c>
      <c r="J40">
        <v>12</v>
      </c>
      <c r="K40">
        <v>29</v>
      </c>
    </row>
    <row r="41" spans="1:14" ht="14.4" customHeight="1" x14ac:dyDescent="0.3">
      <c r="A41" s="2" t="s">
        <v>249</v>
      </c>
      <c r="B41" s="2" t="s">
        <v>31</v>
      </c>
      <c r="C41" t="s">
        <v>596</v>
      </c>
      <c r="D41" s="7" t="s">
        <v>35</v>
      </c>
      <c r="E41">
        <v>500</v>
      </c>
      <c r="F41" t="s">
        <v>5</v>
      </c>
      <c r="I41">
        <v>0</v>
      </c>
      <c r="M41">
        <v>30</v>
      </c>
    </row>
    <row r="42" spans="1:14" ht="14.4" customHeight="1" x14ac:dyDescent="0.3">
      <c r="A42" s="2" t="s">
        <v>249</v>
      </c>
      <c r="B42" s="2" t="s">
        <v>31</v>
      </c>
      <c r="C42" t="s">
        <v>596</v>
      </c>
      <c r="D42" s="7" t="s">
        <v>35</v>
      </c>
      <c r="E42">
        <v>500</v>
      </c>
      <c r="F42" t="s">
        <v>5</v>
      </c>
      <c r="I42">
        <v>24</v>
      </c>
      <c r="J42">
        <v>12</v>
      </c>
      <c r="K42">
        <v>15</v>
      </c>
      <c r="M42">
        <v>30</v>
      </c>
    </row>
    <row r="43" spans="1:14" ht="14.4" customHeight="1" x14ac:dyDescent="0.3">
      <c r="A43" s="2" t="s">
        <v>250</v>
      </c>
      <c r="B43" s="2" t="s">
        <v>31</v>
      </c>
      <c r="C43" t="s">
        <v>596</v>
      </c>
      <c r="D43" s="7" t="s">
        <v>35</v>
      </c>
      <c r="E43">
        <v>625</v>
      </c>
      <c r="F43" t="s">
        <v>5</v>
      </c>
      <c r="I43">
        <v>0</v>
      </c>
      <c r="M43">
        <v>30</v>
      </c>
    </row>
    <row r="44" spans="1:14" ht="14.4" customHeight="1" x14ac:dyDescent="0.3">
      <c r="A44" s="2" t="s">
        <v>250</v>
      </c>
      <c r="B44" s="2" t="s">
        <v>31</v>
      </c>
      <c r="C44" t="s">
        <v>596</v>
      </c>
      <c r="D44" s="7" t="s">
        <v>35</v>
      </c>
      <c r="E44">
        <v>625</v>
      </c>
      <c r="F44" t="s">
        <v>5</v>
      </c>
      <c r="I44">
        <v>24</v>
      </c>
      <c r="J44">
        <v>12</v>
      </c>
      <c r="K44">
        <v>15</v>
      </c>
      <c r="M44">
        <v>30</v>
      </c>
    </row>
    <row r="45" spans="1:14" ht="14.4" customHeight="1" x14ac:dyDescent="0.3">
      <c r="A45" s="2" t="s">
        <v>251</v>
      </c>
      <c r="B45" s="2" t="s">
        <v>37</v>
      </c>
      <c r="C45" t="s">
        <v>595</v>
      </c>
      <c r="D45" s="7" t="s">
        <v>3</v>
      </c>
      <c r="E45">
        <v>300</v>
      </c>
      <c r="F45" t="s">
        <v>5</v>
      </c>
      <c r="I45">
        <v>0</v>
      </c>
    </row>
    <row r="46" spans="1:14" ht="14.4" customHeight="1" x14ac:dyDescent="0.3">
      <c r="A46" s="2" t="s">
        <v>252</v>
      </c>
      <c r="B46" s="2" t="s">
        <v>37</v>
      </c>
      <c r="C46" t="s">
        <v>595</v>
      </c>
      <c r="D46" s="7" t="s">
        <v>3</v>
      </c>
      <c r="E46">
        <v>600</v>
      </c>
      <c r="F46" t="s">
        <v>5</v>
      </c>
      <c r="I46">
        <v>0</v>
      </c>
    </row>
    <row r="47" spans="1:14" ht="14.4" customHeight="1" x14ac:dyDescent="0.3">
      <c r="A47" s="2" t="s">
        <v>253</v>
      </c>
      <c r="B47" s="2" t="s">
        <v>37</v>
      </c>
      <c r="C47" t="s">
        <v>595</v>
      </c>
      <c r="D47" s="7" t="s">
        <v>3</v>
      </c>
      <c r="E47">
        <v>1200</v>
      </c>
      <c r="F47" t="s">
        <v>5</v>
      </c>
      <c r="I47">
        <v>0</v>
      </c>
    </row>
    <row r="48" spans="1:14" ht="14.4" customHeight="1" x14ac:dyDescent="0.3">
      <c r="A48" s="2" t="s">
        <v>254</v>
      </c>
      <c r="B48" s="2" t="s">
        <v>37</v>
      </c>
      <c r="C48" t="s">
        <v>595</v>
      </c>
      <c r="D48" s="7" t="s">
        <v>3</v>
      </c>
      <c r="E48">
        <v>1800</v>
      </c>
      <c r="F48" t="s">
        <v>5</v>
      </c>
      <c r="I48">
        <v>0</v>
      </c>
    </row>
    <row r="49" spans="1:13" ht="14.4" customHeight="1" x14ac:dyDescent="0.3">
      <c r="A49" s="2" t="s">
        <v>255</v>
      </c>
      <c r="B49" s="1" t="s">
        <v>39</v>
      </c>
      <c r="C49" t="s">
        <v>595</v>
      </c>
      <c r="D49" s="7" t="s">
        <v>3</v>
      </c>
      <c r="E49">
        <v>200</v>
      </c>
      <c r="F49" t="s">
        <v>5</v>
      </c>
      <c r="I49">
        <v>0</v>
      </c>
    </row>
    <row r="50" spans="1:13" ht="14.4" customHeight="1" x14ac:dyDescent="0.3">
      <c r="A50" s="2" t="s">
        <v>256</v>
      </c>
      <c r="B50" s="1" t="s">
        <v>39</v>
      </c>
      <c r="C50" t="s">
        <v>595</v>
      </c>
      <c r="D50" s="7" t="s">
        <v>3</v>
      </c>
      <c r="E50">
        <v>400</v>
      </c>
      <c r="F50" t="s">
        <v>5</v>
      </c>
      <c r="I50">
        <v>0</v>
      </c>
    </row>
    <row r="51" spans="1:13" ht="14.4" customHeight="1" x14ac:dyDescent="0.3">
      <c r="A51" s="2" t="s">
        <v>257</v>
      </c>
      <c r="B51" s="1" t="s">
        <v>39</v>
      </c>
      <c r="C51" t="s">
        <v>595</v>
      </c>
      <c r="D51" s="7" t="s">
        <v>3</v>
      </c>
      <c r="E51">
        <v>600</v>
      </c>
      <c r="F51" t="s">
        <v>5</v>
      </c>
      <c r="I51">
        <v>0</v>
      </c>
    </row>
    <row r="52" spans="1:13" ht="14.4" customHeight="1" x14ac:dyDescent="0.3">
      <c r="A52" s="2" t="s">
        <v>258</v>
      </c>
      <c r="B52" s="1" t="s">
        <v>39</v>
      </c>
      <c r="C52" t="s">
        <v>595</v>
      </c>
      <c r="D52" s="7" t="s">
        <v>3</v>
      </c>
      <c r="E52">
        <v>800</v>
      </c>
      <c r="F52" t="s">
        <v>5</v>
      </c>
      <c r="I52">
        <v>0</v>
      </c>
    </row>
    <row r="53" spans="1:13" ht="14.4" customHeight="1" x14ac:dyDescent="0.3">
      <c r="A53" s="2" t="s">
        <v>259</v>
      </c>
      <c r="B53" s="1" t="s">
        <v>39</v>
      </c>
      <c r="C53" t="s">
        <v>595</v>
      </c>
      <c r="D53" s="7" t="s">
        <v>3</v>
      </c>
      <c r="E53">
        <v>1200</v>
      </c>
      <c r="F53" t="s">
        <v>5</v>
      </c>
      <c r="I53">
        <v>0</v>
      </c>
    </row>
    <row r="54" spans="1:13" ht="14.4" customHeight="1" x14ac:dyDescent="0.3">
      <c r="A54" s="2" t="s">
        <v>260</v>
      </c>
      <c r="B54" s="1" t="s">
        <v>39</v>
      </c>
      <c r="C54" t="s">
        <v>595</v>
      </c>
      <c r="D54" s="7" t="s">
        <v>41</v>
      </c>
      <c r="E54">
        <v>200</v>
      </c>
      <c r="F54" t="s">
        <v>5</v>
      </c>
      <c r="I54">
        <v>0</v>
      </c>
      <c r="J54">
        <v>24</v>
      </c>
      <c r="K54">
        <v>21</v>
      </c>
    </row>
    <row r="55" spans="1:13" ht="14.4" customHeight="1" x14ac:dyDescent="0.3">
      <c r="A55" s="2" t="s">
        <v>261</v>
      </c>
      <c r="B55" s="1" t="s">
        <v>39</v>
      </c>
      <c r="C55" t="s">
        <v>595</v>
      </c>
      <c r="D55" s="7" t="s">
        <v>41</v>
      </c>
      <c r="E55">
        <v>300</v>
      </c>
      <c r="F55" t="s">
        <v>5</v>
      </c>
      <c r="I55">
        <v>0</v>
      </c>
      <c r="J55">
        <v>24</v>
      </c>
      <c r="K55">
        <v>21</v>
      </c>
    </row>
    <row r="56" spans="1:13" ht="14.4" customHeight="1" x14ac:dyDescent="0.3">
      <c r="A56" s="2" t="s">
        <v>262</v>
      </c>
      <c r="B56" s="1" t="s">
        <v>39</v>
      </c>
      <c r="C56" t="s">
        <v>595</v>
      </c>
      <c r="D56" s="7" t="s">
        <v>41</v>
      </c>
      <c r="E56">
        <v>400</v>
      </c>
      <c r="F56" t="s">
        <v>5</v>
      </c>
      <c r="I56">
        <v>0</v>
      </c>
      <c r="J56">
        <v>24</v>
      </c>
      <c r="K56">
        <v>21</v>
      </c>
    </row>
    <row r="57" spans="1:13" ht="14.4" customHeight="1" x14ac:dyDescent="0.3">
      <c r="A57" s="2" t="s">
        <v>263</v>
      </c>
      <c r="B57" s="1" t="s">
        <v>39</v>
      </c>
      <c r="C57" t="s">
        <v>596</v>
      </c>
      <c r="D57" s="7" t="s">
        <v>3</v>
      </c>
      <c r="E57">
        <v>100</v>
      </c>
      <c r="F57" t="s">
        <v>5</v>
      </c>
      <c r="I57">
        <v>0</v>
      </c>
      <c r="M57">
        <v>120</v>
      </c>
    </row>
    <row r="58" spans="1:13" ht="14.4" customHeight="1" x14ac:dyDescent="0.3">
      <c r="A58" s="2" t="s">
        <v>264</v>
      </c>
      <c r="B58" s="1" t="s">
        <v>39</v>
      </c>
      <c r="C58" t="s">
        <v>596</v>
      </c>
      <c r="D58" s="7" t="s">
        <v>3</v>
      </c>
      <c r="E58">
        <v>200</v>
      </c>
      <c r="F58" t="s">
        <v>5</v>
      </c>
      <c r="I58">
        <v>0</v>
      </c>
      <c r="M58">
        <v>120</v>
      </c>
    </row>
    <row r="59" spans="1:13" ht="14.4" customHeight="1" x14ac:dyDescent="0.3">
      <c r="A59" s="2" t="s">
        <v>265</v>
      </c>
      <c r="B59" s="1" t="s">
        <v>39</v>
      </c>
      <c r="C59" t="s">
        <v>596</v>
      </c>
      <c r="D59" s="7" t="s">
        <v>3</v>
      </c>
      <c r="E59">
        <v>300</v>
      </c>
      <c r="F59" t="s">
        <v>5</v>
      </c>
      <c r="I59">
        <v>0</v>
      </c>
      <c r="M59">
        <v>60</v>
      </c>
    </row>
    <row r="60" spans="1:13" ht="14.4" customHeight="1" x14ac:dyDescent="0.3">
      <c r="A60" s="2" t="s">
        <v>266</v>
      </c>
      <c r="B60" s="1" t="s">
        <v>39</v>
      </c>
      <c r="C60" t="s">
        <v>596</v>
      </c>
      <c r="D60" s="7" t="s">
        <v>3</v>
      </c>
      <c r="E60">
        <v>400</v>
      </c>
      <c r="F60" t="s">
        <v>5</v>
      </c>
      <c r="I60">
        <v>0</v>
      </c>
      <c r="M60">
        <v>120</v>
      </c>
    </row>
    <row r="61" spans="1:13" ht="14.4" customHeight="1" x14ac:dyDescent="0.3">
      <c r="A61" s="2" t="s">
        <v>267</v>
      </c>
      <c r="B61" s="1" t="s">
        <v>39</v>
      </c>
      <c r="C61" t="s">
        <v>596</v>
      </c>
      <c r="D61" s="7" t="s">
        <v>25</v>
      </c>
      <c r="E61">
        <v>200</v>
      </c>
      <c r="F61" t="s">
        <v>5</v>
      </c>
      <c r="I61">
        <v>0</v>
      </c>
      <c r="M61">
        <v>60</v>
      </c>
    </row>
    <row r="62" spans="1:13" ht="14.4" customHeight="1" x14ac:dyDescent="0.3">
      <c r="A62" s="2" t="s">
        <v>267</v>
      </c>
      <c r="B62" s="1" t="s">
        <v>39</v>
      </c>
      <c r="C62" t="s">
        <v>596</v>
      </c>
      <c r="D62" s="7" t="s">
        <v>25</v>
      </c>
      <c r="E62">
        <v>200</v>
      </c>
      <c r="F62" t="s">
        <v>5</v>
      </c>
      <c r="I62">
        <v>25</v>
      </c>
      <c r="J62">
        <v>24</v>
      </c>
      <c r="K62">
        <v>6</v>
      </c>
      <c r="M62">
        <v>60</v>
      </c>
    </row>
    <row r="63" spans="1:13" ht="14.4" customHeight="1" x14ac:dyDescent="0.3">
      <c r="A63" s="2" t="s">
        <v>268</v>
      </c>
      <c r="B63" s="1" t="s">
        <v>39</v>
      </c>
      <c r="C63" t="s">
        <v>596</v>
      </c>
      <c r="D63" s="7" t="s">
        <v>3</v>
      </c>
      <c r="E63">
        <v>200</v>
      </c>
      <c r="F63" t="s">
        <v>5</v>
      </c>
      <c r="I63">
        <v>0</v>
      </c>
      <c r="M63">
        <v>60</v>
      </c>
    </row>
    <row r="64" spans="1:13" ht="14.4" customHeight="1" x14ac:dyDescent="0.3">
      <c r="A64" s="2" t="s">
        <v>269</v>
      </c>
      <c r="B64" s="1" t="s">
        <v>39</v>
      </c>
      <c r="C64" t="s">
        <v>595</v>
      </c>
      <c r="D64" s="7" t="s">
        <v>3</v>
      </c>
      <c r="E64">
        <v>200</v>
      </c>
      <c r="F64" t="s">
        <v>5</v>
      </c>
      <c r="I64">
        <v>0</v>
      </c>
    </row>
    <row r="65" spans="1:13" ht="14.4" customHeight="1" x14ac:dyDescent="0.3">
      <c r="A65" s="2" t="s">
        <v>270</v>
      </c>
      <c r="B65" s="1" t="s">
        <v>39</v>
      </c>
      <c r="C65" t="s">
        <v>596</v>
      </c>
      <c r="D65" s="7" t="s">
        <v>3</v>
      </c>
      <c r="E65">
        <v>200</v>
      </c>
      <c r="F65" t="s">
        <v>5</v>
      </c>
      <c r="I65">
        <v>0</v>
      </c>
      <c r="M65">
        <v>60</v>
      </c>
    </row>
    <row r="66" spans="1:13" ht="14.4" customHeight="1" x14ac:dyDescent="0.3">
      <c r="A66" s="2" t="s">
        <v>271</v>
      </c>
      <c r="B66" s="1" t="s">
        <v>39</v>
      </c>
      <c r="C66" t="s">
        <v>595</v>
      </c>
      <c r="D66" s="7" t="s">
        <v>3</v>
      </c>
      <c r="E66">
        <v>200</v>
      </c>
      <c r="F66" t="s">
        <v>5</v>
      </c>
      <c r="I66">
        <v>0</v>
      </c>
    </row>
    <row r="67" spans="1:13" ht="14.4" customHeight="1" x14ac:dyDescent="0.3">
      <c r="A67" s="2" t="s">
        <v>272</v>
      </c>
      <c r="B67" s="1" t="s">
        <v>39</v>
      </c>
      <c r="C67" t="s">
        <v>595</v>
      </c>
      <c r="D67" s="7" t="s">
        <v>3</v>
      </c>
      <c r="E67">
        <v>200</v>
      </c>
      <c r="F67" t="s">
        <v>5</v>
      </c>
      <c r="I67">
        <v>0</v>
      </c>
    </row>
    <row r="68" spans="1:13" x14ac:dyDescent="0.3">
      <c r="A68" s="2" t="s">
        <v>273</v>
      </c>
      <c r="B68" s="2" t="s">
        <v>46</v>
      </c>
      <c r="C68" t="s">
        <v>595</v>
      </c>
      <c r="D68" t="s">
        <v>3</v>
      </c>
      <c r="E68">
        <v>10</v>
      </c>
      <c r="F68" t="s">
        <v>5</v>
      </c>
      <c r="I68">
        <v>0</v>
      </c>
    </row>
    <row r="69" spans="1:13" x14ac:dyDescent="0.3">
      <c r="A69" s="2" t="s">
        <v>274</v>
      </c>
      <c r="B69" s="2" t="s">
        <v>46</v>
      </c>
      <c r="C69" t="s">
        <v>595</v>
      </c>
      <c r="D69" t="s">
        <v>3</v>
      </c>
      <c r="E69">
        <v>30</v>
      </c>
      <c r="F69" t="s">
        <v>5</v>
      </c>
      <c r="I69">
        <v>0</v>
      </c>
    </row>
    <row r="70" spans="1:13" x14ac:dyDescent="0.3">
      <c r="A70" s="2" t="s">
        <v>275</v>
      </c>
      <c r="B70" s="2" t="s">
        <v>46</v>
      </c>
      <c r="C70" t="s">
        <v>595</v>
      </c>
      <c r="D70" t="s">
        <v>3</v>
      </c>
      <c r="E70">
        <v>50</v>
      </c>
      <c r="F70" t="s">
        <v>5</v>
      </c>
      <c r="I70">
        <v>0</v>
      </c>
    </row>
    <row r="71" spans="1:13" x14ac:dyDescent="0.3">
      <c r="A71" s="2" t="s">
        <v>276</v>
      </c>
      <c r="B71" s="2" t="s">
        <v>46</v>
      </c>
      <c r="C71" t="s">
        <v>595</v>
      </c>
      <c r="D71" t="s">
        <v>3</v>
      </c>
      <c r="E71">
        <v>100</v>
      </c>
      <c r="F71" t="s">
        <v>5</v>
      </c>
      <c r="I71">
        <v>0</v>
      </c>
    </row>
    <row r="72" spans="1:13" x14ac:dyDescent="0.3">
      <c r="A72" s="2" t="s">
        <v>277</v>
      </c>
      <c r="B72" s="2" t="s">
        <v>46</v>
      </c>
      <c r="C72" t="s">
        <v>595</v>
      </c>
      <c r="D72" t="s">
        <v>3</v>
      </c>
      <c r="E72">
        <v>200</v>
      </c>
      <c r="F72" t="s">
        <v>5</v>
      </c>
      <c r="I72">
        <v>0</v>
      </c>
    </row>
    <row r="73" spans="1:13" x14ac:dyDescent="0.3">
      <c r="A73" s="2" t="s">
        <v>278</v>
      </c>
      <c r="B73" s="2" t="s">
        <v>46</v>
      </c>
      <c r="C73" t="s">
        <v>595</v>
      </c>
      <c r="D73" t="s">
        <v>3</v>
      </c>
      <c r="E73">
        <v>400</v>
      </c>
      <c r="F73" t="s">
        <v>5</v>
      </c>
      <c r="I73">
        <v>0</v>
      </c>
    </row>
    <row r="74" spans="1:13" x14ac:dyDescent="0.3">
      <c r="A74" s="2" t="s">
        <v>279</v>
      </c>
      <c r="B74" s="2" t="s">
        <v>46</v>
      </c>
      <c r="C74" t="s">
        <v>595</v>
      </c>
      <c r="D74" t="s">
        <v>3</v>
      </c>
      <c r="E74">
        <v>800</v>
      </c>
      <c r="F74" t="s">
        <v>5</v>
      </c>
      <c r="I74">
        <v>0</v>
      </c>
    </row>
    <row r="75" spans="1:13" x14ac:dyDescent="0.3">
      <c r="A75" s="2" t="s">
        <v>280</v>
      </c>
      <c r="B75" s="2" t="s">
        <v>46</v>
      </c>
      <c r="C75" t="s">
        <v>595</v>
      </c>
      <c r="D75" t="s">
        <v>23</v>
      </c>
      <c r="E75">
        <v>20</v>
      </c>
      <c r="F75" t="s">
        <v>5</v>
      </c>
      <c r="I75">
        <v>0</v>
      </c>
      <c r="J75">
        <v>24</v>
      </c>
      <c r="K75">
        <v>14</v>
      </c>
    </row>
    <row r="76" spans="1:13" x14ac:dyDescent="0.3">
      <c r="A76" s="2" t="s">
        <v>281</v>
      </c>
      <c r="B76" s="2" t="s">
        <v>46</v>
      </c>
      <c r="C76" t="s">
        <v>595</v>
      </c>
      <c r="D76" t="s">
        <v>23</v>
      </c>
      <c r="E76">
        <v>50</v>
      </c>
      <c r="F76" t="s">
        <v>5</v>
      </c>
      <c r="I76">
        <v>0</v>
      </c>
      <c r="J76">
        <v>24</v>
      </c>
      <c r="K76">
        <v>14</v>
      </c>
    </row>
    <row r="77" spans="1:13" x14ac:dyDescent="0.3">
      <c r="A77" s="2" t="s">
        <v>282</v>
      </c>
      <c r="B77" s="2" t="s">
        <v>46</v>
      </c>
      <c r="C77" t="s">
        <v>595</v>
      </c>
      <c r="D77" t="s">
        <v>23</v>
      </c>
      <c r="E77">
        <v>100</v>
      </c>
      <c r="F77" t="s">
        <v>5</v>
      </c>
      <c r="I77">
        <v>0</v>
      </c>
      <c r="J77">
        <v>24</v>
      </c>
      <c r="K77">
        <v>14</v>
      </c>
    </row>
    <row r="78" spans="1:13" x14ac:dyDescent="0.3">
      <c r="A78" s="2" t="s">
        <v>283</v>
      </c>
      <c r="B78" s="2" t="s">
        <v>46</v>
      </c>
      <c r="C78" t="s">
        <v>595</v>
      </c>
      <c r="D78" t="s">
        <v>23</v>
      </c>
      <c r="E78">
        <v>160</v>
      </c>
      <c r="F78" t="s">
        <v>5</v>
      </c>
      <c r="I78">
        <v>0</v>
      </c>
      <c r="J78">
        <v>24</v>
      </c>
      <c r="K78">
        <v>14</v>
      </c>
    </row>
    <row r="79" spans="1:13" x14ac:dyDescent="0.3">
      <c r="A79" s="2" t="s">
        <v>284</v>
      </c>
      <c r="B79" s="2" t="s">
        <v>46</v>
      </c>
      <c r="C79" t="s">
        <v>595</v>
      </c>
      <c r="D79" t="s">
        <v>23</v>
      </c>
      <c r="E79">
        <v>250</v>
      </c>
      <c r="F79" t="s">
        <v>5</v>
      </c>
      <c r="I79">
        <v>0</v>
      </c>
      <c r="J79">
        <v>24</v>
      </c>
      <c r="K79">
        <v>14</v>
      </c>
    </row>
    <row r="80" spans="1:13" x14ac:dyDescent="0.3">
      <c r="A80" s="2" t="s">
        <v>285</v>
      </c>
      <c r="B80" s="2" t="s">
        <v>46</v>
      </c>
      <c r="C80" t="s">
        <v>595</v>
      </c>
      <c r="D80" t="s">
        <v>23</v>
      </c>
      <c r="E80">
        <v>320</v>
      </c>
      <c r="F80" t="s">
        <v>5</v>
      </c>
      <c r="I80">
        <v>0</v>
      </c>
      <c r="J80">
        <v>24</v>
      </c>
      <c r="K80">
        <v>14</v>
      </c>
    </row>
    <row r="81" spans="1:14" x14ac:dyDescent="0.3">
      <c r="A81" s="2" t="s">
        <v>286</v>
      </c>
      <c r="B81" s="2" t="s">
        <v>50</v>
      </c>
      <c r="C81" t="s">
        <v>595</v>
      </c>
      <c r="D81" t="s">
        <v>3</v>
      </c>
      <c r="E81">
        <v>320</v>
      </c>
      <c r="F81" t="s">
        <v>5</v>
      </c>
      <c r="I81">
        <v>0</v>
      </c>
      <c r="N81" t="s">
        <v>51</v>
      </c>
    </row>
    <row r="82" spans="1:14" x14ac:dyDescent="0.3">
      <c r="A82" s="2" t="s">
        <v>287</v>
      </c>
      <c r="B82" s="2" t="s">
        <v>50</v>
      </c>
      <c r="C82" t="s">
        <v>595</v>
      </c>
      <c r="D82" t="s">
        <v>52</v>
      </c>
      <c r="E82">
        <v>300</v>
      </c>
      <c r="F82" t="s">
        <v>5</v>
      </c>
      <c r="I82">
        <v>0</v>
      </c>
      <c r="J82">
        <v>12</v>
      </c>
      <c r="K82">
        <v>28</v>
      </c>
      <c r="N82" t="s">
        <v>51</v>
      </c>
    </row>
    <row r="83" spans="1:14" x14ac:dyDescent="0.3">
      <c r="A83" s="2" t="s">
        <v>288</v>
      </c>
      <c r="B83" s="2" t="s">
        <v>492</v>
      </c>
      <c r="C83" t="s">
        <v>595</v>
      </c>
      <c r="D83" t="s">
        <v>3</v>
      </c>
      <c r="E83">
        <v>50</v>
      </c>
      <c r="F83" t="s">
        <v>5</v>
      </c>
      <c r="I83">
        <v>0</v>
      </c>
    </row>
    <row r="84" spans="1:14" x14ac:dyDescent="0.3">
      <c r="A84" s="2" t="s">
        <v>289</v>
      </c>
      <c r="B84" s="2" t="s">
        <v>492</v>
      </c>
      <c r="C84" t="s">
        <v>595</v>
      </c>
      <c r="D84" t="s">
        <v>3</v>
      </c>
      <c r="E84">
        <v>250</v>
      </c>
      <c r="F84" t="s">
        <v>5</v>
      </c>
      <c r="I84">
        <v>0</v>
      </c>
    </row>
    <row r="85" spans="1:14" x14ac:dyDescent="0.3">
      <c r="A85" s="2" t="s">
        <v>290</v>
      </c>
      <c r="B85" s="2" t="s">
        <v>492</v>
      </c>
      <c r="C85" t="s">
        <v>595</v>
      </c>
      <c r="D85" t="s">
        <v>3</v>
      </c>
      <c r="E85">
        <v>500</v>
      </c>
      <c r="F85" t="s">
        <v>5</v>
      </c>
      <c r="I85">
        <v>0</v>
      </c>
    </row>
    <row r="86" spans="1:14" x14ac:dyDescent="0.3">
      <c r="A86" s="2" t="s">
        <v>291</v>
      </c>
      <c r="B86" s="2" t="s">
        <v>492</v>
      </c>
      <c r="C86" t="s">
        <v>595</v>
      </c>
      <c r="D86" t="s">
        <v>3</v>
      </c>
      <c r="E86">
        <v>750</v>
      </c>
      <c r="F86" t="s">
        <v>5</v>
      </c>
      <c r="I86">
        <v>0</v>
      </c>
    </row>
    <row r="87" spans="1:14" x14ac:dyDescent="0.3">
      <c r="A87" s="2" t="s">
        <v>292</v>
      </c>
      <c r="B87" s="2" t="s">
        <v>492</v>
      </c>
      <c r="C87" t="s">
        <v>595</v>
      </c>
      <c r="D87" t="s">
        <v>3</v>
      </c>
      <c r="E87">
        <v>1000</v>
      </c>
      <c r="F87" t="s">
        <v>5</v>
      </c>
      <c r="I87">
        <v>0</v>
      </c>
    </row>
    <row r="88" spans="1:14" x14ac:dyDescent="0.3">
      <c r="A88" s="2" t="s">
        <v>293</v>
      </c>
      <c r="B88" s="2" t="s">
        <v>492</v>
      </c>
      <c r="C88" t="s">
        <v>595</v>
      </c>
      <c r="D88" t="s">
        <v>3</v>
      </c>
      <c r="E88">
        <v>1250</v>
      </c>
      <c r="F88" t="s">
        <v>5</v>
      </c>
      <c r="I88">
        <v>0</v>
      </c>
    </row>
    <row r="89" spans="1:14" x14ac:dyDescent="0.3">
      <c r="A89" s="2" t="s">
        <v>294</v>
      </c>
      <c r="B89" s="2" t="s">
        <v>492</v>
      </c>
      <c r="C89" t="s">
        <v>595</v>
      </c>
      <c r="D89" t="s">
        <v>3</v>
      </c>
      <c r="E89">
        <v>1500</v>
      </c>
      <c r="F89" t="s">
        <v>5</v>
      </c>
      <c r="I89">
        <v>0</v>
      </c>
    </row>
    <row r="90" spans="1:14" x14ac:dyDescent="0.3">
      <c r="A90" s="2" t="s">
        <v>295</v>
      </c>
      <c r="B90" s="2" t="s">
        <v>492</v>
      </c>
      <c r="C90" t="s">
        <v>595</v>
      </c>
      <c r="D90" t="s">
        <v>25</v>
      </c>
      <c r="E90">
        <v>200</v>
      </c>
      <c r="F90" t="s">
        <v>5</v>
      </c>
      <c r="I90">
        <v>24</v>
      </c>
      <c r="J90">
        <v>24</v>
      </c>
      <c r="K90">
        <v>7</v>
      </c>
    </row>
    <row r="91" spans="1:14" x14ac:dyDescent="0.3">
      <c r="A91" s="2" t="s">
        <v>296</v>
      </c>
      <c r="B91" s="2" t="s">
        <v>492</v>
      </c>
      <c r="C91" t="s">
        <v>595</v>
      </c>
      <c r="D91" t="s">
        <v>25</v>
      </c>
      <c r="E91">
        <v>600</v>
      </c>
      <c r="F91" t="s">
        <v>5</v>
      </c>
      <c r="I91">
        <v>24</v>
      </c>
      <c r="J91">
        <v>24</v>
      </c>
      <c r="K91">
        <v>7</v>
      </c>
    </row>
    <row r="92" spans="1:14" x14ac:dyDescent="0.3">
      <c r="A92" s="2" t="s">
        <v>297</v>
      </c>
      <c r="B92" s="2" t="s">
        <v>492</v>
      </c>
      <c r="C92" t="s">
        <v>595</v>
      </c>
      <c r="D92" t="s">
        <v>55</v>
      </c>
      <c r="E92">
        <v>1000</v>
      </c>
      <c r="F92" t="s">
        <v>5</v>
      </c>
      <c r="I92">
        <v>24</v>
      </c>
      <c r="J92">
        <v>24</v>
      </c>
      <c r="K92">
        <v>5</v>
      </c>
    </row>
    <row r="93" spans="1:14" x14ac:dyDescent="0.3">
      <c r="A93" s="2" t="s">
        <v>298</v>
      </c>
      <c r="B93" s="2" t="s">
        <v>492</v>
      </c>
      <c r="C93" t="s">
        <v>595</v>
      </c>
      <c r="D93" t="s">
        <v>3</v>
      </c>
      <c r="E93">
        <v>50</v>
      </c>
      <c r="F93" t="s">
        <v>5</v>
      </c>
      <c r="I93">
        <v>0</v>
      </c>
    </row>
    <row r="94" spans="1:14" x14ac:dyDescent="0.3">
      <c r="A94" s="2" t="s">
        <v>299</v>
      </c>
      <c r="B94" s="2" t="s">
        <v>492</v>
      </c>
      <c r="C94" t="s">
        <v>595</v>
      </c>
      <c r="D94" t="s">
        <v>3</v>
      </c>
      <c r="E94">
        <v>200</v>
      </c>
      <c r="F94" t="s">
        <v>5</v>
      </c>
      <c r="I94">
        <v>0</v>
      </c>
    </row>
    <row r="95" spans="1:14" x14ac:dyDescent="0.3">
      <c r="A95" s="2" t="s">
        <v>300</v>
      </c>
      <c r="B95" s="2" t="s">
        <v>492</v>
      </c>
      <c r="C95" t="s">
        <v>595</v>
      </c>
      <c r="D95" t="s">
        <v>3</v>
      </c>
      <c r="E95">
        <v>1000</v>
      </c>
      <c r="F95" t="s">
        <v>5</v>
      </c>
      <c r="I95">
        <v>0</v>
      </c>
    </row>
    <row r="96" spans="1:14" x14ac:dyDescent="0.3">
      <c r="A96" s="2" t="s">
        <v>301</v>
      </c>
      <c r="B96" s="2" t="s">
        <v>58</v>
      </c>
      <c r="C96" t="s">
        <v>595</v>
      </c>
      <c r="D96" t="s">
        <v>3</v>
      </c>
      <c r="E96">
        <v>100</v>
      </c>
      <c r="F96" t="s">
        <v>5</v>
      </c>
      <c r="I96">
        <v>0</v>
      </c>
    </row>
    <row r="97" spans="1:11" x14ac:dyDescent="0.3">
      <c r="A97" s="2" t="s">
        <v>302</v>
      </c>
      <c r="B97" s="2" t="s">
        <v>58</v>
      </c>
      <c r="C97" t="s">
        <v>595</v>
      </c>
      <c r="D97" t="s">
        <v>3</v>
      </c>
      <c r="E97">
        <v>200</v>
      </c>
      <c r="F97" t="s">
        <v>5</v>
      </c>
      <c r="I97">
        <v>0</v>
      </c>
    </row>
    <row r="98" spans="1:11" x14ac:dyDescent="0.3">
      <c r="A98" s="2" t="s">
        <v>303</v>
      </c>
      <c r="B98" s="2" t="s">
        <v>58</v>
      </c>
      <c r="C98" t="s">
        <v>595</v>
      </c>
      <c r="D98" t="s">
        <v>3</v>
      </c>
      <c r="E98">
        <v>400</v>
      </c>
      <c r="F98" t="s">
        <v>5</v>
      </c>
      <c r="I98">
        <v>0</v>
      </c>
    </row>
    <row r="99" spans="1:11" x14ac:dyDescent="0.3">
      <c r="A99" s="2" t="s">
        <v>304</v>
      </c>
      <c r="B99" s="2" t="s">
        <v>58</v>
      </c>
      <c r="C99" t="s">
        <v>595</v>
      </c>
      <c r="D99" t="s">
        <v>19</v>
      </c>
      <c r="E99">
        <v>100</v>
      </c>
      <c r="F99" t="s">
        <v>5</v>
      </c>
      <c r="I99">
        <v>0</v>
      </c>
      <c r="J99">
        <v>24</v>
      </c>
      <c r="K99">
        <v>10</v>
      </c>
    </row>
    <row r="100" spans="1:11" x14ac:dyDescent="0.3">
      <c r="A100" s="2" t="s">
        <v>305</v>
      </c>
      <c r="B100" s="2" t="s">
        <v>58</v>
      </c>
      <c r="C100" t="s">
        <v>595</v>
      </c>
      <c r="D100" t="s">
        <v>19</v>
      </c>
      <c r="E100">
        <v>200</v>
      </c>
      <c r="F100" t="s">
        <v>5</v>
      </c>
      <c r="I100">
        <v>0</v>
      </c>
      <c r="J100">
        <v>24</v>
      </c>
      <c r="K100">
        <v>10</v>
      </c>
    </row>
    <row r="101" spans="1:11" x14ac:dyDescent="0.3">
      <c r="A101" s="2" t="s">
        <v>306</v>
      </c>
      <c r="B101" s="2" t="s">
        <v>58</v>
      </c>
      <c r="C101" t="s">
        <v>595</v>
      </c>
      <c r="D101" t="s">
        <v>19</v>
      </c>
      <c r="E101">
        <v>400</v>
      </c>
      <c r="F101" t="s">
        <v>5</v>
      </c>
      <c r="I101">
        <v>0</v>
      </c>
      <c r="J101">
        <v>24</v>
      </c>
      <c r="K101">
        <v>10</v>
      </c>
    </row>
    <row r="102" spans="1:11" x14ac:dyDescent="0.3">
      <c r="A102" s="2" t="s">
        <v>307</v>
      </c>
      <c r="B102" s="2" t="s">
        <v>58</v>
      </c>
      <c r="C102" t="s">
        <v>595</v>
      </c>
      <c r="D102" t="s">
        <v>59</v>
      </c>
      <c r="E102">
        <v>100</v>
      </c>
      <c r="F102" t="s">
        <v>5</v>
      </c>
      <c r="I102">
        <v>0</v>
      </c>
      <c r="J102">
        <v>12</v>
      </c>
      <c r="K102">
        <v>20</v>
      </c>
    </row>
    <row r="103" spans="1:11" x14ac:dyDescent="0.3">
      <c r="A103" s="2" t="s">
        <v>308</v>
      </c>
      <c r="B103" s="2" t="s">
        <v>58</v>
      </c>
      <c r="C103" t="s">
        <v>595</v>
      </c>
      <c r="D103" t="s">
        <v>59</v>
      </c>
      <c r="E103">
        <v>200</v>
      </c>
      <c r="F103" t="s">
        <v>5</v>
      </c>
      <c r="I103">
        <v>0</v>
      </c>
      <c r="J103">
        <v>12</v>
      </c>
      <c r="K103">
        <v>20</v>
      </c>
    </row>
    <row r="104" spans="1:11" x14ac:dyDescent="0.3">
      <c r="A104" s="2" t="s">
        <v>309</v>
      </c>
      <c r="B104" s="2" t="s">
        <v>58</v>
      </c>
      <c r="C104" t="s">
        <v>595</v>
      </c>
      <c r="D104" t="s">
        <v>60</v>
      </c>
      <c r="E104">
        <v>100</v>
      </c>
      <c r="F104" t="s">
        <v>5</v>
      </c>
      <c r="I104">
        <v>0</v>
      </c>
      <c r="J104">
        <v>8</v>
      </c>
      <c r="K104">
        <v>30</v>
      </c>
    </row>
    <row r="105" spans="1:11" x14ac:dyDescent="0.3">
      <c r="A105" s="2" t="s">
        <v>310</v>
      </c>
      <c r="B105" s="2" t="s">
        <v>58</v>
      </c>
      <c r="C105" t="s">
        <v>595</v>
      </c>
      <c r="D105" t="s">
        <v>59</v>
      </c>
      <c r="E105">
        <v>150</v>
      </c>
      <c r="F105" t="s">
        <v>5</v>
      </c>
      <c r="I105">
        <v>0</v>
      </c>
      <c r="J105">
        <v>12</v>
      </c>
      <c r="K105">
        <v>20</v>
      </c>
    </row>
    <row r="106" spans="1:11" x14ac:dyDescent="0.3">
      <c r="A106" s="2" t="s">
        <v>311</v>
      </c>
      <c r="B106" s="2" t="s">
        <v>58</v>
      </c>
      <c r="C106" t="s">
        <v>595</v>
      </c>
      <c r="D106" t="s">
        <v>19</v>
      </c>
      <c r="E106">
        <v>300</v>
      </c>
      <c r="F106" t="s">
        <v>5</v>
      </c>
      <c r="I106">
        <v>0</v>
      </c>
      <c r="J106">
        <v>24</v>
      </c>
      <c r="K106">
        <v>10</v>
      </c>
    </row>
    <row r="107" spans="1:11" x14ac:dyDescent="0.3">
      <c r="A107" s="2" t="s">
        <v>312</v>
      </c>
      <c r="B107" s="2" t="s">
        <v>58</v>
      </c>
      <c r="C107" t="s">
        <v>595</v>
      </c>
      <c r="D107" t="s">
        <v>3</v>
      </c>
      <c r="E107">
        <v>400</v>
      </c>
      <c r="F107" t="s">
        <v>5</v>
      </c>
      <c r="I107">
        <v>0</v>
      </c>
    </row>
    <row r="108" spans="1:11" x14ac:dyDescent="0.3">
      <c r="A108" s="2" t="s">
        <v>313</v>
      </c>
      <c r="B108" s="2" t="s">
        <v>58</v>
      </c>
      <c r="C108" t="s">
        <v>595</v>
      </c>
      <c r="D108" t="s">
        <v>3</v>
      </c>
      <c r="E108">
        <v>200</v>
      </c>
      <c r="F108" t="s">
        <v>5</v>
      </c>
      <c r="I108">
        <v>0</v>
      </c>
    </row>
    <row r="109" spans="1:11" x14ac:dyDescent="0.3">
      <c r="A109" s="2" t="s">
        <v>314</v>
      </c>
      <c r="B109" s="2" t="s">
        <v>58</v>
      </c>
      <c r="C109" t="s">
        <v>595</v>
      </c>
      <c r="D109" t="s">
        <v>3</v>
      </c>
      <c r="E109">
        <v>200</v>
      </c>
      <c r="F109" t="s">
        <v>5</v>
      </c>
      <c r="I109">
        <v>0</v>
      </c>
    </row>
    <row r="110" spans="1:11" x14ac:dyDescent="0.3">
      <c r="A110" s="2" t="s">
        <v>315</v>
      </c>
      <c r="B110" s="2" t="s">
        <v>58</v>
      </c>
      <c r="C110" t="s">
        <v>595</v>
      </c>
      <c r="D110" t="s">
        <v>3</v>
      </c>
      <c r="E110">
        <v>400</v>
      </c>
      <c r="F110" t="s">
        <v>5</v>
      </c>
      <c r="I110">
        <v>0</v>
      </c>
    </row>
    <row r="111" spans="1:11" x14ac:dyDescent="0.3">
      <c r="A111" s="2" t="s">
        <v>316</v>
      </c>
      <c r="B111" s="2" t="s">
        <v>58</v>
      </c>
      <c r="C111" t="s">
        <v>595</v>
      </c>
      <c r="D111" t="s">
        <v>3</v>
      </c>
      <c r="E111">
        <v>400</v>
      </c>
      <c r="F111" t="s">
        <v>5</v>
      </c>
      <c r="I111">
        <v>0</v>
      </c>
    </row>
    <row r="112" spans="1:11" x14ac:dyDescent="0.3">
      <c r="A112" s="2" t="s">
        <v>317</v>
      </c>
      <c r="B112" s="2" t="s">
        <v>58</v>
      </c>
      <c r="C112" t="s">
        <v>595</v>
      </c>
      <c r="D112" t="s">
        <v>3</v>
      </c>
      <c r="E112">
        <v>25</v>
      </c>
      <c r="F112" t="s">
        <v>5</v>
      </c>
      <c r="I112">
        <v>0</v>
      </c>
    </row>
    <row r="113" spans="1:14" x14ac:dyDescent="0.3">
      <c r="A113" s="2" t="s">
        <v>318</v>
      </c>
      <c r="B113" s="2" t="s">
        <v>58</v>
      </c>
      <c r="C113" t="s">
        <v>595</v>
      </c>
      <c r="D113" t="s">
        <v>3</v>
      </c>
      <c r="E113">
        <v>25</v>
      </c>
      <c r="F113" t="s">
        <v>5</v>
      </c>
      <c r="I113">
        <v>0</v>
      </c>
      <c r="N113" t="s">
        <v>16</v>
      </c>
    </row>
    <row r="114" spans="1:14" x14ac:dyDescent="0.3">
      <c r="A114" s="2" t="s">
        <v>319</v>
      </c>
      <c r="B114" s="2" t="s">
        <v>58</v>
      </c>
      <c r="C114" t="s">
        <v>595</v>
      </c>
      <c r="D114" t="s">
        <v>3</v>
      </c>
      <c r="E114">
        <v>50</v>
      </c>
      <c r="F114" t="s">
        <v>5</v>
      </c>
      <c r="I114">
        <v>0</v>
      </c>
    </row>
    <row r="115" spans="1:14" x14ac:dyDescent="0.3">
      <c r="A115" s="2" t="s">
        <v>320</v>
      </c>
      <c r="B115" s="2" t="s">
        <v>58</v>
      </c>
      <c r="C115" t="s">
        <v>595</v>
      </c>
      <c r="D115" t="s">
        <v>3</v>
      </c>
      <c r="E115">
        <v>50</v>
      </c>
      <c r="F115" t="s">
        <v>5</v>
      </c>
      <c r="I115">
        <v>0</v>
      </c>
      <c r="N115" t="s">
        <v>16</v>
      </c>
    </row>
    <row r="116" spans="1:14" x14ac:dyDescent="0.3">
      <c r="A116" s="2" t="s">
        <v>321</v>
      </c>
      <c r="B116" s="2" t="s">
        <v>58</v>
      </c>
      <c r="C116" t="s">
        <v>595</v>
      </c>
      <c r="D116" t="s">
        <v>3</v>
      </c>
      <c r="E116">
        <v>100</v>
      </c>
      <c r="F116" t="s">
        <v>5</v>
      </c>
      <c r="I116">
        <v>0</v>
      </c>
    </row>
    <row r="117" spans="1:14" x14ac:dyDescent="0.3">
      <c r="A117" s="2" t="s">
        <v>322</v>
      </c>
      <c r="B117" s="2" t="s">
        <v>58</v>
      </c>
      <c r="C117" t="s">
        <v>595</v>
      </c>
      <c r="D117" t="s">
        <v>3</v>
      </c>
      <c r="E117">
        <v>100</v>
      </c>
      <c r="F117" t="s">
        <v>5</v>
      </c>
      <c r="I117">
        <v>0</v>
      </c>
      <c r="N117" t="s">
        <v>16</v>
      </c>
    </row>
    <row r="118" spans="1:14" x14ac:dyDescent="0.3">
      <c r="A118" s="2" t="s">
        <v>323</v>
      </c>
      <c r="B118" s="2" t="s">
        <v>65</v>
      </c>
      <c r="C118" t="s">
        <v>596</v>
      </c>
      <c r="D118" t="s">
        <v>3</v>
      </c>
      <c r="E118">
        <v>500</v>
      </c>
      <c r="F118" t="s">
        <v>5</v>
      </c>
      <c r="I118">
        <v>0</v>
      </c>
      <c r="M118">
        <v>30</v>
      </c>
    </row>
    <row r="119" spans="1:14" x14ac:dyDescent="0.3">
      <c r="A119" s="2" t="s">
        <v>324</v>
      </c>
      <c r="B119" s="2" t="s">
        <v>65</v>
      </c>
      <c r="C119" t="s">
        <v>596</v>
      </c>
      <c r="D119" t="s">
        <v>3</v>
      </c>
      <c r="E119">
        <v>500</v>
      </c>
      <c r="F119" t="s">
        <v>5</v>
      </c>
      <c r="I119">
        <v>0</v>
      </c>
      <c r="M119">
        <v>30</v>
      </c>
    </row>
    <row r="120" spans="1:14" x14ac:dyDescent="0.3">
      <c r="A120" s="2" t="s">
        <v>325</v>
      </c>
      <c r="B120" s="2" t="s">
        <v>65</v>
      </c>
      <c r="C120" t="s">
        <v>596</v>
      </c>
      <c r="D120" t="s">
        <v>3</v>
      </c>
      <c r="E120">
        <v>500</v>
      </c>
      <c r="F120" t="s">
        <v>5</v>
      </c>
      <c r="I120">
        <v>0</v>
      </c>
      <c r="M120">
        <v>30</v>
      </c>
    </row>
    <row r="121" spans="1:14" x14ac:dyDescent="0.3">
      <c r="A121" s="2" t="s">
        <v>326</v>
      </c>
      <c r="B121" s="2" t="s">
        <v>65</v>
      </c>
      <c r="C121" t="s">
        <v>596</v>
      </c>
      <c r="D121" t="s">
        <v>584</v>
      </c>
      <c r="E121">
        <v>250</v>
      </c>
      <c r="F121" t="s">
        <v>5</v>
      </c>
      <c r="I121">
        <v>0</v>
      </c>
      <c r="M121">
        <v>5</v>
      </c>
    </row>
    <row r="122" spans="1:14" x14ac:dyDescent="0.3">
      <c r="A122" s="2" t="s">
        <v>326</v>
      </c>
      <c r="B122" s="2" t="s">
        <v>65</v>
      </c>
      <c r="C122" t="s">
        <v>596</v>
      </c>
      <c r="D122" t="s">
        <v>73</v>
      </c>
      <c r="E122">
        <v>500</v>
      </c>
      <c r="F122" t="s">
        <v>5</v>
      </c>
      <c r="I122">
        <f>5/60</f>
        <v>8.3333333333333329E-2</v>
      </c>
      <c r="J122">
        <v>8</v>
      </c>
      <c r="K122">
        <v>3</v>
      </c>
      <c r="M122">
        <f>8*60</f>
        <v>480</v>
      </c>
    </row>
    <row r="123" spans="1:14" x14ac:dyDescent="0.3">
      <c r="A123" s="2" t="s">
        <v>327</v>
      </c>
      <c r="B123" s="2" t="s">
        <v>65</v>
      </c>
      <c r="C123" t="s">
        <v>596</v>
      </c>
      <c r="D123" t="s">
        <v>584</v>
      </c>
      <c r="E123">
        <v>500</v>
      </c>
      <c r="F123" t="s">
        <v>5</v>
      </c>
      <c r="I123">
        <v>0</v>
      </c>
      <c r="M123">
        <v>5</v>
      </c>
    </row>
    <row r="124" spans="1:14" x14ac:dyDescent="0.3">
      <c r="A124" s="2" t="s">
        <v>327</v>
      </c>
      <c r="B124" s="2" t="s">
        <v>65</v>
      </c>
      <c r="C124" t="s">
        <v>596</v>
      </c>
      <c r="D124" t="s">
        <v>73</v>
      </c>
      <c r="E124">
        <v>1000</v>
      </c>
      <c r="F124" t="s">
        <v>5</v>
      </c>
      <c r="I124">
        <f>5/60</f>
        <v>8.3333333333333329E-2</v>
      </c>
      <c r="J124">
        <v>8</v>
      </c>
      <c r="K124">
        <v>3</v>
      </c>
      <c r="M124">
        <f>8*60</f>
        <v>480</v>
      </c>
    </row>
    <row r="125" spans="1:14" x14ac:dyDescent="0.3">
      <c r="A125" s="2" t="s">
        <v>328</v>
      </c>
      <c r="B125" s="2" t="s">
        <v>65</v>
      </c>
      <c r="C125" t="s">
        <v>596</v>
      </c>
      <c r="D125" t="s">
        <v>73</v>
      </c>
      <c r="E125">
        <v>500</v>
      </c>
      <c r="F125" t="s">
        <v>5</v>
      </c>
      <c r="I125">
        <v>0</v>
      </c>
      <c r="J125">
        <v>8</v>
      </c>
      <c r="K125">
        <v>3</v>
      </c>
      <c r="M125">
        <v>30</v>
      </c>
    </row>
    <row r="126" spans="1:14" x14ac:dyDescent="0.3">
      <c r="A126" s="2" t="s">
        <v>329</v>
      </c>
      <c r="B126" s="2" t="s">
        <v>65</v>
      </c>
      <c r="C126" t="s">
        <v>596</v>
      </c>
      <c r="D126" t="s">
        <v>73</v>
      </c>
      <c r="E126">
        <v>1000</v>
      </c>
      <c r="F126" t="s">
        <v>5</v>
      </c>
      <c r="I126">
        <v>0</v>
      </c>
      <c r="J126">
        <v>8</v>
      </c>
      <c r="K126">
        <v>3</v>
      </c>
      <c r="M126">
        <v>30</v>
      </c>
    </row>
    <row r="127" spans="1:14" x14ac:dyDescent="0.3">
      <c r="A127" s="2" t="s">
        <v>330</v>
      </c>
      <c r="B127" s="2" t="s">
        <v>65</v>
      </c>
      <c r="C127" t="s">
        <v>596</v>
      </c>
      <c r="D127" t="s">
        <v>585</v>
      </c>
      <c r="E127">
        <v>1000</v>
      </c>
      <c r="F127" t="s">
        <v>5</v>
      </c>
      <c r="I127">
        <v>0</v>
      </c>
      <c r="M127">
        <v>30</v>
      </c>
    </row>
    <row r="128" spans="1:14" x14ac:dyDescent="0.3">
      <c r="A128" s="2" t="s">
        <v>330</v>
      </c>
      <c r="B128" s="2" t="s">
        <v>65</v>
      </c>
      <c r="C128" t="s">
        <v>596</v>
      </c>
      <c r="D128" t="s">
        <v>586</v>
      </c>
      <c r="E128">
        <v>1000</v>
      </c>
      <c r="F128" t="s">
        <v>5</v>
      </c>
      <c r="I128">
        <v>24</v>
      </c>
      <c r="J128">
        <v>6</v>
      </c>
      <c r="K128">
        <v>5</v>
      </c>
      <c r="M128">
        <v>30</v>
      </c>
    </row>
    <row r="129" spans="1:13" x14ac:dyDescent="0.3">
      <c r="A129" s="2" t="s">
        <v>331</v>
      </c>
      <c r="B129" s="2" t="s">
        <v>78</v>
      </c>
      <c r="C129" t="s">
        <v>596</v>
      </c>
      <c r="D129" t="s">
        <v>79</v>
      </c>
      <c r="E129">
        <v>250</v>
      </c>
      <c r="F129" t="s">
        <v>5</v>
      </c>
      <c r="I129">
        <v>0</v>
      </c>
      <c r="M129">
        <v>30</v>
      </c>
    </row>
    <row r="130" spans="1:13" x14ac:dyDescent="0.3">
      <c r="A130" s="2" t="s">
        <v>332</v>
      </c>
      <c r="B130" s="2" t="s">
        <v>78</v>
      </c>
      <c r="C130" t="s">
        <v>595</v>
      </c>
      <c r="D130" t="s">
        <v>79</v>
      </c>
      <c r="E130">
        <v>250</v>
      </c>
      <c r="F130" t="s">
        <v>5</v>
      </c>
      <c r="I130">
        <v>0</v>
      </c>
    </row>
    <row r="131" spans="1:13" x14ac:dyDescent="0.3">
      <c r="A131" s="2" t="s">
        <v>333</v>
      </c>
      <c r="B131" s="2" t="s">
        <v>78</v>
      </c>
      <c r="C131" t="s">
        <v>595</v>
      </c>
      <c r="D131" t="s">
        <v>79</v>
      </c>
      <c r="E131">
        <v>500</v>
      </c>
      <c r="F131" t="s">
        <v>5</v>
      </c>
      <c r="I131">
        <v>0</v>
      </c>
    </row>
    <row r="132" spans="1:13" x14ac:dyDescent="0.3">
      <c r="A132" s="2" t="s">
        <v>334</v>
      </c>
      <c r="B132" s="2" t="s">
        <v>78</v>
      </c>
      <c r="C132" t="s">
        <v>595</v>
      </c>
      <c r="D132" t="s">
        <v>80</v>
      </c>
      <c r="E132">
        <v>250</v>
      </c>
      <c r="F132" t="s">
        <v>5</v>
      </c>
      <c r="I132">
        <v>0</v>
      </c>
      <c r="J132">
        <v>12</v>
      </c>
      <c r="K132">
        <v>7</v>
      </c>
    </row>
    <row r="133" spans="1:13" x14ac:dyDescent="0.3">
      <c r="A133" s="26" t="s">
        <v>335</v>
      </c>
      <c r="B133" s="2" t="s">
        <v>78</v>
      </c>
      <c r="C133" t="s">
        <v>595</v>
      </c>
      <c r="D133" t="s">
        <v>80</v>
      </c>
      <c r="E133">
        <v>500</v>
      </c>
      <c r="F133" t="s">
        <v>5</v>
      </c>
      <c r="I133">
        <v>0</v>
      </c>
      <c r="J133">
        <v>12</v>
      </c>
      <c r="K133">
        <v>14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4EF8-BF57-4046-A324-2F65412B99C1}">
  <dimension ref="A1:F3"/>
  <sheetViews>
    <sheetView workbookViewId="0"/>
  </sheetViews>
  <sheetFormatPr defaultRowHeight="14.4" x14ac:dyDescent="0.3"/>
  <cols>
    <col min="1" max="1" width="13.88671875" customWidth="1"/>
    <col min="2" max="2" width="15.21875" customWidth="1"/>
    <col min="4" max="4" width="12.21875" customWidth="1"/>
  </cols>
  <sheetData>
    <row r="1" spans="1:6" x14ac:dyDescent="0.3">
      <c r="A1" t="s">
        <v>90</v>
      </c>
      <c r="B1" t="s">
        <v>597</v>
      </c>
      <c r="C1" t="s">
        <v>599</v>
      </c>
      <c r="D1" t="s">
        <v>510</v>
      </c>
      <c r="E1" t="s">
        <v>511</v>
      </c>
      <c r="F1" t="s">
        <v>444</v>
      </c>
    </row>
    <row r="2" spans="1:6" x14ac:dyDescent="0.3">
      <c r="A2" t="s">
        <v>508</v>
      </c>
      <c r="B2" t="s">
        <v>598</v>
      </c>
      <c r="C2">
        <v>0</v>
      </c>
      <c r="D2">
        <v>14</v>
      </c>
      <c r="E2">
        <v>3</v>
      </c>
      <c r="F2" t="s">
        <v>517</v>
      </c>
    </row>
    <row r="3" spans="1:6" x14ac:dyDescent="0.3">
      <c r="A3" t="s">
        <v>509</v>
      </c>
      <c r="B3" t="s">
        <v>598</v>
      </c>
      <c r="C3">
        <v>0</v>
      </c>
      <c r="D3">
        <v>22</v>
      </c>
      <c r="E3">
        <v>3</v>
      </c>
      <c r="F3" t="s">
        <v>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4B6B-5CFC-47FD-8464-30D3D018387C}">
  <dimension ref="A1:S1861"/>
  <sheetViews>
    <sheetView tabSelected="1" workbookViewId="0">
      <selection activeCell="A7" sqref="A7:XFD7"/>
    </sheetView>
  </sheetViews>
  <sheetFormatPr defaultRowHeight="14.4" x14ac:dyDescent="0.3"/>
  <cols>
    <col min="2" max="2" width="33" customWidth="1"/>
    <col min="3" max="3" width="13.33203125" customWidth="1"/>
    <col min="9" max="9" width="12.5546875" customWidth="1"/>
    <col min="10" max="10" width="6.109375" customWidth="1"/>
    <col min="11" max="11" width="7.77734375" customWidth="1"/>
    <col min="12" max="13" width="15.21875" customWidth="1"/>
    <col min="14" max="14" width="18.77734375" customWidth="1"/>
    <col min="16" max="16" width="6.6640625" customWidth="1"/>
    <col min="17" max="17" width="19.88671875" customWidth="1"/>
    <col min="18" max="18" width="13" customWidth="1"/>
    <col min="19" max="19" width="10.5546875" customWidth="1"/>
  </cols>
  <sheetData>
    <row r="1" spans="1:19" x14ac:dyDescent="0.3">
      <c r="A1" t="s">
        <v>81</v>
      </c>
      <c r="B1" t="s">
        <v>443</v>
      </c>
      <c r="C1" t="s">
        <v>86</v>
      </c>
      <c r="D1" t="s">
        <v>444</v>
      </c>
      <c r="E1" t="s">
        <v>552</v>
      </c>
      <c r="F1" t="s">
        <v>553</v>
      </c>
      <c r="G1" t="s">
        <v>447</v>
      </c>
      <c r="H1" t="s">
        <v>448</v>
      </c>
      <c r="I1" t="s">
        <v>551</v>
      </c>
      <c r="J1" t="s">
        <v>554</v>
      </c>
      <c r="K1" t="s">
        <v>449</v>
      </c>
      <c r="L1" t="s">
        <v>450</v>
      </c>
      <c r="M1" t="s">
        <v>533</v>
      </c>
      <c r="N1" t="s">
        <v>451</v>
      </c>
      <c r="O1" t="s">
        <v>452</v>
      </c>
      <c r="P1" t="s">
        <v>457</v>
      </c>
      <c r="Q1" t="s">
        <v>453</v>
      </c>
      <c r="R1" t="s">
        <v>454</v>
      </c>
      <c r="S1" t="s">
        <v>85</v>
      </c>
    </row>
    <row r="2" spans="1:19" x14ac:dyDescent="0.3">
      <c r="A2" s="2" t="s">
        <v>84</v>
      </c>
      <c r="B2" t="s">
        <v>446</v>
      </c>
      <c r="C2" s="3" t="s">
        <v>0</v>
      </c>
      <c r="D2" t="s">
        <v>445</v>
      </c>
      <c r="G2">
        <v>30</v>
      </c>
      <c r="H2" t="s">
        <v>456</v>
      </c>
      <c r="K2" s="19">
        <v>8.9</v>
      </c>
      <c r="L2" t="s">
        <v>458</v>
      </c>
      <c r="M2" t="s">
        <v>535</v>
      </c>
      <c r="N2">
        <v>2.9</v>
      </c>
      <c r="O2" t="s">
        <v>459</v>
      </c>
      <c r="Q2" t="s">
        <v>468</v>
      </c>
      <c r="R2" t="s">
        <v>4</v>
      </c>
      <c r="S2" t="s">
        <v>1</v>
      </c>
    </row>
    <row r="3" spans="1:19" x14ac:dyDescent="0.3">
      <c r="A3" s="2" t="s">
        <v>84</v>
      </c>
      <c r="B3" t="s">
        <v>446</v>
      </c>
      <c r="C3" s="3" t="s">
        <v>0</v>
      </c>
      <c r="D3" t="s">
        <v>445</v>
      </c>
      <c r="G3">
        <v>60</v>
      </c>
      <c r="H3" t="s">
        <v>456</v>
      </c>
      <c r="K3" s="19">
        <v>4.9000000000000004</v>
      </c>
      <c r="L3" t="s">
        <v>458</v>
      </c>
      <c r="M3" t="s">
        <v>535</v>
      </c>
      <c r="N3">
        <v>1.3</v>
      </c>
      <c r="O3" t="s">
        <v>459</v>
      </c>
      <c r="Q3" t="s">
        <v>468</v>
      </c>
      <c r="R3" t="s">
        <v>4</v>
      </c>
      <c r="S3" t="s">
        <v>1</v>
      </c>
    </row>
    <row r="4" spans="1:19" x14ac:dyDescent="0.3">
      <c r="A4" s="2" t="s">
        <v>84</v>
      </c>
      <c r="B4" t="s">
        <v>446</v>
      </c>
      <c r="C4" s="3" t="s">
        <v>0</v>
      </c>
      <c r="D4" t="s">
        <v>445</v>
      </c>
      <c r="G4">
        <v>120</v>
      </c>
      <c r="H4" t="s">
        <v>456</v>
      </c>
      <c r="K4" s="19">
        <v>4</v>
      </c>
      <c r="L4" t="s">
        <v>458</v>
      </c>
      <c r="M4" t="s">
        <v>535</v>
      </c>
      <c r="N4">
        <v>1.3</v>
      </c>
      <c r="O4" t="s">
        <v>459</v>
      </c>
      <c r="Q4" t="s">
        <v>468</v>
      </c>
      <c r="R4" t="s">
        <v>4</v>
      </c>
      <c r="S4" t="s">
        <v>1</v>
      </c>
    </row>
    <row r="5" spans="1:19" x14ac:dyDescent="0.3">
      <c r="A5" s="2" t="s">
        <v>84</v>
      </c>
      <c r="B5" t="s">
        <v>446</v>
      </c>
      <c r="C5" s="3" t="s">
        <v>0</v>
      </c>
      <c r="D5" t="s">
        <v>445</v>
      </c>
      <c r="G5">
        <v>240</v>
      </c>
      <c r="H5" t="s">
        <v>456</v>
      </c>
      <c r="K5" s="19">
        <v>2.5</v>
      </c>
      <c r="L5" t="s">
        <v>458</v>
      </c>
      <c r="M5" t="s">
        <v>535</v>
      </c>
      <c r="N5">
        <v>1</v>
      </c>
      <c r="O5" t="s">
        <v>459</v>
      </c>
      <c r="Q5" t="s">
        <v>468</v>
      </c>
      <c r="R5" t="s">
        <v>4</v>
      </c>
      <c r="S5" t="s">
        <v>1</v>
      </c>
    </row>
    <row r="6" spans="1:19" x14ac:dyDescent="0.3">
      <c r="A6" s="2" t="s">
        <v>84</v>
      </c>
      <c r="B6" t="s">
        <v>446</v>
      </c>
      <c r="C6" s="3" t="s">
        <v>0</v>
      </c>
      <c r="D6" t="s">
        <v>445</v>
      </c>
      <c r="G6">
        <v>480</v>
      </c>
      <c r="H6" t="s">
        <v>456</v>
      </c>
      <c r="K6" s="19">
        <v>1.1000000000000001</v>
      </c>
      <c r="L6" t="s">
        <v>458</v>
      </c>
      <c r="M6" t="s">
        <v>535</v>
      </c>
      <c r="N6">
        <v>0.6</v>
      </c>
      <c r="O6" t="s">
        <v>459</v>
      </c>
      <c r="Q6" t="s">
        <v>468</v>
      </c>
      <c r="R6" t="s">
        <v>4</v>
      </c>
      <c r="S6" t="s">
        <v>1</v>
      </c>
    </row>
    <row r="7" spans="1:19" x14ac:dyDescent="0.3">
      <c r="A7" s="2" t="s">
        <v>88</v>
      </c>
      <c r="B7" t="s">
        <v>455</v>
      </c>
      <c r="C7" s="3" t="s">
        <v>0</v>
      </c>
      <c r="D7" t="s">
        <v>445</v>
      </c>
      <c r="G7">
        <v>30</v>
      </c>
      <c r="H7" t="s">
        <v>456</v>
      </c>
      <c r="K7" s="19">
        <v>17.399999999999999</v>
      </c>
      <c r="L7" t="s">
        <v>458</v>
      </c>
      <c r="M7" t="s">
        <v>535</v>
      </c>
      <c r="N7">
        <v>5.0999999999999996</v>
      </c>
      <c r="O7" t="s">
        <v>459</v>
      </c>
      <c r="Q7" t="s">
        <v>468</v>
      </c>
      <c r="R7" t="s">
        <v>4</v>
      </c>
      <c r="S7" t="s">
        <v>1</v>
      </c>
    </row>
    <row r="8" spans="1:19" x14ac:dyDescent="0.3">
      <c r="A8" s="2" t="s">
        <v>88</v>
      </c>
      <c r="B8" t="s">
        <v>455</v>
      </c>
      <c r="C8" s="3" t="s">
        <v>0</v>
      </c>
      <c r="D8" t="s">
        <v>445</v>
      </c>
      <c r="G8">
        <v>60</v>
      </c>
      <c r="H8" t="s">
        <v>456</v>
      </c>
      <c r="K8" s="19">
        <v>11.7</v>
      </c>
      <c r="L8" t="s">
        <v>458</v>
      </c>
      <c r="M8" t="s">
        <v>535</v>
      </c>
      <c r="N8">
        <v>2.8</v>
      </c>
      <c r="O8" t="s">
        <v>459</v>
      </c>
      <c r="Q8" t="s">
        <v>468</v>
      </c>
      <c r="R8" t="s">
        <v>4</v>
      </c>
      <c r="S8" t="s">
        <v>1</v>
      </c>
    </row>
    <row r="9" spans="1:19" x14ac:dyDescent="0.3">
      <c r="A9" s="2" t="s">
        <v>88</v>
      </c>
      <c r="B9" t="s">
        <v>455</v>
      </c>
      <c r="C9" s="3" t="s">
        <v>0</v>
      </c>
      <c r="D9" t="s">
        <v>445</v>
      </c>
      <c r="G9">
        <v>120</v>
      </c>
      <c r="H9" t="s">
        <v>456</v>
      </c>
      <c r="K9" s="19">
        <v>9.4</v>
      </c>
      <c r="L9" t="s">
        <v>458</v>
      </c>
      <c r="M9" t="s">
        <v>535</v>
      </c>
      <c r="N9">
        <v>2.2999999999999998</v>
      </c>
      <c r="O9" t="s">
        <v>459</v>
      </c>
      <c r="Q9" t="s">
        <v>468</v>
      </c>
      <c r="R9" t="s">
        <v>4</v>
      </c>
      <c r="S9" t="s">
        <v>1</v>
      </c>
    </row>
    <row r="10" spans="1:19" x14ac:dyDescent="0.3">
      <c r="A10" s="2" t="s">
        <v>88</v>
      </c>
      <c r="B10" t="s">
        <v>455</v>
      </c>
      <c r="C10" s="3" t="s">
        <v>0</v>
      </c>
      <c r="D10" t="s">
        <v>445</v>
      </c>
      <c r="G10">
        <v>240</v>
      </c>
      <c r="H10" t="s">
        <v>456</v>
      </c>
      <c r="K10" s="19">
        <v>6.4</v>
      </c>
      <c r="L10" t="s">
        <v>458</v>
      </c>
      <c r="M10" t="s">
        <v>535</v>
      </c>
      <c r="N10">
        <v>1.7</v>
      </c>
      <c r="O10" t="s">
        <v>459</v>
      </c>
      <c r="Q10" t="s">
        <v>468</v>
      </c>
      <c r="R10" t="s">
        <v>4</v>
      </c>
      <c r="S10" t="s">
        <v>1</v>
      </c>
    </row>
    <row r="11" spans="1:19" x14ac:dyDescent="0.3">
      <c r="A11" s="2" t="s">
        <v>88</v>
      </c>
      <c r="B11" t="s">
        <v>455</v>
      </c>
      <c r="C11" s="3" t="s">
        <v>0</v>
      </c>
      <c r="D11" t="s">
        <v>445</v>
      </c>
      <c r="G11">
        <v>480</v>
      </c>
      <c r="H11" t="s">
        <v>456</v>
      </c>
      <c r="K11" s="19">
        <v>3.5</v>
      </c>
      <c r="L11" t="s">
        <v>458</v>
      </c>
      <c r="M11" t="s">
        <v>535</v>
      </c>
      <c r="N11">
        <v>3.5</v>
      </c>
      <c r="O11" t="s">
        <v>459</v>
      </c>
      <c r="Q11" t="s">
        <v>468</v>
      </c>
      <c r="R11" t="s">
        <v>4</v>
      </c>
      <c r="S11" t="s">
        <v>1</v>
      </c>
    </row>
    <row r="12" spans="1:19" x14ac:dyDescent="0.3">
      <c r="A12" s="2" t="s">
        <v>88</v>
      </c>
      <c r="B12" t="s">
        <v>455</v>
      </c>
      <c r="C12" s="3" t="s">
        <v>0</v>
      </c>
      <c r="D12" t="s">
        <v>445</v>
      </c>
      <c r="G12">
        <v>720</v>
      </c>
      <c r="H12" t="s">
        <v>456</v>
      </c>
      <c r="K12" s="19">
        <v>1.2</v>
      </c>
      <c r="L12" t="s">
        <v>458</v>
      </c>
      <c r="M12" t="s">
        <v>535</v>
      </c>
      <c r="N12">
        <v>1.2</v>
      </c>
      <c r="O12" t="s">
        <v>459</v>
      </c>
      <c r="Q12" t="s">
        <v>468</v>
      </c>
      <c r="R12" t="s">
        <v>4</v>
      </c>
      <c r="S12" t="s">
        <v>1</v>
      </c>
    </row>
    <row r="13" spans="1:19" x14ac:dyDescent="0.3">
      <c r="A13" s="4" t="s">
        <v>92</v>
      </c>
      <c r="B13" t="s">
        <v>512</v>
      </c>
      <c r="C13" s="3" t="s">
        <v>8</v>
      </c>
      <c r="D13" t="s">
        <v>513</v>
      </c>
      <c r="G13">
        <v>0.5</v>
      </c>
      <c r="H13" t="s">
        <v>514</v>
      </c>
      <c r="K13" s="19">
        <v>2.4900000000000002</v>
      </c>
      <c r="L13" t="s">
        <v>458</v>
      </c>
      <c r="M13" t="s">
        <v>535</v>
      </c>
      <c r="N13">
        <v>1.17</v>
      </c>
      <c r="O13" t="s">
        <v>516</v>
      </c>
      <c r="Q13" t="s">
        <v>468</v>
      </c>
      <c r="R13" t="s">
        <v>4</v>
      </c>
      <c r="S13" t="s">
        <v>1</v>
      </c>
    </row>
    <row r="14" spans="1:19" x14ac:dyDescent="0.3">
      <c r="A14" s="4" t="s">
        <v>92</v>
      </c>
      <c r="B14" t="s">
        <v>512</v>
      </c>
      <c r="C14" s="3" t="s">
        <v>8</v>
      </c>
      <c r="D14" t="s">
        <v>513</v>
      </c>
      <c r="G14">
        <v>1</v>
      </c>
      <c r="H14" t="s">
        <v>514</v>
      </c>
      <c r="K14" s="19">
        <v>8.77</v>
      </c>
      <c r="L14" t="s">
        <v>458</v>
      </c>
      <c r="M14" t="s">
        <v>535</v>
      </c>
      <c r="N14">
        <v>0.49</v>
      </c>
      <c r="O14" t="s">
        <v>516</v>
      </c>
      <c r="Q14" t="s">
        <v>468</v>
      </c>
      <c r="R14" t="s">
        <v>4</v>
      </c>
      <c r="S14" t="s">
        <v>1</v>
      </c>
    </row>
    <row r="15" spans="1:19" x14ac:dyDescent="0.3">
      <c r="A15" s="4" t="s">
        <v>92</v>
      </c>
      <c r="B15" t="s">
        <v>512</v>
      </c>
      <c r="C15" s="3" t="s">
        <v>8</v>
      </c>
      <c r="D15" t="s">
        <v>513</v>
      </c>
      <c r="G15">
        <v>1.5</v>
      </c>
      <c r="H15" t="s">
        <v>514</v>
      </c>
      <c r="K15" s="19">
        <v>9.32</v>
      </c>
      <c r="L15" t="s">
        <v>458</v>
      </c>
      <c r="M15" t="s">
        <v>535</v>
      </c>
      <c r="N15">
        <v>0.36</v>
      </c>
      <c r="O15" t="s">
        <v>516</v>
      </c>
      <c r="Q15" t="s">
        <v>468</v>
      </c>
      <c r="R15" t="s">
        <v>4</v>
      </c>
      <c r="S15" t="s">
        <v>1</v>
      </c>
    </row>
    <row r="16" spans="1:19" x14ac:dyDescent="0.3">
      <c r="A16" s="4" t="s">
        <v>92</v>
      </c>
      <c r="B16" t="s">
        <v>512</v>
      </c>
      <c r="C16" s="3" t="s">
        <v>8</v>
      </c>
      <c r="D16" t="s">
        <v>513</v>
      </c>
      <c r="G16">
        <v>2</v>
      </c>
      <c r="H16" t="s">
        <v>514</v>
      </c>
      <c r="K16" s="19">
        <v>8.9499999999999993</v>
      </c>
      <c r="L16" t="s">
        <v>458</v>
      </c>
      <c r="M16" t="s">
        <v>535</v>
      </c>
      <c r="N16">
        <v>0.32</v>
      </c>
      <c r="O16" t="s">
        <v>516</v>
      </c>
      <c r="Q16" t="s">
        <v>468</v>
      </c>
      <c r="R16" t="s">
        <v>4</v>
      </c>
      <c r="S16" t="s">
        <v>1</v>
      </c>
    </row>
    <row r="17" spans="1:19" x14ac:dyDescent="0.3">
      <c r="A17" s="4" t="s">
        <v>92</v>
      </c>
      <c r="B17" t="s">
        <v>512</v>
      </c>
      <c r="C17" s="3" t="s">
        <v>8</v>
      </c>
      <c r="D17" t="s">
        <v>513</v>
      </c>
      <c r="G17">
        <v>2.5</v>
      </c>
      <c r="H17" t="s">
        <v>514</v>
      </c>
      <c r="K17" s="19">
        <v>8.51</v>
      </c>
      <c r="L17" t="s">
        <v>458</v>
      </c>
      <c r="M17" t="s">
        <v>535</v>
      </c>
      <c r="N17">
        <v>0.24</v>
      </c>
      <c r="O17" t="s">
        <v>516</v>
      </c>
      <c r="Q17" t="s">
        <v>468</v>
      </c>
      <c r="R17" t="s">
        <v>4</v>
      </c>
      <c r="S17" t="s">
        <v>1</v>
      </c>
    </row>
    <row r="18" spans="1:19" x14ac:dyDescent="0.3">
      <c r="A18" s="4" t="s">
        <v>92</v>
      </c>
      <c r="B18" t="s">
        <v>512</v>
      </c>
      <c r="C18" s="3" t="s">
        <v>8</v>
      </c>
      <c r="D18" t="s">
        <v>513</v>
      </c>
      <c r="G18">
        <v>3</v>
      </c>
      <c r="H18" t="s">
        <v>514</v>
      </c>
      <c r="K18" s="19">
        <v>7.9</v>
      </c>
      <c r="L18" t="s">
        <v>458</v>
      </c>
      <c r="M18" t="s">
        <v>535</v>
      </c>
      <c r="N18">
        <v>0.23</v>
      </c>
      <c r="O18" t="s">
        <v>516</v>
      </c>
      <c r="Q18" t="s">
        <v>468</v>
      </c>
      <c r="R18" t="s">
        <v>4</v>
      </c>
      <c r="S18" t="s">
        <v>1</v>
      </c>
    </row>
    <row r="19" spans="1:19" x14ac:dyDescent="0.3">
      <c r="A19" s="4" t="s">
        <v>92</v>
      </c>
      <c r="B19" t="s">
        <v>512</v>
      </c>
      <c r="C19" s="3" t="s">
        <v>8</v>
      </c>
      <c r="D19" t="s">
        <v>513</v>
      </c>
      <c r="G19">
        <v>4</v>
      </c>
      <c r="H19" t="s">
        <v>514</v>
      </c>
      <c r="K19" s="19">
        <v>6.76</v>
      </c>
      <c r="L19" t="s">
        <v>458</v>
      </c>
      <c r="M19" t="s">
        <v>535</v>
      </c>
      <c r="N19">
        <v>0.22</v>
      </c>
      <c r="O19" t="s">
        <v>516</v>
      </c>
      <c r="Q19" t="s">
        <v>468</v>
      </c>
      <c r="R19" t="s">
        <v>4</v>
      </c>
      <c r="S19" t="s">
        <v>1</v>
      </c>
    </row>
    <row r="20" spans="1:19" x14ac:dyDescent="0.3">
      <c r="A20" s="4" t="s">
        <v>92</v>
      </c>
      <c r="B20" t="s">
        <v>512</v>
      </c>
      <c r="C20" s="3" t="s">
        <v>8</v>
      </c>
      <c r="D20" t="s">
        <v>513</v>
      </c>
      <c r="G20">
        <v>6</v>
      </c>
      <c r="H20" t="s">
        <v>514</v>
      </c>
      <c r="K20" s="19">
        <v>4.29</v>
      </c>
      <c r="L20" t="s">
        <v>458</v>
      </c>
      <c r="M20" t="s">
        <v>535</v>
      </c>
      <c r="N20">
        <v>0.25</v>
      </c>
      <c r="O20" t="s">
        <v>516</v>
      </c>
      <c r="Q20" t="s">
        <v>468</v>
      </c>
      <c r="R20" t="s">
        <v>4</v>
      </c>
      <c r="S20" t="s">
        <v>1</v>
      </c>
    </row>
    <row r="21" spans="1:19" x14ac:dyDescent="0.3">
      <c r="A21" s="4" t="s">
        <v>92</v>
      </c>
      <c r="B21" t="s">
        <v>512</v>
      </c>
      <c r="C21" s="3" t="s">
        <v>8</v>
      </c>
      <c r="D21" t="s">
        <v>513</v>
      </c>
      <c r="G21">
        <v>8</v>
      </c>
      <c r="H21" t="s">
        <v>514</v>
      </c>
      <c r="K21" s="19">
        <v>3.08</v>
      </c>
      <c r="L21" t="s">
        <v>458</v>
      </c>
      <c r="M21" t="s">
        <v>535</v>
      </c>
      <c r="N21">
        <v>0.35</v>
      </c>
      <c r="O21" t="s">
        <v>516</v>
      </c>
      <c r="Q21" t="s">
        <v>468</v>
      </c>
      <c r="R21" t="s">
        <v>4</v>
      </c>
      <c r="S21" t="s">
        <v>1</v>
      </c>
    </row>
    <row r="22" spans="1:19" x14ac:dyDescent="0.3">
      <c r="A22" s="4" t="s">
        <v>92</v>
      </c>
      <c r="B22" t="s">
        <v>512</v>
      </c>
      <c r="C22" s="3" t="s">
        <v>8</v>
      </c>
      <c r="D22" t="s">
        <v>513</v>
      </c>
      <c r="G22">
        <v>10</v>
      </c>
      <c r="H22" t="s">
        <v>514</v>
      </c>
      <c r="K22" s="19">
        <v>1.89</v>
      </c>
      <c r="L22" t="s">
        <v>458</v>
      </c>
      <c r="M22" t="s">
        <v>535</v>
      </c>
      <c r="N22">
        <v>0.44</v>
      </c>
      <c r="O22" t="s">
        <v>516</v>
      </c>
      <c r="Q22" t="s">
        <v>468</v>
      </c>
      <c r="R22" t="s">
        <v>4</v>
      </c>
      <c r="S22" t="s">
        <v>1</v>
      </c>
    </row>
    <row r="23" spans="1:19" x14ac:dyDescent="0.3">
      <c r="A23" s="4" t="s">
        <v>92</v>
      </c>
      <c r="B23" t="s">
        <v>512</v>
      </c>
      <c r="C23" s="3" t="s">
        <v>8</v>
      </c>
      <c r="D23" t="s">
        <v>513</v>
      </c>
      <c r="G23">
        <v>12</v>
      </c>
      <c r="H23" t="s">
        <v>514</v>
      </c>
      <c r="K23" s="19">
        <v>1.1599999999999999</v>
      </c>
      <c r="L23" t="s">
        <v>458</v>
      </c>
      <c r="M23" t="s">
        <v>535</v>
      </c>
      <c r="N23">
        <v>0.59</v>
      </c>
      <c r="O23" t="s">
        <v>516</v>
      </c>
      <c r="Q23" t="s">
        <v>468</v>
      </c>
      <c r="R23" t="s">
        <v>4</v>
      </c>
      <c r="S23" t="s">
        <v>1</v>
      </c>
    </row>
    <row r="24" spans="1:19" x14ac:dyDescent="0.3">
      <c r="A24" s="4" t="s">
        <v>92</v>
      </c>
      <c r="B24" t="s">
        <v>512</v>
      </c>
      <c r="C24" s="3" t="s">
        <v>8</v>
      </c>
      <c r="D24" t="s">
        <v>513</v>
      </c>
      <c r="G24">
        <v>16</v>
      </c>
      <c r="H24" t="s">
        <v>514</v>
      </c>
      <c r="K24" s="19">
        <v>0.35</v>
      </c>
      <c r="L24" t="s">
        <v>458</v>
      </c>
      <c r="M24" t="s">
        <v>535</v>
      </c>
      <c r="N24">
        <v>1.1399999999999999</v>
      </c>
      <c r="O24" t="s">
        <v>516</v>
      </c>
      <c r="Q24" t="s">
        <v>468</v>
      </c>
      <c r="R24" t="s">
        <v>4</v>
      </c>
      <c r="S24" t="s">
        <v>1</v>
      </c>
    </row>
    <row r="25" spans="1:19" x14ac:dyDescent="0.3">
      <c r="A25" s="4" t="s">
        <v>92</v>
      </c>
      <c r="B25" t="s">
        <v>512</v>
      </c>
      <c r="C25" s="3" t="s">
        <v>8</v>
      </c>
      <c r="D25" t="s">
        <v>513</v>
      </c>
      <c r="G25">
        <v>24</v>
      </c>
      <c r="H25" t="s">
        <v>514</v>
      </c>
      <c r="K25" s="19">
        <v>0.01</v>
      </c>
      <c r="L25" t="s">
        <v>458</v>
      </c>
      <c r="M25" t="s">
        <v>535</v>
      </c>
      <c r="N25">
        <v>6</v>
      </c>
      <c r="O25" t="s">
        <v>516</v>
      </c>
      <c r="Q25" t="s">
        <v>468</v>
      </c>
      <c r="R25" t="s">
        <v>4</v>
      </c>
      <c r="S25" t="s">
        <v>1</v>
      </c>
    </row>
    <row r="26" spans="1:19" x14ac:dyDescent="0.3">
      <c r="A26" s="4" t="s">
        <v>93</v>
      </c>
      <c r="B26" t="s">
        <v>515</v>
      </c>
      <c r="C26" s="3" t="s">
        <v>8</v>
      </c>
      <c r="D26" t="s">
        <v>513</v>
      </c>
      <c r="G26">
        <v>0.5</v>
      </c>
      <c r="H26" t="s">
        <v>514</v>
      </c>
      <c r="K26" s="19">
        <v>1.31</v>
      </c>
      <c r="L26" t="s">
        <v>458</v>
      </c>
      <c r="M26" t="s">
        <v>535</v>
      </c>
      <c r="N26">
        <v>1.48</v>
      </c>
      <c r="O26" t="s">
        <v>516</v>
      </c>
      <c r="Q26" t="s">
        <v>468</v>
      </c>
      <c r="R26" t="s">
        <v>4</v>
      </c>
      <c r="S26" t="s">
        <v>1</v>
      </c>
    </row>
    <row r="27" spans="1:19" x14ac:dyDescent="0.3">
      <c r="A27" s="4" t="s">
        <v>93</v>
      </c>
      <c r="B27" t="s">
        <v>515</v>
      </c>
      <c r="C27" s="3" t="s">
        <v>8</v>
      </c>
      <c r="D27" t="s">
        <v>513</v>
      </c>
      <c r="G27">
        <v>1</v>
      </c>
      <c r="H27" t="s">
        <v>514</v>
      </c>
      <c r="K27" s="19">
        <v>8.6999999999999993</v>
      </c>
      <c r="L27" t="s">
        <v>458</v>
      </c>
      <c r="M27" t="s">
        <v>535</v>
      </c>
      <c r="N27">
        <v>0.37</v>
      </c>
      <c r="O27" t="s">
        <v>516</v>
      </c>
      <c r="Q27" t="s">
        <v>468</v>
      </c>
      <c r="R27" t="s">
        <v>4</v>
      </c>
      <c r="S27" t="s">
        <v>1</v>
      </c>
    </row>
    <row r="28" spans="1:19" x14ac:dyDescent="0.3">
      <c r="A28" s="4" t="s">
        <v>93</v>
      </c>
      <c r="B28" t="s">
        <v>515</v>
      </c>
      <c r="C28" s="3" t="s">
        <v>8</v>
      </c>
      <c r="D28" t="s">
        <v>513</v>
      </c>
      <c r="G28">
        <v>1.5</v>
      </c>
      <c r="H28" t="s">
        <v>514</v>
      </c>
      <c r="K28" s="19">
        <v>9.8000000000000007</v>
      </c>
      <c r="L28" t="s">
        <v>458</v>
      </c>
      <c r="M28" t="s">
        <v>535</v>
      </c>
      <c r="N28">
        <v>0.31</v>
      </c>
      <c r="O28" t="s">
        <v>516</v>
      </c>
      <c r="Q28" t="s">
        <v>468</v>
      </c>
      <c r="R28" t="s">
        <v>4</v>
      </c>
      <c r="S28" t="s">
        <v>1</v>
      </c>
    </row>
    <row r="29" spans="1:19" x14ac:dyDescent="0.3">
      <c r="A29" s="4" t="s">
        <v>93</v>
      </c>
      <c r="B29" t="s">
        <v>515</v>
      </c>
      <c r="C29" s="3" t="s">
        <v>8</v>
      </c>
      <c r="D29" t="s">
        <v>513</v>
      </c>
      <c r="G29">
        <v>2</v>
      </c>
      <c r="H29" t="s">
        <v>514</v>
      </c>
      <c r="K29" s="19">
        <v>9.15</v>
      </c>
      <c r="L29" t="s">
        <v>458</v>
      </c>
      <c r="M29" t="s">
        <v>535</v>
      </c>
      <c r="N29">
        <v>0.25</v>
      </c>
      <c r="O29" t="s">
        <v>516</v>
      </c>
      <c r="Q29" t="s">
        <v>468</v>
      </c>
      <c r="R29" t="s">
        <v>4</v>
      </c>
      <c r="S29" t="s">
        <v>1</v>
      </c>
    </row>
    <row r="30" spans="1:19" x14ac:dyDescent="0.3">
      <c r="A30" s="4" t="s">
        <v>93</v>
      </c>
      <c r="B30" t="s">
        <v>515</v>
      </c>
      <c r="C30" s="3" t="s">
        <v>8</v>
      </c>
      <c r="D30" t="s">
        <v>513</v>
      </c>
      <c r="G30">
        <v>2.5</v>
      </c>
      <c r="H30" t="s">
        <v>514</v>
      </c>
      <c r="K30" s="19">
        <v>8.66</v>
      </c>
      <c r="L30" t="s">
        <v>458</v>
      </c>
      <c r="M30" t="s">
        <v>535</v>
      </c>
      <c r="N30">
        <v>0.23</v>
      </c>
      <c r="O30" t="s">
        <v>516</v>
      </c>
      <c r="Q30" t="s">
        <v>468</v>
      </c>
      <c r="R30" t="s">
        <v>4</v>
      </c>
      <c r="S30" t="s">
        <v>1</v>
      </c>
    </row>
    <row r="31" spans="1:19" x14ac:dyDescent="0.3">
      <c r="A31" s="4" t="s">
        <v>93</v>
      </c>
      <c r="B31" t="s">
        <v>515</v>
      </c>
      <c r="C31" s="3" t="s">
        <v>8</v>
      </c>
      <c r="D31" t="s">
        <v>513</v>
      </c>
      <c r="G31">
        <v>3</v>
      </c>
      <c r="H31" t="s">
        <v>514</v>
      </c>
      <c r="K31" s="19">
        <v>7.92</v>
      </c>
      <c r="L31" t="s">
        <v>458</v>
      </c>
      <c r="M31" t="s">
        <v>535</v>
      </c>
      <c r="N31">
        <v>0.25</v>
      </c>
      <c r="O31" t="s">
        <v>516</v>
      </c>
      <c r="Q31" t="s">
        <v>468</v>
      </c>
      <c r="R31" t="s">
        <v>4</v>
      </c>
      <c r="S31" t="s">
        <v>1</v>
      </c>
    </row>
    <row r="32" spans="1:19" x14ac:dyDescent="0.3">
      <c r="A32" s="4" t="s">
        <v>93</v>
      </c>
      <c r="B32" t="s">
        <v>515</v>
      </c>
      <c r="C32" s="3" t="s">
        <v>8</v>
      </c>
      <c r="D32" t="s">
        <v>513</v>
      </c>
      <c r="G32">
        <v>4</v>
      </c>
      <c r="H32" t="s">
        <v>514</v>
      </c>
      <c r="K32" s="19">
        <v>6.71</v>
      </c>
      <c r="L32" t="s">
        <v>458</v>
      </c>
      <c r="M32" t="s">
        <v>535</v>
      </c>
      <c r="N32">
        <v>0.24</v>
      </c>
      <c r="O32" t="s">
        <v>516</v>
      </c>
      <c r="Q32" t="s">
        <v>468</v>
      </c>
      <c r="R32" t="s">
        <v>4</v>
      </c>
      <c r="S32" t="s">
        <v>1</v>
      </c>
    </row>
    <row r="33" spans="1:19" x14ac:dyDescent="0.3">
      <c r="A33" s="4" t="s">
        <v>93</v>
      </c>
      <c r="B33" t="s">
        <v>515</v>
      </c>
      <c r="C33" s="3" t="s">
        <v>8</v>
      </c>
      <c r="D33" t="s">
        <v>513</v>
      </c>
      <c r="G33">
        <v>6</v>
      </c>
      <c r="H33" t="s">
        <v>514</v>
      </c>
      <c r="K33" s="19">
        <v>4.1900000000000004</v>
      </c>
      <c r="L33" t="s">
        <v>458</v>
      </c>
      <c r="M33" t="s">
        <v>535</v>
      </c>
      <c r="N33">
        <v>0.24</v>
      </c>
      <c r="O33" t="s">
        <v>516</v>
      </c>
      <c r="Q33" t="s">
        <v>468</v>
      </c>
      <c r="R33" t="s">
        <v>4</v>
      </c>
      <c r="S33" t="s">
        <v>1</v>
      </c>
    </row>
    <row r="34" spans="1:19" x14ac:dyDescent="0.3">
      <c r="A34" s="4" t="s">
        <v>93</v>
      </c>
      <c r="B34" t="s">
        <v>515</v>
      </c>
      <c r="C34" s="3" t="s">
        <v>8</v>
      </c>
      <c r="D34" t="s">
        <v>513</v>
      </c>
      <c r="G34">
        <v>8</v>
      </c>
      <c r="H34" t="s">
        <v>514</v>
      </c>
      <c r="K34" s="19">
        <v>2.97</v>
      </c>
      <c r="L34" t="s">
        <v>458</v>
      </c>
      <c r="M34" t="s">
        <v>535</v>
      </c>
      <c r="N34">
        <v>0.31</v>
      </c>
      <c r="O34" t="s">
        <v>516</v>
      </c>
      <c r="Q34" t="s">
        <v>468</v>
      </c>
      <c r="R34" t="s">
        <v>4</v>
      </c>
      <c r="S34" t="s">
        <v>1</v>
      </c>
    </row>
    <row r="35" spans="1:19" x14ac:dyDescent="0.3">
      <c r="A35" s="4" t="s">
        <v>93</v>
      </c>
      <c r="B35" t="s">
        <v>515</v>
      </c>
      <c r="C35" s="3" t="s">
        <v>8</v>
      </c>
      <c r="D35" t="s">
        <v>513</v>
      </c>
      <c r="G35">
        <v>10</v>
      </c>
      <c r="H35" t="s">
        <v>514</v>
      </c>
      <c r="K35" s="19">
        <v>1.8</v>
      </c>
      <c r="L35" t="s">
        <v>458</v>
      </c>
      <c r="M35" t="s">
        <v>535</v>
      </c>
      <c r="N35">
        <v>0.4</v>
      </c>
      <c r="O35" t="s">
        <v>516</v>
      </c>
      <c r="Q35" t="s">
        <v>468</v>
      </c>
      <c r="R35" t="s">
        <v>4</v>
      </c>
      <c r="S35" t="s">
        <v>1</v>
      </c>
    </row>
    <row r="36" spans="1:19" x14ac:dyDescent="0.3">
      <c r="A36" s="4" t="s">
        <v>93</v>
      </c>
      <c r="B36" t="s">
        <v>515</v>
      </c>
      <c r="C36" s="3" t="s">
        <v>8</v>
      </c>
      <c r="D36" t="s">
        <v>513</v>
      </c>
      <c r="G36">
        <v>12</v>
      </c>
      <c r="H36" t="s">
        <v>514</v>
      </c>
      <c r="K36" s="19">
        <v>1.0900000000000001</v>
      </c>
      <c r="L36" t="s">
        <v>458</v>
      </c>
      <c r="M36" t="s">
        <v>535</v>
      </c>
      <c r="N36">
        <v>0.52</v>
      </c>
      <c r="O36" t="s">
        <v>516</v>
      </c>
      <c r="Q36" t="s">
        <v>468</v>
      </c>
      <c r="R36" t="s">
        <v>4</v>
      </c>
      <c r="S36" t="s">
        <v>1</v>
      </c>
    </row>
    <row r="37" spans="1:19" x14ac:dyDescent="0.3">
      <c r="A37" s="4" t="s">
        <v>93</v>
      </c>
      <c r="B37" t="s">
        <v>515</v>
      </c>
      <c r="C37" s="3" t="s">
        <v>8</v>
      </c>
      <c r="D37" t="s">
        <v>513</v>
      </c>
      <c r="G37">
        <v>16</v>
      </c>
      <c r="H37" t="s">
        <v>514</v>
      </c>
      <c r="K37" s="19">
        <v>0.3</v>
      </c>
      <c r="L37" t="s">
        <v>458</v>
      </c>
      <c r="M37" t="s">
        <v>535</v>
      </c>
      <c r="N37">
        <v>1.08</v>
      </c>
      <c r="O37" t="s">
        <v>516</v>
      </c>
      <c r="Q37" t="s">
        <v>468</v>
      </c>
      <c r="R37" t="s">
        <v>4</v>
      </c>
      <c r="S37" t="s">
        <v>1</v>
      </c>
    </row>
    <row r="38" spans="1:19" x14ac:dyDescent="0.3">
      <c r="A38" s="4" t="s">
        <v>93</v>
      </c>
      <c r="B38" t="s">
        <v>515</v>
      </c>
      <c r="C38" s="3" t="s">
        <v>8</v>
      </c>
      <c r="D38" t="s">
        <v>513</v>
      </c>
      <c r="G38">
        <v>24</v>
      </c>
      <c r="H38" t="s">
        <v>514</v>
      </c>
      <c r="K38" s="19">
        <v>0.02</v>
      </c>
      <c r="L38" t="s">
        <v>458</v>
      </c>
      <c r="M38" t="s">
        <v>535</v>
      </c>
      <c r="N38">
        <v>3.53</v>
      </c>
      <c r="O38" t="s">
        <v>516</v>
      </c>
      <c r="Q38" t="s">
        <v>468</v>
      </c>
      <c r="R38" t="s">
        <v>4</v>
      </c>
      <c r="S38" t="s">
        <v>1</v>
      </c>
    </row>
    <row r="39" spans="1:19" x14ac:dyDescent="0.3">
      <c r="A39" s="4" t="s">
        <v>94</v>
      </c>
      <c r="B39" s="1" t="s">
        <v>518</v>
      </c>
      <c r="C39" s="15" t="s">
        <v>519</v>
      </c>
      <c r="D39" t="s">
        <v>522</v>
      </c>
      <c r="G39" s="16">
        <v>73</v>
      </c>
      <c r="H39" s="16" t="s">
        <v>514</v>
      </c>
      <c r="I39" s="16"/>
      <c r="J39" s="16"/>
      <c r="K39" s="20">
        <v>10.65915</v>
      </c>
      <c r="L39" s="16" t="s">
        <v>521</v>
      </c>
      <c r="M39" t="s">
        <v>535</v>
      </c>
      <c r="N39" s="16">
        <v>4.8325469999999999</v>
      </c>
      <c r="O39" s="16" t="s">
        <v>459</v>
      </c>
      <c r="Q39" t="s">
        <v>468</v>
      </c>
      <c r="R39" t="s">
        <v>4</v>
      </c>
      <c r="S39" t="s">
        <v>1</v>
      </c>
    </row>
    <row r="40" spans="1:19" x14ac:dyDescent="0.3">
      <c r="A40" s="4" t="s">
        <v>94</v>
      </c>
      <c r="B40" s="1" t="s">
        <v>518</v>
      </c>
      <c r="C40" s="15" t="s">
        <v>519</v>
      </c>
      <c r="D40" t="s">
        <v>522</v>
      </c>
      <c r="G40" s="16">
        <v>74</v>
      </c>
      <c r="H40" s="16" t="s">
        <v>514</v>
      </c>
      <c r="I40" s="16"/>
      <c r="J40" s="16"/>
      <c r="K40" s="20">
        <v>9.641807</v>
      </c>
      <c r="L40" s="16" t="s">
        <v>521</v>
      </c>
      <c r="M40" t="s">
        <v>535</v>
      </c>
      <c r="N40" s="16">
        <v>3.0338449999999999</v>
      </c>
      <c r="O40" s="16" t="s">
        <v>459</v>
      </c>
      <c r="Q40" t="s">
        <v>468</v>
      </c>
      <c r="R40" t="s">
        <v>4</v>
      </c>
      <c r="S40" t="s">
        <v>1</v>
      </c>
    </row>
    <row r="41" spans="1:19" x14ac:dyDescent="0.3">
      <c r="A41" s="4" t="s">
        <v>94</v>
      </c>
      <c r="B41" s="1" t="s">
        <v>518</v>
      </c>
      <c r="C41" s="15" t="s">
        <v>519</v>
      </c>
      <c r="D41" t="s">
        <v>522</v>
      </c>
      <c r="G41" s="16">
        <v>75</v>
      </c>
      <c r="H41" s="16" t="s">
        <v>514</v>
      </c>
      <c r="I41" s="16"/>
      <c r="J41" s="16"/>
      <c r="K41" s="20">
        <v>8.0343459999999993</v>
      </c>
      <c r="L41" s="16" t="s">
        <v>521</v>
      </c>
      <c r="M41" t="s">
        <v>535</v>
      </c>
      <c r="N41" s="16">
        <v>2.337154</v>
      </c>
      <c r="O41" s="16" t="s">
        <v>459</v>
      </c>
      <c r="Q41" t="s">
        <v>468</v>
      </c>
      <c r="R41" t="s">
        <v>4</v>
      </c>
      <c r="S41" t="s">
        <v>1</v>
      </c>
    </row>
    <row r="42" spans="1:19" x14ac:dyDescent="0.3">
      <c r="A42" s="4" t="s">
        <v>94</v>
      </c>
      <c r="B42" s="1" t="s">
        <v>518</v>
      </c>
      <c r="C42" s="15" t="s">
        <v>519</v>
      </c>
      <c r="D42" t="s">
        <v>522</v>
      </c>
      <c r="G42" s="16">
        <v>76</v>
      </c>
      <c r="H42" s="16" t="s">
        <v>514</v>
      </c>
      <c r="I42" s="16"/>
      <c r="J42" s="16"/>
      <c r="K42" s="20">
        <v>6.7562069999999999</v>
      </c>
      <c r="L42" s="16" t="s">
        <v>521</v>
      </c>
      <c r="M42" t="s">
        <v>535</v>
      </c>
      <c r="N42" s="16">
        <v>2.045248</v>
      </c>
      <c r="O42" s="16" t="s">
        <v>459</v>
      </c>
      <c r="Q42" t="s">
        <v>468</v>
      </c>
      <c r="R42" t="s">
        <v>4</v>
      </c>
      <c r="S42" t="s">
        <v>1</v>
      </c>
    </row>
    <row r="43" spans="1:19" x14ac:dyDescent="0.3">
      <c r="A43" s="4" t="s">
        <v>94</v>
      </c>
      <c r="B43" s="1" t="s">
        <v>518</v>
      </c>
      <c r="C43" s="15" t="s">
        <v>519</v>
      </c>
      <c r="D43" t="s">
        <v>522</v>
      </c>
      <c r="G43" s="16">
        <v>78</v>
      </c>
      <c r="H43" s="16" t="s">
        <v>514</v>
      </c>
      <c r="I43" s="16"/>
      <c r="J43" s="16"/>
      <c r="K43" s="20">
        <v>3.9449329999999998</v>
      </c>
      <c r="L43" s="16" t="s">
        <v>521</v>
      </c>
      <c r="M43" t="s">
        <v>535</v>
      </c>
      <c r="N43" s="16">
        <v>1.3367500000000001</v>
      </c>
      <c r="O43" s="16" t="s">
        <v>459</v>
      </c>
      <c r="Q43" t="s">
        <v>468</v>
      </c>
      <c r="R43" t="s">
        <v>4</v>
      </c>
      <c r="S43" t="s">
        <v>1</v>
      </c>
    </row>
    <row r="44" spans="1:19" x14ac:dyDescent="0.3">
      <c r="A44" s="4" t="s">
        <v>94</v>
      </c>
      <c r="B44" s="1" t="s">
        <v>518</v>
      </c>
      <c r="C44" s="15" t="s">
        <v>519</v>
      </c>
      <c r="D44" t="s">
        <v>522</v>
      </c>
      <c r="G44" s="16">
        <v>80</v>
      </c>
      <c r="H44" s="16" t="s">
        <v>514</v>
      </c>
      <c r="I44" s="16"/>
      <c r="J44" s="16"/>
      <c r="K44" s="20">
        <v>2.5698099999999999</v>
      </c>
      <c r="L44" s="16" t="s">
        <v>521</v>
      </c>
      <c r="M44" t="s">
        <v>535</v>
      </c>
      <c r="N44" s="16">
        <v>1.3393120000000001</v>
      </c>
      <c r="O44" s="16" t="s">
        <v>459</v>
      </c>
      <c r="Q44" t="s">
        <v>468</v>
      </c>
      <c r="R44" t="s">
        <v>4</v>
      </c>
      <c r="S44" t="s">
        <v>1</v>
      </c>
    </row>
    <row r="45" spans="1:19" x14ac:dyDescent="0.3">
      <c r="A45" s="4" t="s">
        <v>94</v>
      </c>
      <c r="B45" s="1" t="s">
        <v>518</v>
      </c>
      <c r="C45" s="15" t="s">
        <v>519</v>
      </c>
      <c r="D45" t="s">
        <v>522</v>
      </c>
      <c r="G45" s="16">
        <v>145</v>
      </c>
      <c r="H45" s="16" t="s">
        <v>514</v>
      </c>
      <c r="I45" s="16"/>
      <c r="J45" s="16"/>
      <c r="K45" s="20">
        <v>7.813707</v>
      </c>
      <c r="L45" s="16" t="s">
        <v>521</v>
      </c>
      <c r="M45" t="s">
        <v>535</v>
      </c>
      <c r="N45" s="16">
        <v>4.7525620000000002</v>
      </c>
      <c r="O45" s="16" t="s">
        <v>459</v>
      </c>
      <c r="Q45" t="s">
        <v>468</v>
      </c>
      <c r="R45" t="s">
        <v>4</v>
      </c>
      <c r="S45" t="s">
        <v>1</v>
      </c>
    </row>
    <row r="46" spans="1:19" x14ac:dyDescent="0.3">
      <c r="A46" s="4" t="s">
        <v>94</v>
      </c>
      <c r="B46" s="1" t="s">
        <v>518</v>
      </c>
      <c r="C46" s="15" t="s">
        <v>519</v>
      </c>
      <c r="D46" t="s">
        <v>522</v>
      </c>
      <c r="G46" s="16">
        <v>146</v>
      </c>
      <c r="H46" s="16" t="s">
        <v>514</v>
      </c>
      <c r="I46" s="16"/>
      <c r="J46" s="16"/>
      <c r="K46" s="20">
        <v>9.1267779999999998</v>
      </c>
      <c r="L46" s="16" t="s">
        <v>521</v>
      </c>
      <c r="M46" t="s">
        <v>535</v>
      </c>
      <c r="N46" s="16">
        <v>2.8783029999999998</v>
      </c>
      <c r="O46" s="16" t="s">
        <v>459</v>
      </c>
      <c r="Q46" t="s">
        <v>468</v>
      </c>
      <c r="R46" t="s">
        <v>4</v>
      </c>
      <c r="S46" t="s">
        <v>1</v>
      </c>
    </row>
    <row r="47" spans="1:19" x14ac:dyDescent="0.3">
      <c r="A47" s="4" t="s">
        <v>94</v>
      </c>
      <c r="B47" s="1" t="s">
        <v>518</v>
      </c>
      <c r="C47" s="15" t="s">
        <v>519</v>
      </c>
      <c r="D47" t="s">
        <v>522</v>
      </c>
      <c r="G47" s="16">
        <v>147</v>
      </c>
      <c r="H47" s="16" t="s">
        <v>514</v>
      </c>
      <c r="I47" s="16"/>
      <c r="J47" s="16"/>
      <c r="K47" s="20">
        <v>7.0022580000000003</v>
      </c>
      <c r="L47" s="16" t="s">
        <v>521</v>
      </c>
      <c r="M47" t="s">
        <v>535</v>
      </c>
      <c r="N47" s="16">
        <v>2.464264</v>
      </c>
      <c r="O47" s="16" t="s">
        <v>459</v>
      </c>
      <c r="Q47" t="s">
        <v>468</v>
      </c>
      <c r="R47" t="s">
        <v>4</v>
      </c>
      <c r="S47" t="s">
        <v>1</v>
      </c>
    </row>
    <row r="48" spans="1:19" x14ac:dyDescent="0.3">
      <c r="A48" s="4" t="s">
        <v>94</v>
      </c>
      <c r="B48" s="1" t="s">
        <v>518</v>
      </c>
      <c r="C48" s="15" t="s">
        <v>519</v>
      </c>
      <c r="D48" t="s">
        <v>522</v>
      </c>
      <c r="G48" s="16">
        <v>148</v>
      </c>
      <c r="H48" s="16" t="s">
        <v>514</v>
      </c>
      <c r="I48" s="16"/>
      <c r="J48" s="16"/>
      <c r="K48" s="20">
        <v>5.779693</v>
      </c>
      <c r="L48" s="16" t="s">
        <v>521</v>
      </c>
      <c r="M48" t="s">
        <v>535</v>
      </c>
      <c r="N48" s="16">
        <v>2.034014</v>
      </c>
      <c r="O48" s="16" t="s">
        <v>459</v>
      </c>
      <c r="Q48" t="s">
        <v>468</v>
      </c>
      <c r="R48" t="s">
        <v>4</v>
      </c>
      <c r="S48" t="s">
        <v>1</v>
      </c>
    </row>
    <row r="49" spans="1:19" x14ac:dyDescent="0.3">
      <c r="A49" s="4" t="s">
        <v>94</v>
      </c>
      <c r="B49" s="1" t="s">
        <v>518</v>
      </c>
      <c r="C49" s="15" t="s">
        <v>519</v>
      </c>
      <c r="D49" t="s">
        <v>522</v>
      </c>
      <c r="G49" s="16">
        <v>150</v>
      </c>
      <c r="H49" s="16" t="s">
        <v>514</v>
      </c>
      <c r="I49" s="16"/>
      <c r="J49" s="16"/>
      <c r="K49" s="20">
        <v>2.912633</v>
      </c>
      <c r="L49" s="16" t="s">
        <v>521</v>
      </c>
      <c r="M49" t="s">
        <v>535</v>
      </c>
      <c r="N49" s="16">
        <v>1.323642</v>
      </c>
      <c r="O49" s="16" t="s">
        <v>459</v>
      </c>
      <c r="Q49" t="s">
        <v>468</v>
      </c>
      <c r="R49" t="s">
        <v>4</v>
      </c>
      <c r="S49" t="s">
        <v>1</v>
      </c>
    </row>
    <row r="50" spans="1:19" x14ac:dyDescent="0.3">
      <c r="A50" s="4" t="s">
        <v>94</v>
      </c>
      <c r="B50" s="1" t="s">
        <v>518</v>
      </c>
      <c r="C50" s="15" t="s">
        <v>519</v>
      </c>
      <c r="D50" t="s">
        <v>522</v>
      </c>
      <c r="G50" s="16">
        <v>152</v>
      </c>
      <c r="H50" s="16" t="s">
        <v>514</v>
      </c>
      <c r="I50" s="16"/>
      <c r="J50" s="16"/>
      <c r="K50" s="20">
        <v>1.7782789999999999</v>
      </c>
      <c r="L50" s="16" t="s">
        <v>521</v>
      </c>
      <c r="M50" t="s">
        <v>535</v>
      </c>
      <c r="N50" s="16">
        <v>1.2705070000000001</v>
      </c>
      <c r="O50" s="16" t="s">
        <v>459</v>
      </c>
      <c r="Q50" t="s">
        <v>468</v>
      </c>
      <c r="R50" t="s">
        <v>4</v>
      </c>
      <c r="S50" t="s">
        <v>1</v>
      </c>
    </row>
    <row r="51" spans="1:19" ht="14.4" customHeight="1" x14ac:dyDescent="0.3">
      <c r="A51" s="4" t="s">
        <v>95</v>
      </c>
      <c r="B51" s="4" t="s">
        <v>338</v>
      </c>
      <c r="C51" s="5" t="s">
        <v>13</v>
      </c>
      <c r="D51" t="s">
        <v>528</v>
      </c>
      <c r="G51">
        <v>0.33495036008594697</v>
      </c>
      <c r="H51" s="16" t="s">
        <v>514</v>
      </c>
      <c r="I51" s="19">
        <f>0.503632285061584</f>
        <v>0.50363228506158397</v>
      </c>
      <c r="J51" s="19" t="s">
        <v>555</v>
      </c>
      <c r="K51" s="19">
        <f>1.2*I51</f>
        <v>0.60435874207390072</v>
      </c>
      <c r="L51" s="16" t="s">
        <v>530</v>
      </c>
      <c r="M51" t="s">
        <v>535</v>
      </c>
      <c r="Q51" t="s">
        <v>468</v>
      </c>
      <c r="R51" t="s">
        <v>4</v>
      </c>
      <c r="S51" t="s">
        <v>14</v>
      </c>
    </row>
    <row r="52" spans="1:19" ht="14.4" customHeight="1" x14ac:dyDescent="0.3">
      <c r="A52" s="4" t="s">
        <v>95</v>
      </c>
      <c r="B52" s="4" t="s">
        <v>338</v>
      </c>
      <c r="C52" s="5" t="s">
        <v>13</v>
      </c>
      <c r="D52" t="s">
        <v>528</v>
      </c>
      <c r="G52">
        <v>0.61298455837581001</v>
      </c>
      <c r="H52" s="16" t="s">
        <v>514</v>
      </c>
      <c r="I52" s="19">
        <f>0.841802747611534</f>
        <v>0.84180274761153395</v>
      </c>
      <c r="J52" s="19" t="s">
        <v>555</v>
      </c>
      <c r="K52" s="19">
        <f t="shared" ref="K52:K63" si="0">1.2*I52</f>
        <v>1.0101632971338408</v>
      </c>
      <c r="L52" s="16" t="s">
        <v>530</v>
      </c>
      <c r="M52" t="s">
        <v>535</v>
      </c>
      <c r="Q52" t="s">
        <v>468</v>
      </c>
      <c r="R52" t="s">
        <v>4</v>
      </c>
      <c r="S52" t="s">
        <v>14</v>
      </c>
    </row>
    <row r="53" spans="1:19" ht="14.4" customHeight="1" x14ac:dyDescent="0.3">
      <c r="A53" s="4" t="s">
        <v>95</v>
      </c>
      <c r="B53" s="4" t="s">
        <v>338</v>
      </c>
      <c r="C53" s="5" t="s">
        <v>13</v>
      </c>
      <c r="D53" t="s">
        <v>528</v>
      </c>
      <c r="G53">
        <v>0.91448638843074503</v>
      </c>
      <c r="H53" s="16" t="s">
        <v>514</v>
      </c>
      <c r="I53" s="19">
        <f>0.572765211801018</f>
        <v>0.57276521180101803</v>
      </c>
      <c r="J53" s="19" t="s">
        <v>555</v>
      </c>
      <c r="K53" s="19">
        <f t="shared" si="0"/>
        <v>0.68731825416122161</v>
      </c>
      <c r="L53" s="16" t="s">
        <v>530</v>
      </c>
      <c r="M53" t="s">
        <v>535</v>
      </c>
      <c r="Q53" t="s">
        <v>468</v>
      </c>
      <c r="R53" t="s">
        <v>4</v>
      </c>
      <c r="S53" t="s">
        <v>14</v>
      </c>
    </row>
    <row r="54" spans="1:19" ht="14.4" customHeight="1" x14ac:dyDescent="0.3">
      <c r="A54" s="4" t="s">
        <v>95</v>
      </c>
      <c r="B54" s="4" t="s">
        <v>338</v>
      </c>
      <c r="C54" s="5" t="s">
        <v>13</v>
      </c>
      <c r="D54" t="s">
        <v>528</v>
      </c>
      <c r="G54">
        <v>1.21910054160086</v>
      </c>
      <c r="H54" s="16" t="s">
        <v>514</v>
      </c>
      <c r="I54" s="19">
        <f>0.469459883296038</f>
        <v>0.46945988329603799</v>
      </c>
      <c r="J54" s="19" t="s">
        <v>555</v>
      </c>
      <c r="K54" s="19">
        <f t="shared" si="0"/>
        <v>0.56335185995524562</v>
      </c>
      <c r="L54" s="16" t="s">
        <v>530</v>
      </c>
      <c r="M54" t="s">
        <v>535</v>
      </c>
      <c r="Q54" t="s">
        <v>468</v>
      </c>
      <c r="R54" t="s">
        <v>4</v>
      </c>
      <c r="S54" t="s">
        <v>14</v>
      </c>
    </row>
    <row r="55" spans="1:19" ht="14.4" customHeight="1" x14ac:dyDescent="0.3">
      <c r="A55" s="4" t="s">
        <v>95</v>
      </c>
      <c r="B55" s="4" t="s">
        <v>338</v>
      </c>
      <c r="C55" s="5" t="s">
        <v>13</v>
      </c>
      <c r="D55" t="s">
        <v>528</v>
      </c>
      <c r="G55">
        <v>1.67865114778094</v>
      </c>
      <c r="H55" s="16" t="s">
        <v>514</v>
      </c>
      <c r="I55" s="19">
        <f>0.40769959139072</f>
        <v>0.40769959139071998</v>
      </c>
      <c r="J55" s="19" t="s">
        <v>555</v>
      </c>
      <c r="K55" s="19">
        <f t="shared" si="0"/>
        <v>0.48923950966886398</v>
      </c>
      <c r="L55" s="16" t="s">
        <v>530</v>
      </c>
      <c r="M55" t="s">
        <v>535</v>
      </c>
      <c r="Q55" t="s">
        <v>468</v>
      </c>
      <c r="R55" t="s">
        <v>4</v>
      </c>
      <c r="S55" t="s">
        <v>14</v>
      </c>
    </row>
    <row r="56" spans="1:19" ht="14.4" customHeight="1" x14ac:dyDescent="0.3">
      <c r="A56" s="4" t="s">
        <v>95</v>
      </c>
      <c r="B56" s="4" t="s">
        <v>338</v>
      </c>
      <c r="C56" s="5" t="s">
        <v>13</v>
      </c>
      <c r="D56" t="s">
        <v>528</v>
      </c>
      <c r="G56">
        <v>2.1394896118017801</v>
      </c>
      <c r="H56" s="16" t="s">
        <v>514</v>
      </c>
      <c r="I56" s="19">
        <f>0.38241906858607</f>
        <v>0.38241906858607</v>
      </c>
      <c r="J56" s="19" t="s">
        <v>555</v>
      </c>
      <c r="K56" s="19">
        <f t="shared" si="0"/>
        <v>0.45890288230328397</v>
      </c>
      <c r="L56" s="16" t="s">
        <v>530</v>
      </c>
      <c r="M56" t="s">
        <v>535</v>
      </c>
      <c r="Q56" t="s">
        <v>468</v>
      </c>
      <c r="R56" t="s">
        <v>4</v>
      </c>
      <c r="S56" t="s">
        <v>14</v>
      </c>
    </row>
    <row r="57" spans="1:19" ht="14.4" customHeight="1" x14ac:dyDescent="0.3">
      <c r="A57" s="4" t="s">
        <v>95</v>
      </c>
      <c r="B57" s="4" t="s">
        <v>338</v>
      </c>
      <c r="C57" s="5" t="s">
        <v>13</v>
      </c>
      <c r="D57" t="s">
        <v>528</v>
      </c>
      <c r="G57">
        <v>3</v>
      </c>
      <c r="H57" s="16" t="s">
        <v>514</v>
      </c>
      <c r="I57" s="19">
        <f>0.349671386003052</f>
        <v>0.34967138600305198</v>
      </c>
      <c r="J57" s="19" t="s">
        <v>555</v>
      </c>
      <c r="K57" s="19">
        <f t="shared" si="0"/>
        <v>0.41960566320366238</v>
      </c>
      <c r="L57" s="16" t="s">
        <v>530</v>
      </c>
      <c r="M57" t="s">
        <v>535</v>
      </c>
      <c r="Q57" t="s">
        <v>468</v>
      </c>
      <c r="R57" t="s">
        <v>4</v>
      </c>
      <c r="S57" t="s">
        <v>14</v>
      </c>
    </row>
    <row r="58" spans="1:19" ht="14.4" customHeight="1" x14ac:dyDescent="0.3">
      <c r="A58" s="4" t="s">
        <v>95</v>
      </c>
      <c r="B58" s="4" t="s">
        <v>338</v>
      </c>
      <c r="C58" s="5" t="s">
        <v>13</v>
      </c>
      <c r="D58" t="s">
        <v>528</v>
      </c>
      <c r="G58">
        <v>4</v>
      </c>
      <c r="H58" s="16" t="s">
        <v>514</v>
      </c>
      <c r="I58" s="19">
        <f>0.32597069382337</f>
        <v>0.32597069382337002</v>
      </c>
      <c r="J58" s="19" t="s">
        <v>555</v>
      </c>
      <c r="K58" s="19">
        <f t="shared" si="0"/>
        <v>0.39116483258804402</v>
      </c>
      <c r="L58" s="16" t="s">
        <v>530</v>
      </c>
      <c r="M58" t="s">
        <v>535</v>
      </c>
      <c r="Q58" t="s">
        <v>468</v>
      </c>
      <c r="R58" t="s">
        <v>4</v>
      </c>
      <c r="S58" t="s">
        <v>14</v>
      </c>
    </row>
    <row r="59" spans="1:19" ht="14.4" customHeight="1" x14ac:dyDescent="0.3">
      <c r="A59" s="4" t="s">
        <v>95</v>
      </c>
      <c r="B59" s="4" t="s">
        <v>338</v>
      </c>
      <c r="C59" s="5" t="s">
        <v>13</v>
      </c>
      <c r="D59" t="s">
        <v>528</v>
      </c>
      <c r="G59">
        <v>6</v>
      </c>
      <c r="H59" s="16" t="s">
        <v>514</v>
      </c>
      <c r="I59" s="19">
        <f>0.277854589271807</f>
        <v>0.27785458927180701</v>
      </c>
      <c r="J59" s="19" t="s">
        <v>555</v>
      </c>
      <c r="K59" s="19">
        <f t="shared" si="0"/>
        <v>0.33342550712616842</v>
      </c>
      <c r="L59" s="16" t="s">
        <v>530</v>
      </c>
      <c r="M59" t="s">
        <v>535</v>
      </c>
      <c r="Q59" t="s">
        <v>468</v>
      </c>
      <c r="R59" t="s">
        <v>4</v>
      </c>
      <c r="S59" t="s">
        <v>14</v>
      </c>
    </row>
    <row r="60" spans="1:19" ht="14.4" customHeight="1" x14ac:dyDescent="0.3">
      <c r="A60" s="4" t="s">
        <v>95</v>
      </c>
      <c r="B60" s="4" t="s">
        <v>338</v>
      </c>
      <c r="C60" s="5" t="s">
        <v>13</v>
      </c>
      <c r="D60" t="s">
        <v>528</v>
      </c>
      <c r="G60">
        <v>8</v>
      </c>
      <c r="H60" s="16" t="s">
        <v>514</v>
      </c>
      <c r="I60" s="19">
        <f>0.229373271160667</f>
        <v>0.229373271160667</v>
      </c>
      <c r="J60" s="19" t="s">
        <v>555</v>
      </c>
      <c r="K60" s="19">
        <f t="shared" si="0"/>
        <v>0.27524792539280041</v>
      </c>
      <c r="L60" s="16" t="s">
        <v>530</v>
      </c>
      <c r="M60" t="s">
        <v>535</v>
      </c>
      <c r="Q60" t="s">
        <v>468</v>
      </c>
      <c r="R60" t="s">
        <v>4</v>
      </c>
      <c r="S60" t="s">
        <v>14</v>
      </c>
    </row>
    <row r="61" spans="1:19" ht="14.4" customHeight="1" x14ac:dyDescent="0.3">
      <c r="A61" s="4" t="s">
        <v>95</v>
      </c>
      <c r="B61" s="4" t="s">
        <v>338</v>
      </c>
      <c r="C61" s="5" t="s">
        <v>13</v>
      </c>
      <c r="D61" t="s">
        <v>528</v>
      </c>
      <c r="G61">
        <v>12</v>
      </c>
      <c r="H61" s="16" t="s">
        <v>514</v>
      </c>
      <c r="I61" s="19">
        <f>0.167726721625338</f>
        <v>0.167726721625338</v>
      </c>
      <c r="J61" s="19" t="s">
        <v>555</v>
      </c>
      <c r="K61" s="19">
        <f t="shared" si="0"/>
        <v>0.20127206595040559</v>
      </c>
      <c r="L61" s="16" t="s">
        <v>530</v>
      </c>
      <c r="M61" t="s">
        <v>535</v>
      </c>
      <c r="Q61" t="s">
        <v>468</v>
      </c>
      <c r="R61" t="s">
        <v>4</v>
      </c>
      <c r="S61" t="s">
        <v>14</v>
      </c>
    </row>
    <row r="62" spans="1:19" ht="14.4" customHeight="1" x14ac:dyDescent="0.3">
      <c r="A62" s="4" t="s">
        <v>95</v>
      </c>
      <c r="B62" s="4" t="s">
        <v>338</v>
      </c>
      <c r="C62" s="5" t="s">
        <v>13</v>
      </c>
      <c r="D62" t="s">
        <v>528</v>
      </c>
      <c r="G62">
        <v>24</v>
      </c>
      <c r="H62" s="16" t="s">
        <v>514</v>
      </c>
      <c r="I62" s="19">
        <f>0.0745755947071806</f>
        <v>7.4575594707180601E-2</v>
      </c>
      <c r="J62" s="19" t="s">
        <v>555</v>
      </c>
      <c r="K62" s="19">
        <f t="shared" si="0"/>
        <v>8.9490713648616715E-2</v>
      </c>
      <c r="L62" s="16" t="s">
        <v>530</v>
      </c>
      <c r="M62" t="s">
        <v>535</v>
      </c>
      <c r="Q62" t="s">
        <v>468</v>
      </c>
      <c r="R62" t="s">
        <v>4</v>
      </c>
      <c r="S62" t="s">
        <v>14</v>
      </c>
    </row>
    <row r="63" spans="1:19" ht="14.4" customHeight="1" x14ac:dyDescent="0.3">
      <c r="A63" s="4" t="s">
        <v>95</v>
      </c>
      <c r="B63" s="4" t="s">
        <v>338</v>
      </c>
      <c r="C63" s="5" t="s">
        <v>13</v>
      </c>
      <c r="D63" t="s">
        <v>528</v>
      </c>
      <c r="G63">
        <v>48</v>
      </c>
      <c r="H63" s="16" t="s">
        <v>514</v>
      </c>
      <c r="I63" s="19">
        <f>0.0179888769317748</f>
        <v>1.7988876931774801E-2</v>
      </c>
      <c r="J63" s="19" t="s">
        <v>555</v>
      </c>
      <c r="K63" s="19">
        <f t="shared" si="0"/>
        <v>2.158665231812976E-2</v>
      </c>
      <c r="L63" s="16" t="s">
        <v>530</v>
      </c>
      <c r="M63" t="s">
        <v>535</v>
      </c>
      <c r="Q63" t="s">
        <v>468</v>
      </c>
      <c r="R63" t="s">
        <v>4</v>
      </c>
      <c r="S63" t="s">
        <v>14</v>
      </c>
    </row>
    <row r="64" spans="1:19" ht="14.4" customHeight="1" x14ac:dyDescent="0.3">
      <c r="A64" s="4" t="s">
        <v>96</v>
      </c>
      <c r="B64" s="4" t="s">
        <v>524</v>
      </c>
      <c r="C64" s="5" t="s">
        <v>13</v>
      </c>
      <c r="D64" t="s">
        <v>529</v>
      </c>
      <c r="G64">
        <v>0.36990295954589097</v>
      </c>
      <c r="H64" s="16" t="s">
        <v>514</v>
      </c>
      <c r="I64" s="19">
        <f>0.0118545920289085</f>
        <v>1.1854592028908499E-2</v>
      </c>
      <c r="J64" s="19" t="s">
        <v>555</v>
      </c>
      <c r="K64" s="19">
        <f>I64*1.4</f>
        <v>1.6596428840471897E-2</v>
      </c>
      <c r="L64" s="16" t="s">
        <v>530</v>
      </c>
      <c r="M64" t="s">
        <v>535</v>
      </c>
      <c r="Q64" t="s">
        <v>468</v>
      </c>
      <c r="R64" t="s">
        <v>4</v>
      </c>
      <c r="S64" t="s">
        <v>14</v>
      </c>
    </row>
    <row r="65" spans="1:19" ht="14.4" customHeight="1" x14ac:dyDescent="0.3">
      <c r="A65" s="4" t="s">
        <v>96</v>
      </c>
      <c r="B65" s="4" t="s">
        <v>524</v>
      </c>
      <c r="C65" s="5" t="s">
        <v>13</v>
      </c>
      <c r="D65" t="s">
        <v>529</v>
      </c>
      <c r="G65">
        <v>1.1718963970979099</v>
      </c>
      <c r="H65" s="16" t="s">
        <v>514</v>
      </c>
      <c r="I65" s="19">
        <f>0.116917625229031</f>
        <v>0.116917625229031</v>
      </c>
      <c r="J65" s="19" t="s">
        <v>555</v>
      </c>
      <c r="K65" s="19">
        <f t="shared" ref="K65:K75" si="1">I65*1.4</f>
        <v>0.1636846753206434</v>
      </c>
      <c r="L65" s="16" t="s">
        <v>530</v>
      </c>
      <c r="M65" t="s">
        <v>535</v>
      </c>
      <c r="Q65" t="s">
        <v>468</v>
      </c>
      <c r="R65" t="s">
        <v>4</v>
      </c>
      <c r="S65" t="s">
        <v>14</v>
      </c>
    </row>
    <row r="66" spans="1:19" ht="14.4" customHeight="1" x14ac:dyDescent="0.3">
      <c r="A66" s="4" t="s">
        <v>96</v>
      </c>
      <c r="B66" s="4" t="s">
        <v>524</v>
      </c>
      <c r="C66" s="5" t="s">
        <v>13</v>
      </c>
      <c r="D66" t="s">
        <v>529</v>
      </c>
      <c r="G66">
        <v>1.34118822196325</v>
      </c>
      <c r="H66" s="16" t="s">
        <v>514</v>
      </c>
      <c r="I66" s="19">
        <f>0.244674523646729</f>
        <v>0.24467452364672901</v>
      </c>
      <c r="J66" s="19" t="s">
        <v>555</v>
      </c>
      <c r="K66" s="19">
        <f t="shared" si="1"/>
        <v>0.3425443331054206</v>
      </c>
      <c r="L66" s="16" t="s">
        <v>530</v>
      </c>
      <c r="M66" t="s">
        <v>535</v>
      </c>
      <c r="Q66" t="s">
        <v>468</v>
      </c>
      <c r="R66" t="s">
        <v>4</v>
      </c>
      <c r="S66" t="s">
        <v>14</v>
      </c>
    </row>
    <row r="67" spans="1:19" ht="14.4" customHeight="1" x14ac:dyDescent="0.3">
      <c r="A67" s="4" t="s">
        <v>96</v>
      </c>
      <c r="B67" s="4" t="s">
        <v>524</v>
      </c>
      <c r="C67" s="5" t="s">
        <v>13</v>
      </c>
      <c r="D67" t="s">
        <v>529</v>
      </c>
      <c r="G67">
        <v>2</v>
      </c>
      <c r="H67" s="16" t="s">
        <v>514</v>
      </c>
      <c r="I67" s="19">
        <f>0.255447345862311</f>
        <v>0.25544734586231099</v>
      </c>
      <c r="J67" s="19" t="s">
        <v>555</v>
      </c>
      <c r="K67" s="19">
        <f t="shared" si="1"/>
        <v>0.35762628420723536</v>
      </c>
      <c r="L67" s="16" t="s">
        <v>530</v>
      </c>
      <c r="M67" t="s">
        <v>535</v>
      </c>
      <c r="Q67" t="s">
        <v>468</v>
      </c>
      <c r="R67" t="s">
        <v>4</v>
      </c>
      <c r="S67" t="s">
        <v>14</v>
      </c>
    </row>
    <row r="68" spans="1:19" ht="14.4" customHeight="1" x14ac:dyDescent="0.3">
      <c r="A68" s="4" t="s">
        <v>96</v>
      </c>
      <c r="B68" s="4" t="s">
        <v>524</v>
      </c>
      <c r="C68" s="5" t="s">
        <v>13</v>
      </c>
      <c r="D68" t="s">
        <v>529</v>
      </c>
      <c r="G68">
        <v>2.5</v>
      </c>
      <c r="H68" s="16" t="s">
        <v>514</v>
      </c>
      <c r="I68" s="19">
        <f>0.308701506612021</f>
        <v>0.308701506612021</v>
      </c>
      <c r="J68" s="19" t="s">
        <v>555</v>
      </c>
      <c r="K68" s="19">
        <f t="shared" si="1"/>
        <v>0.43218210925682937</v>
      </c>
      <c r="L68" s="16" t="s">
        <v>530</v>
      </c>
      <c r="M68" t="s">
        <v>535</v>
      </c>
      <c r="Q68" t="s">
        <v>468</v>
      </c>
      <c r="R68" t="s">
        <v>4</v>
      </c>
      <c r="S68" t="s">
        <v>14</v>
      </c>
    </row>
    <row r="69" spans="1:19" ht="14.4" customHeight="1" x14ac:dyDescent="0.3">
      <c r="A69" s="4" t="s">
        <v>96</v>
      </c>
      <c r="B69" s="4" t="s">
        <v>524</v>
      </c>
      <c r="C69" s="5" t="s">
        <v>13</v>
      </c>
      <c r="D69" t="s">
        <v>529</v>
      </c>
      <c r="G69">
        <v>3</v>
      </c>
      <c r="H69" s="16" t="s">
        <v>514</v>
      </c>
      <c r="I69" s="19">
        <f>0.330238804638169</f>
        <v>0.33023880463816901</v>
      </c>
      <c r="J69" s="19" t="s">
        <v>555</v>
      </c>
      <c r="K69" s="19">
        <f t="shared" si="1"/>
        <v>0.46233432649343659</v>
      </c>
      <c r="L69" s="16" t="s">
        <v>530</v>
      </c>
      <c r="M69" t="s">
        <v>535</v>
      </c>
      <c r="Q69" t="s">
        <v>468</v>
      </c>
      <c r="R69" t="s">
        <v>4</v>
      </c>
      <c r="S69" t="s">
        <v>14</v>
      </c>
    </row>
    <row r="70" spans="1:19" ht="14.4" customHeight="1" x14ac:dyDescent="0.3">
      <c r="A70" s="4" t="s">
        <v>96</v>
      </c>
      <c r="B70" s="4" t="s">
        <v>524</v>
      </c>
      <c r="C70" s="5" t="s">
        <v>13</v>
      </c>
      <c r="D70" t="s">
        <v>529</v>
      </c>
      <c r="G70">
        <v>4</v>
      </c>
      <c r="H70" s="16" t="s">
        <v>514</v>
      </c>
      <c r="I70" s="19">
        <f>0.344830117241947</f>
        <v>0.34483011724194701</v>
      </c>
      <c r="J70" s="19" t="s">
        <v>555</v>
      </c>
      <c r="K70" s="19">
        <f t="shared" si="1"/>
        <v>0.4827621641387258</v>
      </c>
      <c r="L70" s="16" t="s">
        <v>530</v>
      </c>
      <c r="M70" t="s">
        <v>535</v>
      </c>
      <c r="Q70" t="s">
        <v>468</v>
      </c>
      <c r="R70" t="s">
        <v>4</v>
      </c>
      <c r="S70" t="s">
        <v>14</v>
      </c>
    </row>
    <row r="71" spans="1:19" ht="14.4" customHeight="1" x14ac:dyDescent="0.3">
      <c r="A71" s="4" t="s">
        <v>96</v>
      </c>
      <c r="B71" s="4" t="s">
        <v>524</v>
      </c>
      <c r="C71" s="5" t="s">
        <v>13</v>
      </c>
      <c r="D71" t="s">
        <v>529</v>
      </c>
      <c r="G71">
        <v>6</v>
      </c>
      <c r="H71" s="16" t="s">
        <v>514</v>
      </c>
      <c r="I71" s="19">
        <f>0.280505109738006</f>
        <v>0.28050510973800602</v>
      </c>
      <c r="J71" s="19" t="s">
        <v>555</v>
      </c>
      <c r="K71" s="19">
        <f t="shared" si="1"/>
        <v>0.39270715363320841</v>
      </c>
      <c r="L71" s="16" t="s">
        <v>530</v>
      </c>
      <c r="M71" t="s">
        <v>535</v>
      </c>
      <c r="Q71" t="s">
        <v>468</v>
      </c>
      <c r="R71" t="s">
        <v>4</v>
      </c>
      <c r="S71" t="s">
        <v>14</v>
      </c>
    </row>
    <row r="72" spans="1:19" ht="14.4" customHeight="1" x14ac:dyDescent="0.3">
      <c r="A72" s="4" t="s">
        <v>96</v>
      </c>
      <c r="B72" s="4" t="s">
        <v>524</v>
      </c>
      <c r="C72" s="5" t="s">
        <v>13</v>
      </c>
      <c r="D72" t="s">
        <v>529</v>
      </c>
      <c r="G72">
        <v>8</v>
      </c>
      <c r="H72" s="16" t="s">
        <v>514</v>
      </c>
      <c r="I72" s="19">
        <f>0.235261914524151</f>
        <v>0.23526191452415099</v>
      </c>
      <c r="J72" s="19" t="s">
        <v>555</v>
      </c>
      <c r="K72" s="19">
        <f t="shared" si="1"/>
        <v>0.32936668033381139</v>
      </c>
      <c r="L72" s="16" t="s">
        <v>530</v>
      </c>
      <c r="M72" t="s">
        <v>535</v>
      </c>
      <c r="Q72" t="s">
        <v>468</v>
      </c>
      <c r="R72" t="s">
        <v>4</v>
      </c>
      <c r="S72" t="s">
        <v>14</v>
      </c>
    </row>
    <row r="73" spans="1:19" ht="14.4" customHeight="1" x14ac:dyDescent="0.3">
      <c r="A73" s="4" t="s">
        <v>96</v>
      </c>
      <c r="B73" s="4" t="s">
        <v>524</v>
      </c>
      <c r="C73" s="5" t="s">
        <v>13</v>
      </c>
      <c r="D73" t="s">
        <v>529</v>
      </c>
      <c r="G73">
        <v>12</v>
      </c>
      <c r="H73" s="16" t="s">
        <v>514</v>
      </c>
      <c r="I73" s="19">
        <f>0.18243339432884</f>
        <v>0.18243339432884001</v>
      </c>
      <c r="J73" s="19" t="s">
        <v>555</v>
      </c>
      <c r="K73" s="19">
        <f t="shared" si="1"/>
        <v>0.255406752060376</v>
      </c>
      <c r="L73" s="16" t="s">
        <v>530</v>
      </c>
      <c r="M73" t="s">
        <v>535</v>
      </c>
      <c r="Q73" t="s">
        <v>468</v>
      </c>
      <c r="R73" t="s">
        <v>4</v>
      </c>
      <c r="S73" t="s">
        <v>14</v>
      </c>
    </row>
    <row r="74" spans="1:19" ht="14.4" customHeight="1" x14ac:dyDescent="0.3">
      <c r="A74" s="4" t="s">
        <v>96</v>
      </c>
      <c r="B74" s="4" t="s">
        <v>524</v>
      </c>
      <c r="C74" s="5" t="s">
        <v>13</v>
      </c>
      <c r="D74" t="s">
        <v>529</v>
      </c>
      <c r="G74">
        <v>24</v>
      </c>
      <c r="H74" s="16" t="s">
        <v>514</v>
      </c>
      <c r="I74" s="19">
        <f>0.0820195807738155*1.4</f>
        <v>0.1148274130833417</v>
      </c>
      <c r="J74" s="19" t="s">
        <v>555</v>
      </c>
      <c r="K74" s="19">
        <f t="shared" si="1"/>
        <v>0.16075837831667836</v>
      </c>
      <c r="L74" s="16" t="s">
        <v>530</v>
      </c>
      <c r="M74" t="s">
        <v>535</v>
      </c>
      <c r="Q74" t="s">
        <v>468</v>
      </c>
      <c r="R74" t="s">
        <v>4</v>
      </c>
      <c r="S74" t="s">
        <v>14</v>
      </c>
    </row>
    <row r="75" spans="1:19" ht="14.4" customHeight="1" x14ac:dyDescent="0.3">
      <c r="A75" s="4" t="s">
        <v>96</v>
      </c>
      <c r="B75" s="4" t="s">
        <v>524</v>
      </c>
      <c r="C75" s="5" t="s">
        <v>13</v>
      </c>
      <c r="D75" t="s">
        <v>529</v>
      </c>
      <c r="G75">
        <v>48</v>
      </c>
      <c r="H75" s="16" t="s">
        <v>514</v>
      </c>
      <c r="I75" s="19">
        <f>0.0242019023357732</f>
        <v>2.4201902335773198E-2</v>
      </c>
      <c r="J75" s="19" t="s">
        <v>555</v>
      </c>
      <c r="K75" s="19">
        <f t="shared" si="1"/>
        <v>3.3882663270082478E-2</v>
      </c>
      <c r="L75" s="16" t="s">
        <v>530</v>
      </c>
      <c r="M75" t="s">
        <v>535</v>
      </c>
      <c r="Q75" t="s">
        <v>468</v>
      </c>
      <c r="R75" t="s">
        <v>4</v>
      </c>
      <c r="S75" t="s">
        <v>14</v>
      </c>
    </row>
    <row r="76" spans="1:19" ht="14.4" customHeight="1" x14ac:dyDescent="0.3">
      <c r="A76" s="2" t="s">
        <v>97</v>
      </c>
      <c r="B76" s="4" t="s">
        <v>339</v>
      </c>
      <c r="C76" s="3" t="s">
        <v>17</v>
      </c>
      <c r="D76" t="s">
        <v>536</v>
      </c>
      <c r="E76">
        <v>0.05</v>
      </c>
      <c r="F76">
        <f>8*24</f>
        <v>192</v>
      </c>
      <c r="G76">
        <f>F76+E76</f>
        <v>192.05</v>
      </c>
      <c r="H76" s="16" t="s">
        <v>514</v>
      </c>
      <c r="I76" s="16"/>
      <c r="J76" s="16"/>
      <c r="K76" s="11">
        <v>0.80034129692832601</v>
      </c>
      <c r="L76" s="16" t="s">
        <v>458</v>
      </c>
      <c r="M76" t="s">
        <v>535</v>
      </c>
      <c r="Q76" t="s">
        <v>468</v>
      </c>
      <c r="R76" t="s">
        <v>4</v>
      </c>
      <c r="S76" t="s">
        <v>14</v>
      </c>
    </row>
    <row r="77" spans="1:19" ht="14.4" customHeight="1" x14ac:dyDescent="0.3">
      <c r="A77" s="2" t="s">
        <v>97</v>
      </c>
      <c r="B77" s="4" t="s">
        <v>339</v>
      </c>
      <c r="C77" s="3" t="s">
        <v>17</v>
      </c>
      <c r="D77" t="s">
        <v>536</v>
      </c>
      <c r="E77">
        <v>1</v>
      </c>
      <c r="F77">
        <f t="shared" ref="F77:F86" si="2">8*24</f>
        <v>192</v>
      </c>
      <c r="G77">
        <f t="shared" ref="G77:G86" si="3">F77+E77</f>
        <v>193</v>
      </c>
      <c r="H77" s="16" t="s">
        <v>514</v>
      </c>
      <c r="I77" s="16"/>
      <c r="J77" s="16"/>
      <c r="K77" s="11">
        <v>6.09215017064846</v>
      </c>
      <c r="L77" s="16" t="s">
        <v>458</v>
      </c>
      <c r="M77" t="s">
        <v>535</v>
      </c>
      <c r="Q77" t="s">
        <v>468</v>
      </c>
      <c r="R77" t="s">
        <v>4</v>
      </c>
      <c r="S77" t="s">
        <v>14</v>
      </c>
    </row>
    <row r="78" spans="1:19" ht="14.4" customHeight="1" x14ac:dyDescent="0.3">
      <c r="A78" s="2" t="s">
        <v>97</v>
      </c>
      <c r="B78" s="4" t="s">
        <v>339</v>
      </c>
      <c r="C78" s="3" t="s">
        <v>17</v>
      </c>
      <c r="D78" t="s">
        <v>536</v>
      </c>
      <c r="E78">
        <v>1.5</v>
      </c>
      <c r="F78">
        <f t="shared" si="2"/>
        <v>192</v>
      </c>
      <c r="G78">
        <f t="shared" si="3"/>
        <v>193.5</v>
      </c>
      <c r="H78" s="16" t="s">
        <v>514</v>
      </c>
      <c r="I78" s="16"/>
      <c r="J78" s="16"/>
      <c r="K78" s="11">
        <v>4.4078498293515302</v>
      </c>
      <c r="L78" s="16" t="s">
        <v>458</v>
      </c>
      <c r="M78" t="s">
        <v>535</v>
      </c>
      <c r="Q78" t="s">
        <v>468</v>
      </c>
      <c r="R78" t="s">
        <v>4</v>
      </c>
      <c r="S78" t="s">
        <v>14</v>
      </c>
    </row>
    <row r="79" spans="1:19" ht="14.4" customHeight="1" x14ac:dyDescent="0.3">
      <c r="A79" s="2" t="s">
        <v>97</v>
      </c>
      <c r="B79" s="4" t="s">
        <v>339</v>
      </c>
      <c r="C79" s="3" t="s">
        <v>17</v>
      </c>
      <c r="D79" t="s">
        <v>536</v>
      </c>
      <c r="E79">
        <v>2</v>
      </c>
      <c r="F79">
        <f t="shared" si="2"/>
        <v>192</v>
      </c>
      <c r="G79">
        <f t="shared" si="3"/>
        <v>194</v>
      </c>
      <c r="H79" s="16" t="s">
        <v>514</v>
      </c>
      <c r="I79" s="16"/>
      <c r="J79" s="16"/>
      <c r="K79" s="11">
        <v>4.0375426621160404</v>
      </c>
      <c r="L79" s="16" t="s">
        <v>458</v>
      </c>
      <c r="M79" t="s">
        <v>535</v>
      </c>
      <c r="Q79" t="s">
        <v>468</v>
      </c>
      <c r="R79" t="s">
        <v>4</v>
      </c>
      <c r="S79" t="s">
        <v>14</v>
      </c>
    </row>
    <row r="80" spans="1:19" ht="14.4" customHeight="1" x14ac:dyDescent="0.3">
      <c r="A80" s="2" t="s">
        <v>97</v>
      </c>
      <c r="B80" s="4" t="s">
        <v>339</v>
      </c>
      <c r="C80" s="3" t="s">
        <v>17</v>
      </c>
      <c r="D80" t="s">
        <v>536</v>
      </c>
      <c r="E80">
        <v>2.5</v>
      </c>
      <c r="F80">
        <f t="shared" si="2"/>
        <v>192</v>
      </c>
      <c r="G80">
        <f t="shared" si="3"/>
        <v>194.5</v>
      </c>
      <c r="H80" s="16" t="s">
        <v>514</v>
      </c>
      <c r="I80" s="16"/>
      <c r="J80" s="16"/>
      <c r="K80" s="11">
        <v>3.7508532423208099</v>
      </c>
      <c r="L80" s="16" t="s">
        <v>458</v>
      </c>
      <c r="M80" t="s">
        <v>535</v>
      </c>
      <c r="Q80" t="s">
        <v>468</v>
      </c>
      <c r="R80" t="s">
        <v>4</v>
      </c>
      <c r="S80" t="s">
        <v>14</v>
      </c>
    </row>
    <row r="81" spans="1:19" ht="14.4" customHeight="1" x14ac:dyDescent="0.3">
      <c r="A81" s="2" t="s">
        <v>97</v>
      </c>
      <c r="B81" s="4" t="s">
        <v>339</v>
      </c>
      <c r="C81" s="3" t="s">
        <v>17</v>
      </c>
      <c r="D81" t="s">
        <v>536</v>
      </c>
      <c r="E81">
        <v>3</v>
      </c>
      <c r="F81">
        <f t="shared" si="2"/>
        <v>192</v>
      </c>
      <c r="G81">
        <f t="shared" si="3"/>
        <v>195</v>
      </c>
      <c r="H81" s="16" t="s">
        <v>514</v>
      </c>
      <c r="I81" s="16"/>
      <c r="J81" s="16"/>
      <c r="K81" s="11">
        <v>3.46416382252559</v>
      </c>
      <c r="L81" s="16" t="s">
        <v>458</v>
      </c>
      <c r="M81" t="s">
        <v>535</v>
      </c>
      <c r="Q81" t="s">
        <v>468</v>
      </c>
      <c r="R81" t="s">
        <v>4</v>
      </c>
      <c r="S81" t="s">
        <v>14</v>
      </c>
    </row>
    <row r="82" spans="1:19" ht="14.4" customHeight="1" x14ac:dyDescent="0.3">
      <c r="A82" s="2" t="s">
        <v>97</v>
      </c>
      <c r="B82" s="4" t="s">
        <v>339</v>
      </c>
      <c r="C82" s="3" t="s">
        <v>17</v>
      </c>
      <c r="D82" t="s">
        <v>536</v>
      </c>
      <c r="E82">
        <v>4</v>
      </c>
      <c r="F82">
        <f t="shared" si="2"/>
        <v>192</v>
      </c>
      <c r="G82">
        <f t="shared" si="3"/>
        <v>196</v>
      </c>
      <c r="H82" s="16" t="s">
        <v>514</v>
      </c>
      <c r="I82" s="16"/>
      <c r="J82" s="16"/>
      <c r="K82" s="11">
        <v>3.2730375426621099</v>
      </c>
      <c r="L82" s="16" t="s">
        <v>458</v>
      </c>
      <c r="M82" t="s">
        <v>535</v>
      </c>
      <c r="Q82" t="s">
        <v>468</v>
      </c>
      <c r="R82" t="s">
        <v>4</v>
      </c>
      <c r="S82" t="s">
        <v>14</v>
      </c>
    </row>
    <row r="83" spans="1:19" ht="14.4" customHeight="1" x14ac:dyDescent="0.3">
      <c r="A83" s="2" t="s">
        <v>97</v>
      </c>
      <c r="B83" s="4" t="s">
        <v>339</v>
      </c>
      <c r="C83" s="3" t="s">
        <v>17</v>
      </c>
      <c r="D83" t="s">
        <v>536</v>
      </c>
      <c r="E83">
        <v>6</v>
      </c>
      <c r="F83">
        <f t="shared" si="2"/>
        <v>192</v>
      </c>
      <c r="G83">
        <f t="shared" si="3"/>
        <v>198</v>
      </c>
      <c r="H83" s="16" t="s">
        <v>514</v>
      </c>
      <c r="I83" s="16"/>
      <c r="J83" s="16"/>
      <c r="K83" s="11">
        <v>2.6040955631399298</v>
      </c>
      <c r="L83" s="16" t="s">
        <v>458</v>
      </c>
      <c r="M83" t="s">
        <v>535</v>
      </c>
      <c r="Q83" t="s">
        <v>468</v>
      </c>
      <c r="R83" t="s">
        <v>4</v>
      </c>
      <c r="S83" t="s">
        <v>14</v>
      </c>
    </row>
    <row r="84" spans="1:19" ht="14.4" customHeight="1" x14ac:dyDescent="0.3">
      <c r="A84" s="2" t="s">
        <v>97</v>
      </c>
      <c r="B84" s="4" t="s">
        <v>339</v>
      </c>
      <c r="C84" s="3" t="s">
        <v>17</v>
      </c>
      <c r="D84" t="s">
        <v>536</v>
      </c>
      <c r="E84">
        <v>8</v>
      </c>
      <c r="F84">
        <f t="shared" si="2"/>
        <v>192</v>
      </c>
      <c r="G84">
        <f t="shared" si="3"/>
        <v>200</v>
      </c>
      <c r="H84" s="16" t="s">
        <v>514</v>
      </c>
      <c r="I84" s="16"/>
      <c r="J84" s="16"/>
      <c r="K84" s="11">
        <v>2.2457337883959001</v>
      </c>
      <c r="L84" s="16" t="s">
        <v>458</v>
      </c>
      <c r="M84" t="s">
        <v>535</v>
      </c>
      <c r="Q84" t="s">
        <v>468</v>
      </c>
      <c r="R84" t="s">
        <v>4</v>
      </c>
      <c r="S84" t="s">
        <v>14</v>
      </c>
    </row>
    <row r="85" spans="1:19" ht="14.4" customHeight="1" x14ac:dyDescent="0.3">
      <c r="A85" s="2" t="s">
        <v>97</v>
      </c>
      <c r="B85" s="4" t="s">
        <v>339</v>
      </c>
      <c r="C85" s="3" t="s">
        <v>17</v>
      </c>
      <c r="D85" t="s">
        <v>536</v>
      </c>
      <c r="E85">
        <v>12</v>
      </c>
      <c r="F85">
        <f t="shared" si="2"/>
        <v>192</v>
      </c>
      <c r="G85">
        <f t="shared" si="3"/>
        <v>204</v>
      </c>
      <c r="H85" s="16" t="s">
        <v>514</v>
      </c>
      <c r="I85" s="16"/>
      <c r="J85" s="16"/>
      <c r="K85" s="11">
        <v>1.6484641638225199</v>
      </c>
      <c r="L85" s="16" t="s">
        <v>458</v>
      </c>
      <c r="M85" t="s">
        <v>535</v>
      </c>
      <c r="Q85" t="s">
        <v>468</v>
      </c>
      <c r="R85" t="s">
        <v>4</v>
      </c>
      <c r="S85" t="s">
        <v>14</v>
      </c>
    </row>
    <row r="86" spans="1:19" ht="14.4" customHeight="1" x14ac:dyDescent="0.3">
      <c r="A86" s="2" t="s">
        <v>97</v>
      </c>
      <c r="B86" s="4" t="s">
        <v>339</v>
      </c>
      <c r="C86" s="3" t="s">
        <v>17</v>
      </c>
      <c r="D86" t="s">
        <v>536</v>
      </c>
      <c r="E86">
        <v>24</v>
      </c>
      <c r="F86">
        <f t="shared" si="2"/>
        <v>192</v>
      </c>
      <c r="G86">
        <f t="shared" si="3"/>
        <v>216</v>
      </c>
      <c r="H86" s="16" t="s">
        <v>514</v>
      </c>
      <c r="I86" s="16"/>
      <c r="J86" s="16"/>
      <c r="K86" s="11">
        <v>0.860068259385665</v>
      </c>
      <c r="L86" s="16" t="s">
        <v>458</v>
      </c>
      <c r="M86" t="s">
        <v>535</v>
      </c>
      <c r="Q86" t="s">
        <v>468</v>
      </c>
      <c r="R86" t="s">
        <v>4</v>
      </c>
      <c r="S86" t="s">
        <v>14</v>
      </c>
    </row>
    <row r="87" spans="1:19" x14ac:dyDescent="0.3">
      <c r="A87" s="2" t="s">
        <v>98</v>
      </c>
      <c r="B87" s="4" t="s">
        <v>340</v>
      </c>
      <c r="C87" s="3" t="s">
        <v>17</v>
      </c>
      <c r="D87" t="s">
        <v>531</v>
      </c>
      <c r="G87">
        <v>0.5</v>
      </c>
      <c r="H87" s="16" t="s">
        <v>514</v>
      </c>
      <c r="I87" s="16"/>
      <c r="J87" s="16"/>
      <c r="K87" s="11">
        <v>1514.6303347322901</v>
      </c>
      <c r="L87" t="s">
        <v>537</v>
      </c>
      <c r="M87" t="s">
        <v>534</v>
      </c>
      <c r="Q87" t="s">
        <v>468</v>
      </c>
      <c r="R87" t="s">
        <v>4</v>
      </c>
      <c r="S87" t="s">
        <v>14</v>
      </c>
    </row>
    <row r="88" spans="1:19" ht="14.4" customHeight="1" x14ac:dyDescent="0.3">
      <c r="A88" s="2" t="s">
        <v>98</v>
      </c>
      <c r="B88" s="4" t="s">
        <v>340</v>
      </c>
      <c r="C88" s="3" t="s">
        <v>17</v>
      </c>
      <c r="D88" t="s">
        <v>531</v>
      </c>
      <c r="G88">
        <v>0.75</v>
      </c>
      <c r="H88" s="16" t="s">
        <v>514</v>
      </c>
      <c r="I88" s="16"/>
      <c r="J88" s="16"/>
      <c r="K88" s="11">
        <v>2294.08461133216</v>
      </c>
      <c r="L88" t="s">
        <v>537</v>
      </c>
      <c r="M88" t="s">
        <v>534</v>
      </c>
      <c r="Q88" t="s">
        <v>468</v>
      </c>
      <c r="R88" t="s">
        <v>4</v>
      </c>
      <c r="S88" t="s">
        <v>14</v>
      </c>
    </row>
    <row r="89" spans="1:19" ht="14.4" customHeight="1" x14ac:dyDescent="0.3">
      <c r="A89" s="2" t="s">
        <v>98</v>
      </c>
      <c r="B89" s="4" t="s">
        <v>340</v>
      </c>
      <c r="C89" s="3" t="s">
        <v>17</v>
      </c>
      <c r="D89" t="s">
        <v>531</v>
      </c>
      <c r="G89">
        <v>1</v>
      </c>
      <c r="H89" s="16" t="s">
        <v>514</v>
      </c>
      <c r="I89" s="16"/>
      <c r="J89" s="16"/>
      <c r="K89" s="11">
        <v>3707.6019987939499</v>
      </c>
      <c r="L89" t="s">
        <v>537</v>
      </c>
      <c r="M89" t="s">
        <v>534</v>
      </c>
      <c r="Q89" t="s">
        <v>468</v>
      </c>
      <c r="R89" t="s">
        <v>4</v>
      </c>
      <c r="S89" t="s">
        <v>14</v>
      </c>
    </row>
    <row r="90" spans="1:19" ht="14.4" customHeight="1" x14ac:dyDescent="0.3">
      <c r="A90" s="2" t="s">
        <v>98</v>
      </c>
      <c r="B90" s="4" t="s">
        <v>340</v>
      </c>
      <c r="C90" s="3" t="s">
        <v>17</v>
      </c>
      <c r="D90" t="s">
        <v>531</v>
      </c>
      <c r="G90">
        <v>4</v>
      </c>
      <c r="H90" s="16" t="s">
        <v>514</v>
      </c>
      <c r="I90" s="16"/>
      <c r="J90" s="16"/>
      <c r="K90" s="11">
        <v>1914.45420351441</v>
      </c>
      <c r="L90" t="s">
        <v>537</v>
      </c>
      <c r="M90" t="s">
        <v>534</v>
      </c>
      <c r="Q90" t="s">
        <v>468</v>
      </c>
      <c r="R90" t="s">
        <v>4</v>
      </c>
      <c r="S90" t="s">
        <v>14</v>
      </c>
    </row>
    <row r="91" spans="1:19" x14ac:dyDescent="0.3">
      <c r="A91" s="2" t="s">
        <v>98</v>
      </c>
      <c r="B91" s="4" t="s">
        <v>340</v>
      </c>
      <c r="C91" s="3" t="s">
        <v>17</v>
      </c>
      <c r="D91" t="s">
        <v>531</v>
      </c>
      <c r="G91">
        <v>6</v>
      </c>
      <c r="H91" s="16" t="s">
        <v>514</v>
      </c>
      <c r="I91" s="16"/>
      <c r="J91" s="16"/>
      <c r="K91" s="11">
        <v>1617.9295723093601</v>
      </c>
      <c r="L91" t="s">
        <v>537</v>
      </c>
      <c r="M91" t="s">
        <v>534</v>
      </c>
      <c r="Q91" t="s">
        <v>468</v>
      </c>
      <c r="R91" t="s">
        <v>4</v>
      </c>
      <c r="S91" t="s">
        <v>14</v>
      </c>
    </row>
    <row r="92" spans="1:19" x14ac:dyDescent="0.3">
      <c r="A92" s="2" t="s">
        <v>98</v>
      </c>
      <c r="B92" s="4" t="s">
        <v>340</v>
      </c>
      <c r="C92" s="3" t="s">
        <v>17</v>
      </c>
      <c r="D92" t="s">
        <v>531</v>
      </c>
      <c r="G92">
        <v>8</v>
      </c>
      <c r="H92" s="16" t="s">
        <v>514</v>
      </c>
      <c r="I92" s="16"/>
      <c r="J92" s="16"/>
      <c r="K92" s="11">
        <v>1367.4059354711101</v>
      </c>
      <c r="L92" t="s">
        <v>537</v>
      </c>
      <c r="M92" t="s">
        <v>534</v>
      </c>
      <c r="Q92" t="s">
        <v>468</v>
      </c>
      <c r="R92" t="s">
        <v>4</v>
      </c>
      <c r="S92" t="s">
        <v>14</v>
      </c>
    </row>
    <row r="93" spans="1:19" x14ac:dyDescent="0.3">
      <c r="A93" s="2" t="s">
        <v>98</v>
      </c>
      <c r="B93" s="4" t="s">
        <v>340</v>
      </c>
      <c r="C93" s="3" t="s">
        <v>17</v>
      </c>
      <c r="D93" t="s">
        <v>531</v>
      </c>
      <c r="G93">
        <v>12</v>
      </c>
      <c r="H93" s="16" t="s">
        <v>514</v>
      </c>
      <c r="I93" s="16"/>
      <c r="J93" s="16"/>
      <c r="K93" s="11">
        <v>964.13821851512296</v>
      </c>
      <c r="L93" t="s">
        <v>537</v>
      </c>
      <c r="M93" t="s">
        <v>534</v>
      </c>
      <c r="Q93" t="s">
        <v>468</v>
      </c>
      <c r="R93" t="s">
        <v>4</v>
      </c>
      <c r="S93" t="s">
        <v>14</v>
      </c>
    </row>
    <row r="94" spans="1:19" x14ac:dyDescent="0.3">
      <c r="A94" s="2" t="s">
        <v>98</v>
      </c>
      <c r="B94" s="4" t="s">
        <v>340</v>
      </c>
      <c r="C94" s="3" t="s">
        <v>17</v>
      </c>
      <c r="D94" t="s">
        <v>531</v>
      </c>
      <c r="G94">
        <v>24</v>
      </c>
      <c r="H94" s="16" t="s">
        <v>514</v>
      </c>
      <c r="I94" s="16"/>
      <c r="J94" s="16"/>
      <c r="K94" s="11">
        <v>415.85757727766401</v>
      </c>
      <c r="L94" t="s">
        <v>537</v>
      </c>
      <c r="M94" t="s">
        <v>534</v>
      </c>
      <c r="Q94" t="s">
        <v>468</v>
      </c>
      <c r="R94" t="s">
        <v>4</v>
      </c>
      <c r="S94" t="s">
        <v>14</v>
      </c>
    </row>
    <row r="95" spans="1:19" x14ac:dyDescent="0.3">
      <c r="A95" s="2" t="s">
        <v>98</v>
      </c>
      <c r="B95" s="4" t="s">
        <v>340</v>
      </c>
      <c r="C95" s="3" t="s">
        <v>17</v>
      </c>
      <c r="D95" t="s">
        <v>531</v>
      </c>
      <c r="G95">
        <v>32</v>
      </c>
      <c r="H95" s="16" t="s">
        <v>514</v>
      </c>
      <c r="I95" s="16"/>
      <c r="J95" s="16"/>
      <c r="K95" s="11">
        <v>229.32569622091299</v>
      </c>
      <c r="L95" t="s">
        <v>537</v>
      </c>
      <c r="M95" t="s">
        <v>534</v>
      </c>
      <c r="Q95" t="s">
        <v>468</v>
      </c>
      <c r="R95" t="s">
        <v>4</v>
      </c>
      <c r="S95" t="s">
        <v>14</v>
      </c>
    </row>
    <row r="96" spans="1:19" x14ac:dyDescent="0.3">
      <c r="A96" s="2" t="s">
        <v>98</v>
      </c>
      <c r="B96" s="4" t="s">
        <v>340</v>
      </c>
      <c r="C96" s="3" t="s">
        <v>17</v>
      </c>
      <c r="D96" t="s">
        <v>531</v>
      </c>
      <c r="G96">
        <v>48</v>
      </c>
      <c r="H96" s="16" t="s">
        <v>514</v>
      </c>
      <c r="I96" s="16"/>
      <c r="J96" s="16"/>
      <c r="K96" s="11">
        <v>84.721231729254995</v>
      </c>
      <c r="L96" t="s">
        <v>537</v>
      </c>
      <c r="M96" t="s">
        <v>534</v>
      </c>
      <c r="Q96" t="s">
        <v>468</v>
      </c>
      <c r="R96" t="s">
        <v>4</v>
      </c>
      <c r="S96" t="s">
        <v>14</v>
      </c>
    </row>
    <row r="97" spans="1:19" x14ac:dyDescent="0.3">
      <c r="A97" s="2" t="s">
        <v>98</v>
      </c>
      <c r="B97" s="4" t="s">
        <v>340</v>
      </c>
      <c r="C97" s="3" t="s">
        <v>17</v>
      </c>
      <c r="D97" t="s">
        <v>531</v>
      </c>
      <c r="G97">
        <v>72</v>
      </c>
      <c r="H97" s="16" t="s">
        <v>514</v>
      </c>
      <c r="I97" s="16"/>
      <c r="J97" s="16"/>
      <c r="K97" s="11">
        <v>28.6269985627608</v>
      </c>
      <c r="L97" t="s">
        <v>537</v>
      </c>
      <c r="M97" t="s">
        <v>534</v>
      </c>
      <c r="Q97" t="s">
        <v>468</v>
      </c>
      <c r="R97" t="s">
        <v>4</v>
      </c>
      <c r="S97" t="s">
        <v>14</v>
      </c>
    </row>
    <row r="98" spans="1:19" ht="13.8" customHeight="1" x14ac:dyDescent="0.3">
      <c r="A98" s="2" t="s">
        <v>98</v>
      </c>
      <c r="B98" s="4" t="s">
        <v>340</v>
      </c>
      <c r="C98" s="3" t="s">
        <v>17</v>
      </c>
      <c r="D98" t="s">
        <v>531</v>
      </c>
      <c r="G98">
        <v>96</v>
      </c>
      <c r="H98" s="16" t="s">
        <v>514</v>
      </c>
      <c r="I98" s="16"/>
      <c r="J98" s="16"/>
      <c r="K98" s="11">
        <v>11.5995492303894</v>
      </c>
      <c r="L98" t="s">
        <v>537</v>
      </c>
      <c r="M98" t="s">
        <v>534</v>
      </c>
      <c r="Q98" t="s">
        <v>468</v>
      </c>
      <c r="R98" t="s">
        <v>4</v>
      </c>
      <c r="S98" t="s">
        <v>14</v>
      </c>
    </row>
    <row r="99" spans="1:19" x14ac:dyDescent="0.3">
      <c r="A99" s="2" t="s">
        <v>103</v>
      </c>
      <c r="B99" s="4" t="s">
        <v>347</v>
      </c>
      <c r="C99" s="3" t="s">
        <v>17</v>
      </c>
      <c r="D99" t="s">
        <v>531</v>
      </c>
      <c r="G99">
        <v>0.25</v>
      </c>
      <c r="H99" s="16" t="s">
        <v>514</v>
      </c>
      <c r="I99" s="16"/>
      <c r="J99" s="16"/>
      <c r="K99" s="11">
        <v>37.069744173310603</v>
      </c>
      <c r="L99" t="s">
        <v>537</v>
      </c>
      <c r="M99" t="s">
        <v>534</v>
      </c>
      <c r="Q99" t="s">
        <v>468</v>
      </c>
      <c r="R99" t="s">
        <v>4</v>
      </c>
      <c r="S99" t="s">
        <v>14</v>
      </c>
    </row>
    <row r="100" spans="1:19" x14ac:dyDescent="0.3">
      <c r="A100" s="2" t="s">
        <v>103</v>
      </c>
      <c r="B100" s="4" t="s">
        <v>347</v>
      </c>
      <c r="C100" s="3" t="s">
        <v>17</v>
      </c>
      <c r="D100" t="s">
        <v>531</v>
      </c>
      <c r="G100">
        <v>0.5</v>
      </c>
      <c r="H100" s="16" t="s">
        <v>514</v>
      </c>
      <c r="I100" s="16"/>
      <c r="J100" s="16"/>
      <c r="K100" s="11">
        <v>175.83514471306199</v>
      </c>
      <c r="L100" t="s">
        <v>537</v>
      </c>
      <c r="M100" t="s">
        <v>534</v>
      </c>
      <c r="Q100" t="s">
        <v>468</v>
      </c>
      <c r="R100" t="s">
        <v>4</v>
      </c>
      <c r="S100" t="s">
        <v>14</v>
      </c>
    </row>
    <row r="101" spans="1:19" x14ac:dyDescent="0.3">
      <c r="A101" s="2" t="s">
        <v>103</v>
      </c>
      <c r="B101" s="4" t="s">
        <v>347</v>
      </c>
      <c r="C101" s="3" t="s">
        <v>17</v>
      </c>
      <c r="D101" t="s">
        <v>531</v>
      </c>
      <c r="G101">
        <v>1</v>
      </c>
      <c r="H101" s="16" t="s">
        <v>514</v>
      </c>
      <c r="I101" s="16"/>
      <c r="J101" s="16"/>
      <c r="K101" s="11">
        <v>761.66239692179795</v>
      </c>
      <c r="L101" t="s">
        <v>537</v>
      </c>
      <c r="M101" t="s">
        <v>534</v>
      </c>
      <c r="Q101" t="s">
        <v>468</v>
      </c>
      <c r="R101" t="s">
        <v>4</v>
      </c>
      <c r="S101" t="s">
        <v>14</v>
      </c>
    </row>
    <row r="102" spans="1:19" x14ac:dyDescent="0.3">
      <c r="A102" s="2" t="s">
        <v>103</v>
      </c>
      <c r="B102" s="4" t="s">
        <v>347</v>
      </c>
      <c r="C102" s="3" t="s">
        <v>17</v>
      </c>
      <c r="D102" t="s">
        <v>531</v>
      </c>
      <c r="G102">
        <v>1.5</v>
      </c>
      <c r="H102" s="16" t="s">
        <v>514</v>
      </c>
      <c r="I102" s="16"/>
      <c r="J102" s="16"/>
      <c r="K102" s="11">
        <v>610.97808765692901</v>
      </c>
      <c r="L102" t="s">
        <v>537</v>
      </c>
      <c r="M102" t="s">
        <v>534</v>
      </c>
      <c r="Q102" t="s">
        <v>468</v>
      </c>
      <c r="R102" t="s">
        <v>4</v>
      </c>
      <c r="S102" t="s">
        <v>14</v>
      </c>
    </row>
    <row r="103" spans="1:19" x14ac:dyDescent="0.3">
      <c r="A103" s="2" t="s">
        <v>103</v>
      </c>
      <c r="B103" s="4" t="s">
        <v>347</v>
      </c>
      <c r="C103" s="3" t="s">
        <v>17</v>
      </c>
      <c r="D103" t="s">
        <v>531</v>
      </c>
      <c r="G103">
        <v>1.75</v>
      </c>
      <c r="H103" s="16" t="s">
        <v>514</v>
      </c>
      <c r="I103" s="16"/>
      <c r="J103" s="16"/>
      <c r="K103" s="11">
        <v>771.71738312433797</v>
      </c>
      <c r="L103" t="s">
        <v>537</v>
      </c>
      <c r="M103" t="s">
        <v>534</v>
      </c>
      <c r="Q103" t="s">
        <v>468</v>
      </c>
      <c r="R103" t="s">
        <v>4</v>
      </c>
      <c r="S103" t="s">
        <v>14</v>
      </c>
    </row>
    <row r="104" spans="1:19" x14ac:dyDescent="0.3">
      <c r="A104" s="2" t="s">
        <v>103</v>
      </c>
      <c r="B104" s="4" t="s">
        <v>347</v>
      </c>
      <c r="C104" s="3" t="s">
        <v>17</v>
      </c>
      <c r="D104" t="s">
        <v>531</v>
      </c>
      <c r="G104">
        <v>2</v>
      </c>
      <c r="H104" s="16" t="s">
        <v>514</v>
      </c>
      <c r="I104" s="16"/>
      <c r="J104" s="16"/>
      <c r="K104" s="11">
        <v>1095.4773075706</v>
      </c>
      <c r="L104" t="s">
        <v>537</v>
      </c>
      <c r="M104" t="s">
        <v>534</v>
      </c>
      <c r="Q104" t="s">
        <v>468</v>
      </c>
      <c r="R104" t="s">
        <v>4</v>
      </c>
      <c r="S104" t="s">
        <v>14</v>
      </c>
    </row>
    <row r="105" spans="1:19" x14ac:dyDescent="0.3">
      <c r="A105" s="2" t="s">
        <v>103</v>
      </c>
      <c r="B105" s="4" t="s">
        <v>347</v>
      </c>
      <c r="C105" s="3" t="s">
        <v>17</v>
      </c>
      <c r="D105" t="s">
        <v>531</v>
      </c>
      <c r="G105">
        <v>2.75</v>
      </c>
      <c r="H105" s="16" t="s">
        <v>514</v>
      </c>
      <c r="I105" s="16"/>
      <c r="J105" s="16"/>
      <c r="K105" s="11">
        <v>1169.03319708188</v>
      </c>
      <c r="L105" t="s">
        <v>537</v>
      </c>
      <c r="M105" t="s">
        <v>534</v>
      </c>
      <c r="Q105" t="s">
        <v>468</v>
      </c>
      <c r="R105" t="s">
        <v>4</v>
      </c>
      <c r="S105" t="s">
        <v>14</v>
      </c>
    </row>
    <row r="106" spans="1:19" x14ac:dyDescent="0.3">
      <c r="A106" s="2" t="s">
        <v>103</v>
      </c>
      <c r="B106" s="4" t="s">
        <v>347</v>
      </c>
      <c r="C106" s="3" t="s">
        <v>17</v>
      </c>
      <c r="D106" t="s">
        <v>531</v>
      </c>
      <c r="G106">
        <v>3</v>
      </c>
      <c r="H106" s="16" t="s">
        <v>514</v>
      </c>
      <c r="I106" s="16"/>
      <c r="J106" s="16"/>
      <c r="K106" s="11">
        <v>1247.46131283553</v>
      </c>
      <c r="L106" t="s">
        <v>537</v>
      </c>
      <c r="M106" t="s">
        <v>534</v>
      </c>
      <c r="Q106" t="s">
        <v>468</v>
      </c>
      <c r="R106" t="s">
        <v>4</v>
      </c>
      <c r="S106" t="s">
        <v>14</v>
      </c>
    </row>
    <row r="107" spans="1:19" x14ac:dyDescent="0.3">
      <c r="A107" s="2" t="s">
        <v>103</v>
      </c>
      <c r="B107" s="4" t="s">
        <v>347</v>
      </c>
      <c r="C107" s="3" t="s">
        <v>17</v>
      </c>
      <c r="D107" t="s">
        <v>531</v>
      </c>
      <c r="G107">
        <v>4</v>
      </c>
      <c r="H107" s="16" t="s">
        <v>514</v>
      </c>
      <c r="I107" s="16"/>
      <c r="J107" s="16"/>
      <c r="K107" s="11">
        <v>1515.7508182970601</v>
      </c>
      <c r="L107" t="s">
        <v>537</v>
      </c>
      <c r="M107" t="s">
        <v>534</v>
      </c>
      <c r="Q107" t="s">
        <v>468</v>
      </c>
      <c r="R107" t="s">
        <v>4</v>
      </c>
      <c r="S107" t="s">
        <v>14</v>
      </c>
    </row>
    <row r="108" spans="1:19" x14ac:dyDescent="0.3">
      <c r="A108" s="2" t="s">
        <v>103</v>
      </c>
      <c r="B108" s="4" t="s">
        <v>347</v>
      </c>
      <c r="C108" s="3" t="s">
        <v>17</v>
      </c>
      <c r="D108" t="s">
        <v>531</v>
      </c>
      <c r="G108">
        <v>6</v>
      </c>
      <c r="H108" s="16" t="s">
        <v>514</v>
      </c>
      <c r="I108" s="16"/>
      <c r="J108" s="16"/>
      <c r="K108" s="11">
        <v>1516.2911063329</v>
      </c>
      <c r="L108" t="s">
        <v>537</v>
      </c>
      <c r="M108" t="s">
        <v>534</v>
      </c>
      <c r="Q108" t="s">
        <v>468</v>
      </c>
      <c r="R108" t="s">
        <v>4</v>
      </c>
      <c r="S108" t="s">
        <v>14</v>
      </c>
    </row>
    <row r="109" spans="1:19" x14ac:dyDescent="0.3">
      <c r="A109" s="2" t="s">
        <v>103</v>
      </c>
      <c r="B109" s="4" t="s">
        <v>347</v>
      </c>
      <c r="C109" s="3" t="s">
        <v>17</v>
      </c>
      <c r="D109" t="s">
        <v>531</v>
      </c>
      <c r="G109">
        <v>8</v>
      </c>
      <c r="H109" s="16" t="s">
        <v>514</v>
      </c>
      <c r="I109" s="16"/>
      <c r="J109" s="16"/>
      <c r="K109" s="11">
        <v>1264.9885018365001</v>
      </c>
      <c r="L109" t="s">
        <v>537</v>
      </c>
      <c r="M109" t="s">
        <v>534</v>
      </c>
      <c r="Q109" t="s">
        <v>468</v>
      </c>
      <c r="R109" t="s">
        <v>4</v>
      </c>
      <c r="S109" t="s">
        <v>14</v>
      </c>
    </row>
    <row r="110" spans="1:19" x14ac:dyDescent="0.3">
      <c r="A110" s="2" t="s">
        <v>103</v>
      </c>
      <c r="B110" s="4" t="s">
        <v>347</v>
      </c>
      <c r="C110" s="3" t="s">
        <v>17</v>
      </c>
      <c r="D110" t="s">
        <v>531</v>
      </c>
      <c r="G110">
        <v>12</v>
      </c>
      <c r="H110" s="16" t="s">
        <v>514</v>
      </c>
      <c r="I110" s="16"/>
      <c r="J110" s="16"/>
      <c r="K110" s="11">
        <v>927.28772381233705</v>
      </c>
      <c r="L110" t="s">
        <v>537</v>
      </c>
      <c r="M110" t="s">
        <v>534</v>
      </c>
      <c r="Q110" t="s">
        <v>468</v>
      </c>
      <c r="R110" t="s">
        <v>4</v>
      </c>
      <c r="S110" t="s">
        <v>14</v>
      </c>
    </row>
    <row r="111" spans="1:19" x14ac:dyDescent="0.3">
      <c r="A111" s="2" t="s">
        <v>103</v>
      </c>
      <c r="B111" s="4" t="s">
        <v>347</v>
      </c>
      <c r="C111" s="3" t="s">
        <v>17</v>
      </c>
      <c r="D111" t="s">
        <v>531</v>
      </c>
      <c r="G111">
        <v>24</v>
      </c>
      <c r="H111" s="16" t="s">
        <v>514</v>
      </c>
      <c r="I111" s="16"/>
      <c r="J111" s="16"/>
      <c r="K111" s="11">
        <v>384.71023125739799</v>
      </c>
      <c r="L111" t="s">
        <v>537</v>
      </c>
      <c r="M111" t="s">
        <v>534</v>
      </c>
      <c r="Q111" t="s">
        <v>468</v>
      </c>
      <c r="R111" t="s">
        <v>4</v>
      </c>
      <c r="S111" t="s">
        <v>14</v>
      </c>
    </row>
    <row r="112" spans="1:19" x14ac:dyDescent="0.3">
      <c r="A112" s="2" t="s">
        <v>103</v>
      </c>
      <c r="B112" s="4" t="s">
        <v>347</v>
      </c>
      <c r="C112" s="3" t="s">
        <v>17</v>
      </c>
      <c r="D112" t="s">
        <v>531</v>
      </c>
      <c r="G112">
        <v>32</v>
      </c>
      <c r="H112" s="16" t="s">
        <v>514</v>
      </c>
      <c r="I112" s="16"/>
      <c r="J112" s="16"/>
      <c r="K112" s="11">
        <v>212.145634404036</v>
      </c>
      <c r="L112" t="s">
        <v>537</v>
      </c>
      <c r="M112" t="s">
        <v>534</v>
      </c>
      <c r="Q112" t="s">
        <v>468</v>
      </c>
      <c r="R112" t="s">
        <v>4</v>
      </c>
      <c r="S112" t="s">
        <v>14</v>
      </c>
    </row>
    <row r="113" spans="1:19" x14ac:dyDescent="0.3">
      <c r="A113" s="2" t="s">
        <v>103</v>
      </c>
      <c r="B113" s="4" t="s">
        <v>347</v>
      </c>
      <c r="C113" s="3" t="s">
        <v>17</v>
      </c>
      <c r="D113" t="s">
        <v>531</v>
      </c>
      <c r="G113">
        <v>48</v>
      </c>
      <c r="H113" s="16" t="s">
        <v>514</v>
      </c>
      <c r="I113" s="16"/>
      <c r="J113" s="16"/>
      <c r="K113" s="11">
        <v>77.366911478670005</v>
      </c>
      <c r="L113" t="s">
        <v>537</v>
      </c>
      <c r="M113" t="s">
        <v>534</v>
      </c>
      <c r="Q113" t="s">
        <v>468</v>
      </c>
      <c r="R113" t="s">
        <v>4</v>
      </c>
      <c r="S113" t="s">
        <v>14</v>
      </c>
    </row>
    <row r="114" spans="1:19" x14ac:dyDescent="0.3">
      <c r="A114" s="2" t="s">
        <v>103</v>
      </c>
      <c r="B114" s="4" t="s">
        <v>347</v>
      </c>
      <c r="C114" s="3" t="s">
        <v>17</v>
      </c>
      <c r="D114" t="s">
        <v>531</v>
      </c>
      <c r="G114">
        <v>72</v>
      </c>
      <c r="H114" s="16" t="s">
        <v>514</v>
      </c>
      <c r="I114" s="16"/>
      <c r="J114" s="16"/>
      <c r="K114" s="11">
        <v>26.655907359603699</v>
      </c>
      <c r="L114" t="s">
        <v>537</v>
      </c>
      <c r="M114" t="s">
        <v>534</v>
      </c>
      <c r="Q114" t="s">
        <v>468</v>
      </c>
      <c r="R114" t="s">
        <v>4</v>
      </c>
      <c r="S114" t="s">
        <v>14</v>
      </c>
    </row>
    <row r="115" spans="1:19" x14ac:dyDescent="0.3">
      <c r="A115" s="2" t="s">
        <v>103</v>
      </c>
      <c r="B115" s="4" t="s">
        <v>347</v>
      </c>
      <c r="C115" s="3" t="s">
        <v>17</v>
      </c>
      <c r="D115" t="s">
        <v>531</v>
      </c>
      <c r="G115">
        <v>96</v>
      </c>
      <c r="H115" s="16" t="s">
        <v>514</v>
      </c>
      <c r="I115" s="16"/>
      <c r="J115" s="16"/>
      <c r="K115" s="11">
        <v>11.5246581819813</v>
      </c>
      <c r="L115" t="s">
        <v>537</v>
      </c>
      <c r="M115" t="s">
        <v>534</v>
      </c>
      <c r="Q115" t="s">
        <v>468</v>
      </c>
      <c r="R115" t="s">
        <v>4</v>
      </c>
      <c r="S115" t="s">
        <v>14</v>
      </c>
    </row>
    <row r="116" spans="1:19" x14ac:dyDescent="0.3">
      <c r="A116" s="2" t="s">
        <v>99</v>
      </c>
      <c r="B116" s="4" t="s">
        <v>341</v>
      </c>
      <c r="C116" s="3" t="s">
        <v>17</v>
      </c>
      <c r="D116" t="s">
        <v>532</v>
      </c>
      <c r="G116">
        <v>1</v>
      </c>
      <c r="H116" s="16" t="s">
        <v>514</v>
      </c>
      <c r="I116" s="16"/>
      <c r="J116" s="16"/>
      <c r="K116" s="11">
        <v>88.641828507911697</v>
      </c>
      <c r="L116" t="s">
        <v>537</v>
      </c>
      <c r="M116" t="s">
        <v>534</v>
      </c>
      <c r="Q116" t="s">
        <v>468</v>
      </c>
      <c r="R116" t="s">
        <v>4</v>
      </c>
      <c r="S116" t="s">
        <v>14</v>
      </c>
    </row>
    <row r="117" spans="1:19" x14ac:dyDescent="0.3">
      <c r="A117" s="2" t="s">
        <v>99</v>
      </c>
      <c r="B117" s="4" t="s">
        <v>341</v>
      </c>
      <c r="C117" s="3" t="s">
        <v>17</v>
      </c>
      <c r="D117" t="s">
        <v>532</v>
      </c>
      <c r="G117">
        <v>1.5</v>
      </c>
      <c r="H117" s="16" t="s">
        <v>514</v>
      </c>
      <c r="I117" s="16"/>
      <c r="J117" s="16"/>
      <c r="K117" s="11">
        <v>105.753846172441</v>
      </c>
      <c r="L117" t="s">
        <v>537</v>
      </c>
      <c r="M117" t="s">
        <v>534</v>
      </c>
      <c r="Q117" t="s">
        <v>468</v>
      </c>
      <c r="R117" t="s">
        <v>4</v>
      </c>
      <c r="S117" t="s">
        <v>14</v>
      </c>
    </row>
    <row r="118" spans="1:19" x14ac:dyDescent="0.3">
      <c r="A118" s="2" t="s">
        <v>99</v>
      </c>
      <c r="B118" s="4" t="s">
        <v>341</v>
      </c>
      <c r="C118" s="3" t="s">
        <v>17</v>
      </c>
      <c r="D118" t="s">
        <v>532</v>
      </c>
      <c r="G118">
        <v>2</v>
      </c>
      <c r="H118" s="16" t="s">
        <v>514</v>
      </c>
      <c r="I118" s="16"/>
      <c r="J118" s="16"/>
      <c r="K118" s="11">
        <v>114.044692573346</v>
      </c>
      <c r="L118" t="s">
        <v>537</v>
      </c>
      <c r="M118" t="s">
        <v>534</v>
      </c>
      <c r="Q118" t="s">
        <v>468</v>
      </c>
      <c r="R118" t="s">
        <v>4</v>
      </c>
      <c r="S118" t="s">
        <v>14</v>
      </c>
    </row>
    <row r="119" spans="1:19" x14ac:dyDescent="0.3">
      <c r="A119" s="2" t="s">
        <v>99</v>
      </c>
      <c r="B119" s="4" t="s">
        <v>341</v>
      </c>
      <c r="C119" s="3" t="s">
        <v>17</v>
      </c>
      <c r="D119" t="s">
        <v>532</v>
      </c>
      <c r="G119">
        <v>2.5</v>
      </c>
      <c r="H119" s="16" t="s">
        <v>514</v>
      </c>
      <c r="I119" s="16"/>
      <c r="J119" s="16"/>
      <c r="K119" s="11">
        <v>188.88480020565001</v>
      </c>
      <c r="L119" t="s">
        <v>537</v>
      </c>
      <c r="M119" t="s">
        <v>534</v>
      </c>
      <c r="Q119" t="s">
        <v>468</v>
      </c>
      <c r="R119" t="s">
        <v>4</v>
      </c>
      <c r="S119" t="s">
        <v>14</v>
      </c>
    </row>
    <row r="120" spans="1:19" x14ac:dyDescent="0.3">
      <c r="A120" s="2" t="s">
        <v>99</v>
      </c>
      <c r="B120" s="4" t="s">
        <v>341</v>
      </c>
      <c r="C120" s="3" t="s">
        <v>17</v>
      </c>
      <c r="D120" t="s">
        <v>532</v>
      </c>
      <c r="G120">
        <v>3</v>
      </c>
      <c r="H120" s="16" t="s">
        <v>514</v>
      </c>
      <c r="I120" s="16"/>
      <c r="J120" s="16"/>
      <c r="K120" s="11">
        <v>243.05761008687799</v>
      </c>
      <c r="L120" t="s">
        <v>537</v>
      </c>
      <c r="M120" t="s">
        <v>534</v>
      </c>
      <c r="Q120" t="s">
        <v>468</v>
      </c>
      <c r="R120" t="s">
        <v>4</v>
      </c>
      <c r="S120" t="s">
        <v>14</v>
      </c>
    </row>
    <row r="121" spans="1:19" x14ac:dyDescent="0.3">
      <c r="A121" s="2" t="s">
        <v>99</v>
      </c>
      <c r="B121" s="4" t="s">
        <v>341</v>
      </c>
      <c r="C121" s="3" t="s">
        <v>17</v>
      </c>
      <c r="D121" t="s">
        <v>532</v>
      </c>
      <c r="G121">
        <v>4</v>
      </c>
      <c r="H121" s="16" t="s">
        <v>514</v>
      </c>
      <c r="I121" s="16"/>
      <c r="J121" s="16"/>
      <c r="K121" s="11">
        <v>222.43983305676699</v>
      </c>
      <c r="L121" t="s">
        <v>537</v>
      </c>
      <c r="M121" t="s">
        <v>534</v>
      </c>
      <c r="Q121" t="s">
        <v>468</v>
      </c>
      <c r="R121" t="s">
        <v>4</v>
      </c>
      <c r="S121" t="s">
        <v>14</v>
      </c>
    </row>
    <row r="122" spans="1:19" x14ac:dyDescent="0.3">
      <c r="A122" s="2" t="s">
        <v>99</v>
      </c>
      <c r="B122" s="4" t="s">
        <v>341</v>
      </c>
      <c r="C122" s="3" t="s">
        <v>17</v>
      </c>
      <c r="D122" t="s">
        <v>532</v>
      </c>
      <c r="G122">
        <v>6</v>
      </c>
      <c r="H122" s="16" t="s">
        <v>514</v>
      </c>
      <c r="I122" s="16"/>
      <c r="J122" s="16"/>
      <c r="K122" s="11">
        <v>191.04457207850299</v>
      </c>
      <c r="L122" t="s">
        <v>537</v>
      </c>
      <c r="M122" t="s">
        <v>534</v>
      </c>
      <c r="Q122" t="s">
        <v>468</v>
      </c>
      <c r="R122" t="s">
        <v>4</v>
      </c>
      <c r="S122" t="s">
        <v>14</v>
      </c>
    </row>
    <row r="123" spans="1:19" x14ac:dyDescent="0.3">
      <c r="A123" s="2" t="s">
        <v>99</v>
      </c>
      <c r="B123" s="4" t="s">
        <v>341</v>
      </c>
      <c r="C123" s="3" t="s">
        <v>17</v>
      </c>
      <c r="D123" t="s">
        <v>532</v>
      </c>
      <c r="G123">
        <v>8</v>
      </c>
      <c r="H123" s="16" t="s">
        <v>514</v>
      </c>
      <c r="I123" s="16"/>
      <c r="J123" s="16"/>
      <c r="K123" s="11">
        <v>156.00525777070499</v>
      </c>
      <c r="L123" t="s">
        <v>537</v>
      </c>
      <c r="M123" t="s">
        <v>534</v>
      </c>
      <c r="Q123" t="s">
        <v>468</v>
      </c>
      <c r="R123" t="s">
        <v>4</v>
      </c>
      <c r="S123" t="s">
        <v>14</v>
      </c>
    </row>
    <row r="124" spans="1:19" x14ac:dyDescent="0.3">
      <c r="A124" s="2" t="s">
        <v>99</v>
      </c>
      <c r="B124" s="4" t="s">
        <v>341</v>
      </c>
      <c r="C124" s="3" t="s">
        <v>17</v>
      </c>
      <c r="D124" t="s">
        <v>532</v>
      </c>
      <c r="G124">
        <v>12</v>
      </c>
      <c r="H124" s="16" t="s">
        <v>514</v>
      </c>
      <c r="I124" s="16"/>
      <c r="J124" s="16"/>
      <c r="K124" s="11">
        <v>110.8124736843</v>
      </c>
      <c r="L124" t="s">
        <v>537</v>
      </c>
      <c r="M124" t="s">
        <v>534</v>
      </c>
      <c r="Q124" t="s">
        <v>468</v>
      </c>
      <c r="R124" t="s">
        <v>4</v>
      </c>
      <c r="S124" t="s">
        <v>14</v>
      </c>
    </row>
    <row r="125" spans="1:19" x14ac:dyDescent="0.3">
      <c r="A125" s="2" t="s">
        <v>99</v>
      </c>
      <c r="B125" s="4" t="s">
        <v>341</v>
      </c>
      <c r="C125" s="3" t="s">
        <v>17</v>
      </c>
      <c r="D125" t="s">
        <v>532</v>
      </c>
      <c r="G125">
        <v>24</v>
      </c>
      <c r="H125" s="16" t="s">
        <v>514</v>
      </c>
      <c r="I125" s="16"/>
      <c r="J125" s="16"/>
      <c r="K125" s="11">
        <v>52.417091052240302</v>
      </c>
      <c r="L125" t="s">
        <v>537</v>
      </c>
      <c r="M125" t="s">
        <v>534</v>
      </c>
      <c r="Q125" t="s">
        <v>468</v>
      </c>
      <c r="R125" t="s">
        <v>4</v>
      </c>
      <c r="S125" t="s">
        <v>14</v>
      </c>
    </row>
    <row r="126" spans="1:19" x14ac:dyDescent="0.3">
      <c r="A126" s="2" t="s">
        <v>99</v>
      </c>
      <c r="B126" s="4" t="s">
        <v>341</v>
      </c>
      <c r="C126" s="3" t="s">
        <v>17</v>
      </c>
      <c r="D126" t="s">
        <v>532</v>
      </c>
      <c r="G126">
        <v>48</v>
      </c>
      <c r="H126" s="16" t="s">
        <v>514</v>
      </c>
      <c r="I126" s="16"/>
      <c r="J126" s="16"/>
      <c r="K126" s="11">
        <v>12.181515533736601</v>
      </c>
      <c r="L126" t="s">
        <v>537</v>
      </c>
      <c r="M126" t="s">
        <v>534</v>
      </c>
      <c r="Q126" t="s">
        <v>468</v>
      </c>
      <c r="R126" t="s">
        <v>4</v>
      </c>
      <c r="S126" t="s">
        <v>14</v>
      </c>
    </row>
    <row r="127" spans="1:19" x14ac:dyDescent="0.3">
      <c r="A127" s="2" t="s">
        <v>100</v>
      </c>
      <c r="B127" s="4" t="s">
        <v>342</v>
      </c>
      <c r="C127" s="3" t="s">
        <v>17</v>
      </c>
      <c r="D127" t="s">
        <v>532</v>
      </c>
      <c r="G127">
        <v>0.5</v>
      </c>
      <c r="H127" s="16" t="s">
        <v>514</v>
      </c>
      <c r="I127" s="16"/>
      <c r="J127" s="16"/>
      <c r="K127" s="11">
        <v>16.556152539589799</v>
      </c>
      <c r="L127" t="s">
        <v>537</v>
      </c>
      <c r="M127" t="s">
        <v>534</v>
      </c>
      <c r="Q127" t="s">
        <v>468</v>
      </c>
      <c r="R127" t="s">
        <v>4</v>
      </c>
      <c r="S127" t="s">
        <v>14</v>
      </c>
    </row>
    <row r="128" spans="1:19" x14ac:dyDescent="0.3">
      <c r="A128" s="2" t="s">
        <v>100</v>
      </c>
      <c r="B128" s="4" t="s">
        <v>342</v>
      </c>
      <c r="C128" s="3" t="s">
        <v>17</v>
      </c>
      <c r="D128" t="s">
        <v>532</v>
      </c>
      <c r="G128">
        <v>1</v>
      </c>
      <c r="H128" s="16" t="s">
        <v>514</v>
      </c>
      <c r="I128" s="16"/>
      <c r="J128" s="16"/>
      <c r="K128" s="11">
        <v>158.376676432697</v>
      </c>
      <c r="L128" t="s">
        <v>537</v>
      </c>
      <c r="M128" t="s">
        <v>534</v>
      </c>
      <c r="Q128" t="s">
        <v>468</v>
      </c>
      <c r="R128" t="s">
        <v>4</v>
      </c>
      <c r="S128" t="s">
        <v>14</v>
      </c>
    </row>
    <row r="129" spans="1:19" x14ac:dyDescent="0.3">
      <c r="A129" s="2" t="s">
        <v>100</v>
      </c>
      <c r="B129" s="4" t="s">
        <v>342</v>
      </c>
      <c r="C129" s="3" t="s">
        <v>17</v>
      </c>
      <c r="D129" t="s">
        <v>532</v>
      </c>
      <c r="G129">
        <v>2</v>
      </c>
      <c r="H129" s="16" t="s">
        <v>514</v>
      </c>
      <c r="I129" s="16"/>
      <c r="J129" s="16"/>
      <c r="K129" s="11">
        <v>350.55223710329398</v>
      </c>
      <c r="L129" t="s">
        <v>537</v>
      </c>
      <c r="M129" t="s">
        <v>534</v>
      </c>
      <c r="Q129" t="s">
        <v>468</v>
      </c>
      <c r="R129" t="s">
        <v>4</v>
      </c>
      <c r="S129" t="s">
        <v>14</v>
      </c>
    </row>
    <row r="130" spans="1:19" x14ac:dyDescent="0.3">
      <c r="A130" s="2" t="s">
        <v>100</v>
      </c>
      <c r="B130" s="4" t="s">
        <v>342</v>
      </c>
      <c r="C130" s="3" t="s">
        <v>17</v>
      </c>
      <c r="D130" t="s">
        <v>532</v>
      </c>
      <c r="G130">
        <v>2.5</v>
      </c>
      <c r="H130" s="16" t="s">
        <v>514</v>
      </c>
      <c r="I130" s="16"/>
      <c r="J130" s="16"/>
      <c r="K130" s="11">
        <v>423.52473213908598</v>
      </c>
      <c r="L130" t="s">
        <v>537</v>
      </c>
      <c r="M130" t="s">
        <v>534</v>
      </c>
      <c r="Q130" t="s">
        <v>468</v>
      </c>
      <c r="R130" t="s">
        <v>4</v>
      </c>
      <c r="S130" t="s">
        <v>14</v>
      </c>
    </row>
    <row r="131" spans="1:19" x14ac:dyDescent="0.3">
      <c r="A131" s="2" t="s">
        <v>100</v>
      </c>
      <c r="B131" s="4" t="s">
        <v>342</v>
      </c>
      <c r="C131" s="3" t="s">
        <v>17</v>
      </c>
      <c r="D131" t="s">
        <v>532</v>
      </c>
      <c r="G131">
        <v>3</v>
      </c>
      <c r="H131" s="16" t="s">
        <v>514</v>
      </c>
      <c r="I131" s="16"/>
      <c r="J131" s="16"/>
      <c r="K131" s="11">
        <v>456.75083763254599</v>
      </c>
      <c r="L131" t="s">
        <v>537</v>
      </c>
      <c r="M131" t="s">
        <v>534</v>
      </c>
      <c r="Q131" t="s">
        <v>468</v>
      </c>
      <c r="R131" t="s">
        <v>4</v>
      </c>
      <c r="S131" t="s">
        <v>14</v>
      </c>
    </row>
    <row r="132" spans="1:19" x14ac:dyDescent="0.3">
      <c r="A132" s="2" t="s">
        <v>100</v>
      </c>
      <c r="B132" s="4" t="s">
        <v>342</v>
      </c>
      <c r="C132" s="3" t="s">
        <v>17</v>
      </c>
      <c r="D132" t="s">
        <v>532</v>
      </c>
      <c r="G132">
        <v>4</v>
      </c>
      <c r="H132" s="16" t="s">
        <v>514</v>
      </c>
      <c r="I132" s="16"/>
      <c r="J132" s="16"/>
      <c r="K132" s="11">
        <v>486.32286225823498</v>
      </c>
      <c r="L132" t="s">
        <v>537</v>
      </c>
      <c r="M132" t="s">
        <v>534</v>
      </c>
      <c r="Q132" t="s">
        <v>468</v>
      </c>
      <c r="R132" t="s">
        <v>4</v>
      </c>
      <c r="S132" t="s">
        <v>14</v>
      </c>
    </row>
    <row r="133" spans="1:19" x14ac:dyDescent="0.3">
      <c r="A133" s="2" t="s">
        <v>100</v>
      </c>
      <c r="B133" s="4" t="s">
        <v>342</v>
      </c>
      <c r="C133" s="3" t="s">
        <v>17</v>
      </c>
      <c r="D133" t="s">
        <v>532</v>
      </c>
      <c r="G133">
        <v>6</v>
      </c>
      <c r="H133" s="16" t="s">
        <v>514</v>
      </c>
      <c r="I133" s="16"/>
      <c r="J133" s="16"/>
      <c r="K133" s="11">
        <v>392.14783002535597</v>
      </c>
      <c r="L133" t="s">
        <v>537</v>
      </c>
      <c r="M133" t="s">
        <v>534</v>
      </c>
      <c r="Q133" t="s">
        <v>468</v>
      </c>
      <c r="R133" t="s">
        <v>4</v>
      </c>
      <c r="S133" t="s">
        <v>14</v>
      </c>
    </row>
    <row r="134" spans="1:19" x14ac:dyDescent="0.3">
      <c r="A134" s="2" t="s">
        <v>100</v>
      </c>
      <c r="B134" s="4" t="s">
        <v>342</v>
      </c>
      <c r="C134" s="3" t="s">
        <v>17</v>
      </c>
      <c r="D134" t="s">
        <v>532</v>
      </c>
      <c r="G134">
        <v>8</v>
      </c>
      <c r="H134" s="16" t="s">
        <v>514</v>
      </c>
      <c r="I134" s="16"/>
      <c r="J134" s="16"/>
      <c r="K134" s="11">
        <v>328.41575848535001</v>
      </c>
      <c r="L134" t="s">
        <v>537</v>
      </c>
      <c r="M134" t="s">
        <v>534</v>
      </c>
      <c r="Q134" t="s">
        <v>468</v>
      </c>
      <c r="R134" t="s">
        <v>4</v>
      </c>
      <c r="S134" t="s">
        <v>14</v>
      </c>
    </row>
    <row r="135" spans="1:19" x14ac:dyDescent="0.3">
      <c r="A135" s="2" t="s">
        <v>100</v>
      </c>
      <c r="B135" s="4" t="s">
        <v>342</v>
      </c>
      <c r="C135" s="3" t="s">
        <v>17</v>
      </c>
      <c r="D135" t="s">
        <v>532</v>
      </c>
      <c r="G135">
        <v>12</v>
      </c>
      <c r="H135" s="16" t="s">
        <v>514</v>
      </c>
      <c r="I135" s="16"/>
      <c r="J135" s="16"/>
      <c r="K135" s="11">
        <v>251.62897698059899</v>
      </c>
      <c r="L135" t="s">
        <v>537</v>
      </c>
      <c r="M135" t="s">
        <v>534</v>
      </c>
      <c r="Q135" t="s">
        <v>468</v>
      </c>
      <c r="R135" t="s">
        <v>4</v>
      </c>
      <c r="S135" t="s">
        <v>14</v>
      </c>
    </row>
    <row r="136" spans="1:19" x14ac:dyDescent="0.3">
      <c r="A136" s="2" t="s">
        <v>100</v>
      </c>
      <c r="B136" s="4" t="s">
        <v>342</v>
      </c>
      <c r="C136" s="3" t="s">
        <v>17</v>
      </c>
      <c r="D136" t="s">
        <v>532</v>
      </c>
      <c r="G136">
        <v>24</v>
      </c>
      <c r="H136" s="16" t="s">
        <v>514</v>
      </c>
      <c r="I136" s="16"/>
      <c r="J136" s="16"/>
      <c r="K136" s="11">
        <v>114.602970795704</v>
      </c>
      <c r="L136" t="s">
        <v>537</v>
      </c>
      <c r="M136" t="s">
        <v>534</v>
      </c>
      <c r="Q136" t="s">
        <v>468</v>
      </c>
      <c r="R136" t="s">
        <v>4</v>
      </c>
      <c r="S136" t="s">
        <v>14</v>
      </c>
    </row>
    <row r="137" spans="1:19" x14ac:dyDescent="0.3">
      <c r="A137" s="2" t="s">
        <v>100</v>
      </c>
      <c r="B137" s="4" t="s">
        <v>342</v>
      </c>
      <c r="C137" s="3" t="s">
        <v>17</v>
      </c>
      <c r="D137" t="s">
        <v>532</v>
      </c>
      <c r="G137">
        <v>48</v>
      </c>
      <c r="H137" s="16" t="s">
        <v>514</v>
      </c>
      <c r="I137" s="16"/>
      <c r="J137" s="16"/>
      <c r="K137" s="11">
        <v>33.004573688201397</v>
      </c>
      <c r="L137" t="s">
        <v>537</v>
      </c>
      <c r="M137" t="s">
        <v>534</v>
      </c>
      <c r="Q137" t="s">
        <v>468</v>
      </c>
      <c r="R137" t="s">
        <v>4</v>
      </c>
      <c r="S137" t="s">
        <v>14</v>
      </c>
    </row>
    <row r="138" spans="1:19" x14ac:dyDescent="0.3">
      <c r="A138" s="2" t="s">
        <v>101</v>
      </c>
      <c r="B138" s="4" t="s">
        <v>343</v>
      </c>
      <c r="C138" s="3" t="s">
        <v>17</v>
      </c>
      <c r="D138" t="s">
        <v>532</v>
      </c>
      <c r="G138">
        <v>1</v>
      </c>
      <c r="H138" s="16" t="s">
        <v>514</v>
      </c>
      <c r="I138" s="16"/>
      <c r="J138" s="16"/>
      <c r="K138" s="11">
        <v>383.04465432318102</v>
      </c>
      <c r="L138" t="s">
        <v>537</v>
      </c>
      <c r="M138" t="s">
        <v>534</v>
      </c>
      <c r="Q138" t="s">
        <v>468</v>
      </c>
      <c r="R138" t="s">
        <v>4</v>
      </c>
      <c r="S138" t="s">
        <v>14</v>
      </c>
    </row>
    <row r="139" spans="1:19" x14ac:dyDescent="0.3">
      <c r="A139" s="2" t="s">
        <v>101</v>
      </c>
      <c r="B139" s="4" t="s">
        <v>343</v>
      </c>
      <c r="C139" s="3" t="s">
        <v>17</v>
      </c>
      <c r="D139" t="s">
        <v>532</v>
      </c>
      <c r="G139">
        <v>1.5</v>
      </c>
      <c r="H139" s="16" t="s">
        <v>514</v>
      </c>
      <c r="I139" s="16"/>
      <c r="J139" s="16"/>
      <c r="K139" s="11">
        <v>634.39609915702601</v>
      </c>
      <c r="L139" t="s">
        <v>537</v>
      </c>
      <c r="M139" t="s">
        <v>534</v>
      </c>
      <c r="Q139" t="s">
        <v>468</v>
      </c>
      <c r="R139" t="s">
        <v>4</v>
      </c>
      <c r="S139" t="s">
        <v>14</v>
      </c>
    </row>
    <row r="140" spans="1:19" x14ac:dyDescent="0.3">
      <c r="A140" s="2" t="s">
        <v>101</v>
      </c>
      <c r="B140" s="4" t="s">
        <v>343</v>
      </c>
      <c r="C140" s="3" t="s">
        <v>17</v>
      </c>
      <c r="D140" t="s">
        <v>532</v>
      </c>
      <c r="G140">
        <v>2</v>
      </c>
      <c r="H140" s="16" t="s">
        <v>514</v>
      </c>
      <c r="I140" s="16"/>
      <c r="J140" s="16"/>
      <c r="K140" s="11">
        <v>858.59889734853903</v>
      </c>
      <c r="L140" t="s">
        <v>537</v>
      </c>
      <c r="M140" t="s">
        <v>534</v>
      </c>
      <c r="Q140" t="s">
        <v>468</v>
      </c>
      <c r="R140" t="s">
        <v>4</v>
      </c>
      <c r="S140" t="s">
        <v>14</v>
      </c>
    </row>
    <row r="141" spans="1:19" x14ac:dyDescent="0.3">
      <c r="A141" s="2" t="s">
        <v>101</v>
      </c>
      <c r="B141" s="4" t="s">
        <v>343</v>
      </c>
      <c r="C141" s="3" t="s">
        <v>17</v>
      </c>
      <c r="D141" t="s">
        <v>532</v>
      </c>
      <c r="G141">
        <v>2.5</v>
      </c>
      <c r="H141" s="16" t="s">
        <v>514</v>
      </c>
      <c r="I141" s="16"/>
      <c r="J141" s="16"/>
      <c r="K141" s="11">
        <v>998.799122516171</v>
      </c>
      <c r="L141" t="s">
        <v>537</v>
      </c>
      <c r="M141" t="s">
        <v>534</v>
      </c>
      <c r="Q141" t="s">
        <v>468</v>
      </c>
      <c r="R141" t="s">
        <v>4</v>
      </c>
      <c r="S141" t="s">
        <v>14</v>
      </c>
    </row>
    <row r="142" spans="1:19" x14ac:dyDescent="0.3">
      <c r="A142" s="2" t="s">
        <v>101</v>
      </c>
      <c r="B142" s="4" t="s">
        <v>343</v>
      </c>
      <c r="C142" s="3" t="s">
        <v>17</v>
      </c>
      <c r="D142" t="s">
        <v>532</v>
      </c>
      <c r="G142">
        <v>3</v>
      </c>
      <c r="H142" s="16" t="s">
        <v>514</v>
      </c>
      <c r="I142" s="16"/>
      <c r="J142" s="16"/>
      <c r="K142" s="11">
        <v>1050.28965723448</v>
      </c>
      <c r="L142" t="s">
        <v>537</v>
      </c>
      <c r="M142" t="s">
        <v>534</v>
      </c>
      <c r="Q142" t="s">
        <v>468</v>
      </c>
      <c r="R142" t="s">
        <v>4</v>
      </c>
      <c r="S142" t="s">
        <v>14</v>
      </c>
    </row>
    <row r="143" spans="1:19" x14ac:dyDescent="0.3">
      <c r="A143" s="2" t="s">
        <v>101</v>
      </c>
      <c r="B143" s="4" t="s">
        <v>343</v>
      </c>
      <c r="C143" s="3" t="s">
        <v>17</v>
      </c>
      <c r="D143" t="s">
        <v>532</v>
      </c>
      <c r="G143">
        <v>4</v>
      </c>
      <c r="H143" s="16" t="s">
        <v>514</v>
      </c>
      <c r="I143" s="16"/>
      <c r="J143" s="16"/>
      <c r="K143" s="11">
        <v>949.122325585098</v>
      </c>
      <c r="L143" t="s">
        <v>537</v>
      </c>
      <c r="M143" t="s">
        <v>534</v>
      </c>
      <c r="Q143" t="s">
        <v>468</v>
      </c>
      <c r="R143" t="s">
        <v>4</v>
      </c>
      <c r="S143" t="s">
        <v>14</v>
      </c>
    </row>
    <row r="144" spans="1:19" x14ac:dyDescent="0.3">
      <c r="A144" s="2" t="s">
        <v>101</v>
      </c>
      <c r="B144" s="4" t="s">
        <v>343</v>
      </c>
      <c r="C144" s="3" t="s">
        <v>17</v>
      </c>
      <c r="D144" t="s">
        <v>532</v>
      </c>
      <c r="G144">
        <v>6</v>
      </c>
      <c r="H144" s="16" t="s">
        <v>514</v>
      </c>
      <c r="I144" s="16"/>
      <c r="J144" s="16"/>
      <c r="K144" s="11">
        <v>775.06398272879005</v>
      </c>
      <c r="L144" t="s">
        <v>537</v>
      </c>
      <c r="M144" t="s">
        <v>534</v>
      </c>
      <c r="Q144" t="s">
        <v>468</v>
      </c>
      <c r="R144" t="s">
        <v>4</v>
      </c>
      <c r="S144" t="s">
        <v>14</v>
      </c>
    </row>
    <row r="145" spans="1:19" x14ac:dyDescent="0.3">
      <c r="A145" s="2" t="s">
        <v>101</v>
      </c>
      <c r="B145" s="4" t="s">
        <v>343</v>
      </c>
      <c r="C145" s="3" t="s">
        <v>17</v>
      </c>
      <c r="D145" t="s">
        <v>532</v>
      </c>
      <c r="G145">
        <v>8</v>
      </c>
      <c r="H145" s="16" t="s">
        <v>514</v>
      </c>
      <c r="I145" s="16"/>
      <c r="J145" s="16"/>
      <c r="K145" s="11">
        <v>625.00624071918105</v>
      </c>
      <c r="L145" t="s">
        <v>537</v>
      </c>
      <c r="M145" t="s">
        <v>534</v>
      </c>
      <c r="Q145" t="s">
        <v>468</v>
      </c>
      <c r="R145" t="s">
        <v>4</v>
      </c>
      <c r="S145" t="s">
        <v>14</v>
      </c>
    </row>
    <row r="146" spans="1:19" x14ac:dyDescent="0.3">
      <c r="A146" s="2" t="s">
        <v>101</v>
      </c>
      <c r="B146" s="4" t="s">
        <v>343</v>
      </c>
      <c r="C146" s="3" t="s">
        <v>17</v>
      </c>
      <c r="D146" t="s">
        <v>532</v>
      </c>
      <c r="G146">
        <v>12</v>
      </c>
      <c r="H146" s="16" t="s">
        <v>514</v>
      </c>
      <c r="I146" s="16"/>
      <c r="J146" s="16"/>
      <c r="K146" s="11">
        <v>443.93862644831199</v>
      </c>
      <c r="L146" t="s">
        <v>537</v>
      </c>
      <c r="M146" t="s">
        <v>534</v>
      </c>
      <c r="Q146" t="s">
        <v>468</v>
      </c>
      <c r="R146" t="s">
        <v>4</v>
      </c>
      <c r="S146" t="s">
        <v>14</v>
      </c>
    </row>
    <row r="147" spans="1:19" x14ac:dyDescent="0.3">
      <c r="A147" s="2" t="s">
        <v>101</v>
      </c>
      <c r="B147" s="4" t="s">
        <v>343</v>
      </c>
      <c r="C147" s="3" t="s">
        <v>17</v>
      </c>
      <c r="D147" t="s">
        <v>532</v>
      </c>
      <c r="G147">
        <v>24</v>
      </c>
      <c r="H147" s="16" t="s">
        <v>514</v>
      </c>
      <c r="I147" s="16"/>
      <c r="J147" s="16"/>
      <c r="K147" s="11">
        <v>187.44840196306299</v>
      </c>
      <c r="L147" t="s">
        <v>537</v>
      </c>
      <c r="M147" t="s">
        <v>534</v>
      </c>
      <c r="Q147" t="s">
        <v>468</v>
      </c>
      <c r="R147" t="s">
        <v>4</v>
      </c>
      <c r="S147" t="s">
        <v>14</v>
      </c>
    </row>
    <row r="148" spans="1:19" x14ac:dyDescent="0.3">
      <c r="A148" s="2" t="s">
        <v>101</v>
      </c>
      <c r="B148" s="4" t="s">
        <v>343</v>
      </c>
      <c r="C148" s="3" t="s">
        <v>17</v>
      </c>
      <c r="D148" t="s">
        <v>532</v>
      </c>
      <c r="G148">
        <v>32</v>
      </c>
      <c r="H148" s="16" t="s">
        <v>514</v>
      </c>
      <c r="I148" s="16"/>
      <c r="J148" s="16"/>
      <c r="K148" s="11">
        <v>115.734235354524</v>
      </c>
      <c r="L148" t="s">
        <v>537</v>
      </c>
      <c r="M148" t="s">
        <v>534</v>
      </c>
      <c r="Q148" t="s">
        <v>468</v>
      </c>
      <c r="R148" t="s">
        <v>4</v>
      </c>
      <c r="S148" t="s">
        <v>14</v>
      </c>
    </row>
    <row r="149" spans="1:19" x14ac:dyDescent="0.3">
      <c r="A149" s="2" t="s">
        <v>101</v>
      </c>
      <c r="B149" s="4" t="s">
        <v>343</v>
      </c>
      <c r="C149" s="3" t="s">
        <v>17</v>
      </c>
      <c r="D149" t="s">
        <v>532</v>
      </c>
      <c r="G149">
        <v>48</v>
      </c>
      <c r="H149" s="16" t="s">
        <v>514</v>
      </c>
      <c r="I149" s="16"/>
      <c r="J149" s="16"/>
      <c r="K149" s="11">
        <v>48.801773792294597</v>
      </c>
      <c r="L149" t="s">
        <v>537</v>
      </c>
      <c r="M149" t="s">
        <v>534</v>
      </c>
      <c r="Q149" t="s">
        <v>468</v>
      </c>
      <c r="R149" t="s">
        <v>4</v>
      </c>
      <c r="S149" t="s">
        <v>14</v>
      </c>
    </row>
    <row r="150" spans="1:19" x14ac:dyDescent="0.3">
      <c r="A150" s="2" t="s">
        <v>101</v>
      </c>
      <c r="B150" s="4" t="s">
        <v>343</v>
      </c>
      <c r="C150" s="3" t="s">
        <v>17</v>
      </c>
      <c r="D150" t="s">
        <v>532</v>
      </c>
      <c r="G150">
        <v>72</v>
      </c>
      <c r="H150" s="16" t="s">
        <v>514</v>
      </c>
      <c r="I150" s="16"/>
      <c r="J150" s="16"/>
      <c r="K150" s="11">
        <v>15.7440930649378</v>
      </c>
      <c r="L150" t="s">
        <v>537</v>
      </c>
      <c r="M150" t="s">
        <v>534</v>
      </c>
      <c r="Q150" t="s">
        <v>468</v>
      </c>
      <c r="R150" t="s">
        <v>4</v>
      </c>
      <c r="S150" t="s">
        <v>14</v>
      </c>
    </row>
    <row r="151" spans="1:19" x14ac:dyDescent="0.3">
      <c r="A151" s="2" t="s">
        <v>102</v>
      </c>
      <c r="B151" s="4" t="s">
        <v>346</v>
      </c>
      <c r="C151" s="3" t="s">
        <v>17</v>
      </c>
      <c r="D151" t="s">
        <v>532</v>
      </c>
      <c r="G151">
        <v>0.75</v>
      </c>
      <c r="H151" s="16" t="s">
        <v>514</v>
      </c>
      <c r="I151" s="16"/>
      <c r="J151" s="16"/>
      <c r="K151" s="21">
        <v>359.67194540798602</v>
      </c>
      <c r="L151" t="s">
        <v>537</v>
      </c>
      <c r="M151" t="s">
        <v>534</v>
      </c>
      <c r="Q151" t="s">
        <v>468</v>
      </c>
      <c r="R151" t="s">
        <v>4</v>
      </c>
      <c r="S151" t="s">
        <v>14</v>
      </c>
    </row>
    <row r="152" spans="1:19" x14ac:dyDescent="0.3">
      <c r="A152" s="2" t="s">
        <v>102</v>
      </c>
      <c r="B152" s="4" t="s">
        <v>346</v>
      </c>
      <c r="C152" s="3" t="s">
        <v>17</v>
      </c>
      <c r="D152" t="s">
        <v>532</v>
      </c>
      <c r="G152">
        <v>1</v>
      </c>
      <c r="H152" s="16" t="s">
        <v>514</v>
      </c>
      <c r="I152" s="16"/>
      <c r="J152" s="16"/>
      <c r="K152" s="21">
        <v>816.64861384742198</v>
      </c>
      <c r="L152" t="s">
        <v>537</v>
      </c>
      <c r="M152" t="s">
        <v>534</v>
      </c>
      <c r="Q152" t="s">
        <v>468</v>
      </c>
      <c r="R152" t="s">
        <v>4</v>
      </c>
      <c r="S152" t="s">
        <v>14</v>
      </c>
    </row>
    <row r="153" spans="1:19" x14ac:dyDescent="0.3">
      <c r="A153" s="2" t="s">
        <v>102</v>
      </c>
      <c r="B153" s="4" t="s">
        <v>346</v>
      </c>
      <c r="C153" s="3" t="s">
        <v>17</v>
      </c>
      <c r="D153" t="s">
        <v>532</v>
      </c>
      <c r="G153">
        <v>1.5</v>
      </c>
      <c r="H153" s="16" t="s">
        <v>514</v>
      </c>
      <c r="I153" s="16"/>
      <c r="J153" s="16"/>
      <c r="K153" s="21">
        <v>974.22706765373596</v>
      </c>
      <c r="L153" t="s">
        <v>537</v>
      </c>
      <c r="M153" t="s">
        <v>534</v>
      </c>
      <c r="Q153" t="s">
        <v>468</v>
      </c>
      <c r="R153" t="s">
        <v>4</v>
      </c>
      <c r="S153" t="s">
        <v>14</v>
      </c>
    </row>
    <row r="154" spans="1:19" x14ac:dyDescent="0.3">
      <c r="A154" s="2" t="s">
        <v>102</v>
      </c>
      <c r="B154" s="4" t="s">
        <v>346</v>
      </c>
      <c r="C154" s="3" t="s">
        <v>17</v>
      </c>
      <c r="D154" t="s">
        <v>532</v>
      </c>
      <c r="G154">
        <v>2</v>
      </c>
      <c r="H154" s="16" t="s">
        <v>514</v>
      </c>
      <c r="I154" s="16"/>
      <c r="J154" s="16"/>
      <c r="K154" s="21">
        <v>1740.39451253228</v>
      </c>
      <c r="L154" t="s">
        <v>537</v>
      </c>
      <c r="M154" t="s">
        <v>534</v>
      </c>
      <c r="Q154" t="s">
        <v>468</v>
      </c>
      <c r="R154" t="s">
        <v>4</v>
      </c>
      <c r="S154" t="s">
        <v>14</v>
      </c>
    </row>
    <row r="155" spans="1:19" x14ac:dyDescent="0.3">
      <c r="A155" s="2" t="s">
        <v>102</v>
      </c>
      <c r="B155" s="4" t="s">
        <v>346</v>
      </c>
      <c r="C155" s="3" t="s">
        <v>17</v>
      </c>
      <c r="D155" t="s">
        <v>532</v>
      </c>
      <c r="G155">
        <v>2.5</v>
      </c>
      <c r="H155" s="16" t="s">
        <v>514</v>
      </c>
      <c r="I155" s="16"/>
      <c r="J155" s="16"/>
      <c r="K155" s="21">
        <v>2076.21664171681</v>
      </c>
      <c r="L155" t="s">
        <v>537</v>
      </c>
      <c r="M155" t="s">
        <v>534</v>
      </c>
      <c r="Q155" t="s">
        <v>468</v>
      </c>
      <c r="R155" t="s">
        <v>4</v>
      </c>
      <c r="S155" t="s">
        <v>14</v>
      </c>
    </row>
    <row r="156" spans="1:19" x14ac:dyDescent="0.3">
      <c r="A156" s="2" t="s">
        <v>102</v>
      </c>
      <c r="B156" s="4" t="s">
        <v>346</v>
      </c>
      <c r="C156" s="3" t="s">
        <v>17</v>
      </c>
      <c r="D156" t="s">
        <v>532</v>
      </c>
      <c r="G156">
        <v>3</v>
      </c>
      <c r="H156" s="16" t="s">
        <v>514</v>
      </c>
      <c r="I156" s="16"/>
      <c r="J156" s="16"/>
      <c r="K156" s="21">
        <v>1784.1573896616201</v>
      </c>
      <c r="L156" t="s">
        <v>537</v>
      </c>
      <c r="M156" t="s">
        <v>534</v>
      </c>
      <c r="Q156" t="s">
        <v>468</v>
      </c>
      <c r="R156" t="s">
        <v>4</v>
      </c>
      <c r="S156" t="s">
        <v>14</v>
      </c>
    </row>
    <row r="157" spans="1:19" x14ac:dyDescent="0.3">
      <c r="A157" s="2" t="s">
        <v>102</v>
      </c>
      <c r="B157" s="4" t="s">
        <v>346</v>
      </c>
      <c r="C157" s="3" t="s">
        <v>17</v>
      </c>
      <c r="D157" t="s">
        <v>532</v>
      </c>
      <c r="G157">
        <v>4</v>
      </c>
      <c r="H157" s="16" t="s">
        <v>514</v>
      </c>
      <c r="I157" s="16"/>
      <c r="J157" s="16"/>
      <c r="K157" s="21">
        <v>1612.3819652754401</v>
      </c>
      <c r="L157" t="s">
        <v>537</v>
      </c>
      <c r="M157" t="s">
        <v>534</v>
      </c>
      <c r="Q157" t="s">
        <v>468</v>
      </c>
      <c r="R157" t="s">
        <v>4</v>
      </c>
      <c r="S157" t="s">
        <v>14</v>
      </c>
    </row>
    <row r="158" spans="1:19" x14ac:dyDescent="0.3">
      <c r="A158" s="2" t="s">
        <v>102</v>
      </c>
      <c r="B158" s="4" t="s">
        <v>346</v>
      </c>
      <c r="C158" s="3" t="s">
        <v>17</v>
      </c>
      <c r="D158" t="s">
        <v>532</v>
      </c>
      <c r="G158">
        <v>6</v>
      </c>
      <c r="H158" s="16" t="s">
        <v>514</v>
      </c>
      <c r="I158" s="16"/>
      <c r="J158" s="16"/>
      <c r="K158" s="21">
        <v>1350.3704872948899</v>
      </c>
      <c r="L158" t="s">
        <v>537</v>
      </c>
      <c r="M158" t="s">
        <v>534</v>
      </c>
      <c r="Q158" t="s">
        <v>468</v>
      </c>
      <c r="R158" t="s">
        <v>4</v>
      </c>
      <c r="S158" t="s">
        <v>14</v>
      </c>
    </row>
    <row r="159" spans="1:19" x14ac:dyDescent="0.3">
      <c r="A159" s="2" t="s">
        <v>102</v>
      </c>
      <c r="B159" s="4" t="s">
        <v>346</v>
      </c>
      <c r="C159" s="3" t="s">
        <v>17</v>
      </c>
      <c r="D159" t="s">
        <v>532</v>
      </c>
      <c r="G159">
        <v>8</v>
      </c>
      <c r="H159" s="16" t="s">
        <v>514</v>
      </c>
      <c r="I159" s="16"/>
      <c r="J159" s="16"/>
      <c r="K159" s="21">
        <v>1116.7287750671401</v>
      </c>
      <c r="L159" t="s">
        <v>537</v>
      </c>
      <c r="M159" t="s">
        <v>534</v>
      </c>
      <c r="Q159" t="s">
        <v>468</v>
      </c>
      <c r="R159" t="s">
        <v>4</v>
      </c>
      <c r="S159" t="s">
        <v>14</v>
      </c>
    </row>
    <row r="160" spans="1:19" x14ac:dyDescent="0.3">
      <c r="A160" s="2" t="s">
        <v>102</v>
      </c>
      <c r="B160" s="4" t="s">
        <v>346</v>
      </c>
      <c r="C160" s="3" t="s">
        <v>17</v>
      </c>
      <c r="D160" t="s">
        <v>532</v>
      </c>
      <c r="G160">
        <v>12</v>
      </c>
      <c r="H160" s="16" t="s">
        <v>514</v>
      </c>
      <c r="I160" s="16"/>
      <c r="J160" s="16"/>
      <c r="K160" s="21">
        <v>834.26475683306899</v>
      </c>
      <c r="L160" t="s">
        <v>537</v>
      </c>
      <c r="M160" t="s">
        <v>534</v>
      </c>
      <c r="Q160" t="s">
        <v>468</v>
      </c>
      <c r="R160" t="s">
        <v>4</v>
      </c>
      <c r="S160" t="s">
        <v>14</v>
      </c>
    </row>
    <row r="161" spans="1:19" x14ac:dyDescent="0.3">
      <c r="A161" s="2" t="s">
        <v>102</v>
      </c>
      <c r="B161" s="4" t="s">
        <v>346</v>
      </c>
      <c r="C161" s="3" t="s">
        <v>17</v>
      </c>
      <c r="D161" t="s">
        <v>532</v>
      </c>
      <c r="G161">
        <v>24</v>
      </c>
      <c r="H161" s="16" t="s">
        <v>514</v>
      </c>
      <c r="I161" s="16"/>
      <c r="J161" s="16"/>
      <c r="K161" s="21">
        <v>306.61209126999699</v>
      </c>
      <c r="L161" t="s">
        <v>537</v>
      </c>
      <c r="M161" t="s">
        <v>534</v>
      </c>
      <c r="Q161" t="s">
        <v>468</v>
      </c>
      <c r="R161" t="s">
        <v>4</v>
      </c>
      <c r="S161" t="s">
        <v>14</v>
      </c>
    </row>
    <row r="162" spans="1:19" x14ac:dyDescent="0.3">
      <c r="A162" s="2" t="s">
        <v>102</v>
      </c>
      <c r="B162" s="4" t="s">
        <v>346</v>
      </c>
      <c r="C162" s="3" t="s">
        <v>17</v>
      </c>
      <c r="D162" t="s">
        <v>532</v>
      </c>
      <c r="G162">
        <v>36</v>
      </c>
      <c r="H162" s="16" t="s">
        <v>514</v>
      </c>
      <c r="I162" s="16"/>
      <c r="J162" s="16"/>
      <c r="K162" s="21">
        <v>137.900794066966</v>
      </c>
      <c r="L162" t="s">
        <v>537</v>
      </c>
      <c r="M162" t="s">
        <v>534</v>
      </c>
      <c r="Q162" t="s">
        <v>468</v>
      </c>
      <c r="R162" t="s">
        <v>4</v>
      </c>
      <c r="S162" t="s">
        <v>14</v>
      </c>
    </row>
    <row r="163" spans="1:19" x14ac:dyDescent="0.3">
      <c r="A163" s="2" t="s">
        <v>102</v>
      </c>
      <c r="B163" s="4" t="s">
        <v>346</v>
      </c>
      <c r="C163" s="3" t="s">
        <v>17</v>
      </c>
      <c r="D163" t="s">
        <v>532</v>
      </c>
      <c r="G163">
        <v>48</v>
      </c>
      <c r="H163" s="16" t="s">
        <v>514</v>
      </c>
      <c r="I163" s="16"/>
      <c r="J163" s="16"/>
      <c r="K163" s="21">
        <v>64.417539553926204</v>
      </c>
      <c r="L163" t="s">
        <v>537</v>
      </c>
      <c r="M163" t="s">
        <v>534</v>
      </c>
      <c r="Q163" t="s">
        <v>468</v>
      </c>
      <c r="R163" t="s">
        <v>4</v>
      </c>
      <c r="S163" t="s">
        <v>14</v>
      </c>
    </row>
    <row r="164" spans="1:19" x14ac:dyDescent="0.3">
      <c r="A164" s="2" t="s">
        <v>102</v>
      </c>
      <c r="B164" s="4" t="s">
        <v>346</v>
      </c>
      <c r="C164" s="3" t="s">
        <v>17</v>
      </c>
      <c r="D164" t="s">
        <v>532</v>
      </c>
      <c r="G164">
        <v>72</v>
      </c>
      <c r="H164" s="16" t="s">
        <v>514</v>
      </c>
      <c r="I164" s="16"/>
      <c r="J164" s="16"/>
      <c r="K164" s="21">
        <v>20.009541235322601</v>
      </c>
      <c r="L164" t="s">
        <v>537</v>
      </c>
      <c r="M164" t="s">
        <v>534</v>
      </c>
      <c r="Q164" t="s">
        <v>468</v>
      </c>
      <c r="R164" t="s">
        <v>4</v>
      </c>
      <c r="S164" t="s">
        <v>14</v>
      </c>
    </row>
    <row r="165" spans="1:19" x14ac:dyDescent="0.3">
      <c r="A165" s="2" t="s">
        <v>104</v>
      </c>
      <c r="B165" s="4" t="s">
        <v>344</v>
      </c>
      <c r="C165" s="3" t="s">
        <v>17</v>
      </c>
      <c r="D165" t="s">
        <v>532</v>
      </c>
      <c r="G165">
        <v>0.25</v>
      </c>
      <c r="H165" s="16" t="s">
        <v>514</v>
      </c>
      <c r="I165" s="16"/>
      <c r="J165" s="16"/>
      <c r="K165" s="21">
        <v>462.98876783170903</v>
      </c>
      <c r="L165" t="s">
        <v>537</v>
      </c>
      <c r="M165" t="s">
        <v>534</v>
      </c>
      <c r="Q165" t="s">
        <v>468</v>
      </c>
      <c r="R165" t="s">
        <v>4</v>
      </c>
      <c r="S165" t="s">
        <v>14</v>
      </c>
    </row>
    <row r="166" spans="1:19" x14ac:dyDescent="0.3">
      <c r="A166" s="2" t="s">
        <v>104</v>
      </c>
      <c r="B166" s="4" t="s">
        <v>344</v>
      </c>
      <c r="C166" s="3" t="s">
        <v>17</v>
      </c>
      <c r="D166" t="s">
        <v>532</v>
      </c>
      <c r="G166">
        <v>0.5</v>
      </c>
      <c r="H166" s="16" t="s">
        <v>514</v>
      </c>
      <c r="I166" s="16"/>
      <c r="J166" s="16"/>
      <c r="K166" s="21">
        <v>1719.4748230120099</v>
      </c>
      <c r="L166" t="s">
        <v>537</v>
      </c>
      <c r="M166" t="s">
        <v>534</v>
      </c>
      <c r="Q166" t="s">
        <v>468</v>
      </c>
      <c r="R166" t="s">
        <v>4</v>
      </c>
      <c r="S166" t="s">
        <v>14</v>
      </c>
    </row>
    <row r="167" spans="1:19" x14ac:dyDescent="0.3">
      <c r="A167" s="2" t="s">
        <v>104</v>
      </c>
      <c r="B167" s="4" t="s">
        <v>344</v>
      </c>
      <c r="C167" s="3" t="s">
        <v>17</v>
      </c>
      <c r="D167" t="s">
        <v>532</v>
      </c>
      <c r="G167">
        <v>1</v>
      </c>
      <c r="H167" s="16" t="s">
        <v>514</v>
      </c>
      <c r="I167" s="16"/>
      <c r="J167" s="16"/>
      <c r="K167" s="21">
        <v>2103.7320480957401</v>
      </c>
      <c r="L167" t="s">
        <v>537</v>
      </c>
      <c r="M167" t="s">
        <v>534</v>
      </c>
      <c r="Q167" t="s">
        <v>468</v>
      </c>
      <c r="R167" t="s">
        <v>4</v>
      </c>
      <c r="S167" t="s">
        <v>14</v>
      </c>
    </row>
    <row r="168" spans="1:19" x14ac:dyDescent="0.3">
      <c r="A168" s="2" t="s">
        <v>104</v>
      </c>
      <c r="B168" s="4" t="s">
        <v>344</v>
      </c>
      <c r="C168" s="3" t="s">
        <v>17</v>
      </c>
      <c r="D168" t="s">
        <v>532</v>
      </c>
      <c r="G168">
        <v>1.5</v>
      </c>
      <c r="H168" s="16" t="s">
        <v>514</v>
      </c>
      <c r="I168" s="16"/>
      <c r="J168" s="16"/>
      <c r="K168" s="21">
        <v>2212.2397617340498</v>
      </c>
      <c r="L168" t="s">
        <v>537</v>
      </c>
      <c r="M168" t="s">
        <v>534</v>
      </c>
      <c r="Q168" t="s">
        <v>468</v>
      </c>
      <c r="R168" t="s">
        <v>4</v>
      </c>
      <c r="S168" t="s">
        <v>14</v>
      </c>
    </row>
    <row r="169" spans="1:19" x14ac:dyDescent="0.3">
      <c r="A169" s="2" t="s">
        <v>104</v>
      </c>
      <c r="B169" s="4" t="s">
        <v>344</v>
      </c>
      <c r="C169" s="3" t="s">
        <v>17</v>
      </c>
      <c r="D169" t="s">
        <v>532</v>
      </c>
      <c r="G169">
        <v>2</v>
      </c>
      <c r="H169" s="16" t="s">
        <v>514</v>
      </c>
      <c r="I169" s="16"/>
      <c r="J169" s="16"/>
      <c r="K169" s="21">
        <v>2416.08479628547</v>
      </c>
      <c r="L169" t="s">
        <v>537</v>
      </c>
      <c r="M169" t="s">
        <v>534</v>
      </c>
      <c r="Q169" t="s">
        <v>468</v>
      </c>
      <c r="R169" t="s">
        <v>4</v>
      </c>
      <c r="S169" t="s">
        <v>14</v>
      </c>
    </row>
    <row r="170" spans="1:19" x14ac:dyDescent="0.3">
      <c r="A170" s="2" t="s">
        <v>104</v>
      </c>
      <c r="B170" s="4" t="s">
        <v>344</v>
      </c>
      <c r="C170" s="3" t="s">
        <v>17</v>
      </c>
      <c r="D170" t="s">
        <v>532</v>
      </c>
      <c r="G170">
        <v>2.5</v>
      </c>
      <c r="H170" s="16" t="s">
        <v>514</v>
      </c>
      <c r="I170" s="16"/>
      <c r="J170" s="16"/>
      <c r="K170" s="21">
        <v>2572.9618443211598</v>
      </c>
      <c r="L170" t="s">
        <v>537</v>
      </c>
      <c r="M170" t="s">
        <v>534</v>
      </c>
      <c r="Q170" t="s">
        <v>468</v>
      </c>
      <c r="R170" t="s">
        <v>4</v>
      </c>
      <c r="S170" t="s">
        <v>14</v>
      </c>
    </row>
    <row r="171" spans="1:19" x14ac:dyDescent="0.3">
      <c r="A171" s="2" t="s">
        <v>104</v>
      </c>
      <c r="B171" s="4" t="s">
        <v>344</v>
      </c>
      <c r="C171" s="3" t="s">
        <v>17</v>
      </c>
      <c r="D171" t="s">
        <v>532</v>
      </c>
      <c r="G171">
        <v>3</v>
      </c>
      <c r="H171" s="16" t="s">
        <v>514</v>
      </c>
      <c r="I171" s="16"/>
      <c r="J171" s="16"/>
      <c r="K171" s="21">
        <v>2739.95660837061</v>
      </c>
      <c r="L171" t="s">
        <v>537</v>
      </c>
      <c r="M171" t="s">
        <v>534</v>
      </c>
      <c r="Q171" t="s">
        <v>468</v>
      </c>
      <c r="R171" t="s">
        <v>4</v>
      </c>
      <c r="S171" t="s">
        <v>14</v>
      </c>
    </row>
    <row r="172" spans="1:19" x14ac:dyDescent="0.3">
      <c r="A172" s="2" t="s">
        <v>104</v>
      </c>
      <c r="B172" s="4" t="s">
        <v>344</v>
      </c>
      <c r="C172" s="3" t="s">
        <v>17</v>
      </c>
      <c r="D172" t="s">
        <v>532</v>
      </c>
      <c r="G172">
        <v>4</v>
      </c>
      <c r="H172" s="16" t="s">
        <v>514</v>
      </c>
      <c r="I172" s="16"/>
      <c r="J172" s="16"/>
      <c r="K172" s="21">
        <v>2414.3977323518802</v>
      </c>
      <c r="L172" t="s">
        <v>537</v>
      </c>
      <c r="M172" t="s">
        <v>534</v>
      </c>
      <c r="Q172" t="s">
        <v>468</v>
      </c>
      <c r="R172" t="s">
        <v>4</v>
      </c>
      <c r="S172" t="s">
        <v>14</v>
      </c>
    </row>
    <row r="173" spans="1:19" x14ac:dyDescent="0.3">
      <c r="A173" s="2" t="s">
        <v>104</v>
      </c>
      <c r="B173" s="4" t="s">
        <v>344</v>
      </c>
      <c r="C173" s="3" t="s">
        <v>17</v>
      </c>
      <c r="D173" t="s">
        <v>532</v>
      </c>
      <c r="G173">
        <v>6</v>
      </c>
      <c r="H173" s="16" t="s">
        <v>514</v>
      </c>
      <c r="I173" s="16"/>
      <c r="J173" s="16"/>
      <c r="K173" s="21">
        <v>2073.73198200864</v>
      </c>
      <c r="L173" t="s">
        <v>537</v>
      </c>
      <c r="M173" t="s">
        <v>534</v>
      </c>
      <c r="Q173" t="s">
        <v>468</v>
      </c>
      <c r="R173" t="s">
        <v>4</v>
      </c>
      <c r="S173" t="s">
        <v>14</v>
      </c>
    </row>
    <row r="174" spans="1:19" x14ac:dyDescent="0.3">
      <c r="A174" s="2" t="s">
        <v>104</v>
      </c>
      <c r="B174" s="4" t="s">
        <v>344</v>
      </c>
      <c r="C174" s="3" t="s">
        <v>17</v>
      </c>
      <c r="D174" t="s">
        <v>532</v>
      </c>
      <c r="G174">
        <v>8</v>
      </c>
      <c r="H174" s="16" t="s">
        <v>514</v>
      </c>
      <c r="I174" s="16"/>
      <c r="J174" s="16"/>
      <c r="K174" s="21">
        <v>1672.1597109844699</v>
      </c>
      <c r="L174" t="s">
        <v>537</v>
      </c>
      <c r="M174" t="s">
        <v>534</v>
      </c>
      <c r="Q174" t="s">
        <v>468</v>
      </c>
      <c r="R174" t="s">
        <v>4</v>
      </c>
      <c r="S174" t="s">
        <v>14</v>
      </c>
    </row>
    <row r="175" spans="1:19" x14ac:dyDescent="0.3">
      <c r="A175" s="2" t="s">
        <v>104</v>
      </c>
      <c r="B175" s="4" t="s">
        <v>344</v>
      </c>
      <c r="C175" s="3" t="s">
        <v>17</v>
      </c>
      <c r="D175" t="s">
        <v>532</v>
      </c>
      <c r="G175">
        <v>12</v>
      </c>
      <c r="H175" s="16" t="s">
        <v>514</v>
      </c>
      <c r="I175" s="16"/>
      <c r="J175" s="16"/>
      <c r="K175" s="21">
        <v>1233.5744836602901</v>
      </c>
      <c r="L175" t="s">
        <v>537</v>
      </c>
      <c r="M175" t="s">
        <v>534</v>
      </c>
      <c r="Q175" t="s">
        <v>468</v>
      </c>
      <c r="R175" t="s">
        <v>4</v>
      </c>
      <c r="S175" t="s">
        <v>14</v>
      </c>
    </row>
    <row r="176" spans="1:19" x14ac:dyDescent="0.3">
      <c r="A176" s="2" t="s">
        <v>104</v>
      </c>
      <c r="B176" s="4" t="s">
        <v>344</v>
      </c>
      <c r="C176" s="3" t="s">
        <v>17</v>
      </c>
      <c r="D176" t="s">
        <v>532</v>
      </c>
      <c r="G176">
        <v>24</v>
      </c>
      <c r="H176" s="16" t="s">
        <v>514</v>
      </c>
      <c r="I176" s="16"/>
      <c r="J176" s="16"/>
      <c r="K176" s="21">
        <v>489.02062106737702</v>
      </c>
      <c r="L176" t="s">
        <v>537</v>
      </c>
      <c r="M176" t="s">
        <v>534</v>
      </c>
      <c r="Q176" t="s">
        <v>468</v>
      </c>
      <c r="R176" t="s">
        <v>4</v>
      </c>
      <c r="S176" t="s">
        <v>14</v>
      </c>
    </row>
    <row r="177" spans="1:19" x14ac:dyDescent="0.3">
      <c r="A177" s="2" t="s">
        <v>104</v>
      </c>
      <c r="B177" s="4" t="s">
        <v>344</v>
      </c>
      <c r="C177" s="3" t="s">
        <v>17</v>
      </c>
      <c r="D177" t="s">
        <v>532</v>
      </c>
      <c r="G177">
        <v>36</v>
      </c>
      <c r="H177" s="16" t="s">
        <v>514</v>
      </c>
      <c r="I177" s="16"/>
      <c r="J177" s="16"/>
      <c r="K177" s="11">
        <v>191.43458446088101</v>
      </c>
      <c r="L177" t="s">
        <v>537</v>
      </c>
      <c r="M177" t="s">
        <v>534</v>
      </c>
      <c r="Q177" t="s">
        <v>468</v>
      </c>
      <c r="R177" t="s">
        <v>4</v>
      </c>
      <c r="S177" t="s">
        <v>14</v>
      </c>
    </row>
    <row r="178" spans="1:19" x14ac:dyDescent="0.3">
      <c r="A178" s="2" t="s">
        <v>104</v>
      </c>
      <c r="B178" s="4" t="s">
        <v>344</v>
      </c>
      <c r="C178" s="3" t="s">
        <v>17</v>
      </c>
      <c r="D178" t="s">
        <v>532</v>
      </c>
      <c r="G178">
        <v>48</v>
      </c>
      <c r="H178" s="16" t="s">
        <v>514</v>
      </c>
      <c r="I178" s="16"/>
      <c r="J178" s="16"/>
      <c r="K178" s="11">
        <v>88.301387736742896</v>
      </c>
      <c r="L178" t="s">
        <v>537</v>
      </c>
      <c r="M178" t="s">
        <v>534</v>
      </c>
      <c r="Q178" t="s">
        <v>468</v>
      </c>
      <c r="R178" t="s">
        <v>4</v>
      </c>
      <c r="S178" t="s">
        <v>14</v>
      </c>
    </row>
    <row r="179" spans="1:19" x14ac:dyDescent="0.3">
      <c r="A179" s="2" t="s">
        <v>104</v>
      </c>
      <c r="B179" s="4" t="s">
        <v>344</v>
      </c>
      <c r="C179" s="3" t="s">
        <v>17</v>
      </c>
      <c r="D179" t="s">
        <v>532</v>
      </c>
      <c r="G179">
        <v>72</v>
      </c>
      <c r="H179" s="16" t="s">
        <v>514</v>
      </c>
      <c r="I179" s="16"/>
      <c r="J179" s="16"/>
      <c r="K179" s="11">
        <v>25.428697309857</v>
      </c>
      <c r="L179" t="s">
        <v>537</v>
      </c>
      <c r="M179" t="s">
        <v>534</v>
      </c>
      <c r="Q179" t="s">
        <v>468</v>
      </c>
      <c r="R179" t="s">
        <v>4</v>
      </c>
      <c r="S179" t="s">
        <v>14</v>
      </c>
    </row>
    <row r="180" spans="1:19" x14ac:dyDescent="0.3">
      <c r="A180" s="2" t="s">
        <v>105</v>
      </c>
      <c r="B180" s="4" t="s">
        <v>345</v>
      </c>
      <c r="C180" s="3" t="s">
        <v>17</v>
      </c>
      <c r="D180" t="s">
        <v>536</v>
      </c>
      <c r="E180">
        <v>0.1</v>
      </c>
      <c r="F180">
        <f>8*24</f>
        <v>192</v>
      </c>
      <c r="G180">
        <f>F180+E180</f>
        <v>192.1</v>
      </c>
      <c r="H180" s="16" t="s">
        <v>514</v>
      </c>
      <c r="I180" s="16"/>
      <c r="J180" s="16"/>
      <c r="K180">
        <v>0.90784982935153502</v>
      </c>
      <c r="L180" t="s">
        <v>458</v>
      </c>
      <c r="M180" t="s">
        <v>535</v>
      </c>
      <c r="Q180" t="s">
        <v>468</v>
      </c>
      <c r="R180" t="s">
        <v>4</v>
      </c>
      <c r="S180" t="s">
        <v>14</v>
      </c>
    </row>
    <row r="181" spans="1:19" x14ac:dyDescent="0.3">
      <c r="A181" s="2" t="s">
        <v>105</v>
      </c>
      <c r="B181" s="4" t="s">
        <v>345</v>
      </c>
      <c r="C181" s="3" t="s">
        <v>17</v>
      </c>
      <c r="D181" t="s">
        <v>536</v>
      </c>
      <c r="E181">
        <v>0.25</v>
      </c>
      <c r="F181">
        <f t="shared" ref="F181:F193" si="4">8*24</f>
        <v>192</v>
      </c>
      <c r="G181">
        <f t="shared" ref="G181:G193" si="5">F181+E181</f>
        <v>192.25</v>
      </c>
      <c r="H181" s="16" t="s">
        <v>514</v>
      </c>
      <c r="I181" s="16"/>
      <c r="J181" s="16"/>
      <c r="K181">
        <v>1.4573378839590401</v>
      </c>
      <c r="L181" t="s">
        <v>458</v>
      </c>
      <c r="M181" t="s">
        <v>535</v>
      </c>
      <c r="Q181" t="s">
        <v>468</v>
      </c>
      <c r="R181" t="s">
        <v>4</v>
      </c>
      <c r="S181" t="s">
        <v>14</v>
      </c>
    </row>
    <row r="182" spans="1:19" x14ac:dyDescent="0.3">
      <c r="A182" s="2" t="s">
        <v>105</v>
      </c>
      <c r="B182" s="4" t="s">
        <v>345</v>
      </c>
      <c r="C182" s="3" t="s">
        <v>17</v>
      </c>
      <c r="D182" t="s">
        <v>536</v>
      </c>
      <c r="E182">
        <v>0.75</v>
      </c>
      <c r="F182">
        <f t="shared" si="4"/>
        <v>192</v>
      </c>
      <c r="G182">
        <f t="shared" si="5"/>
        <v>192.75</v>
      </c>
      <c r="H182" s="16" t="s">
        <v>514</v>
      </c>
      <c r="I182" s="16"/>
      <c r="J182" s="16"/>
      <c r="K182">
        <v>4.0136518771330998</v>
      </c>
      <c r="L182" t="s">
        <v>458</v>
      </c>
      <c r="M182" t="s">
        <v>535</v>
      </c>
      <c r="Q182" t="s">
        <v>468</v>
      </c>
      <c r="R182" t="s">
        <v>4</v>
      </c>
      <c r="S182" t="s">
        <v>14</v>
      </c>
    </row>
    <row r="183" spans="1:19" x14ac:dyDescent="0.3">
      <c r="A183" s="2" t="s">
        <v>105</v>
      </c>
      <c r="B183" s="4" t="s">
        <v>345</v>
      </c>
      <c r="C183" s="3" t="s">
        <v>17</v>
      </c>
      <c r="D183" t="s">
        <v>536</v>
      </c>
      <c r="E183">
        <v>1</v>
      </c>
      <c r="F183">
        <f t="shared" si="4"/>
        <v>192</v>
      </c>
      <c r="G183">
        <f t="shared" si="5"/>
        <v>193</v>
      </c>
      <c r="H183" s="16" t="s">
        <v>514</v>
      </c>
      <c r="I183" s="16"/>
      <c r="J183" s="16"/>
      <c r="K183">
        <v>4.2167235494880497</v>
      </c>
      <c r="L183" t="s">
        <v>458</v>
      </c>
      <c r="M183" t="s">
        <v>535</v>
      </c>
      <c r="Q183" t="s">
        <v>468</v>
      </c>
      <c r="R183" t="s">
        <v>4</v>
      </c>
      <c r="S183" t="s">
        <v>14</v>
      </c>
    </row>
    <row r="184" spans="1:19" x14ac:dyDescent="0.3">
      <c r="A184" s="2" t="s">
        <v>105</v>
      </c>
      <c r="B184" s="4" t="s">
        <v>345</v>
      </c>
      <c r="C184" s="3" t="s">
        <v>17</v>
      </c>
      <c r="D184" t="s">
        <v>536</v>
      </c>
      <c r="E184">
        <v>1.5</v>
      </c>
      <c r="F184">
        <f t="shared" si="4"/>
        <v>192</v>
      </c>
      <c r="G184">
        <f t="shared" si="5"/>
        <v>193.5</v>
      </c>
      <c r="H184" s="16" t="s">
        <v>514</v>
      </c>
      <c r="I184" s="16"/>
      <c r="J184" s="16"/>
      <c r="K184">
        <v>3.8941979522184198</v>
      </c>
      <c r="L184" t="s">
        <v>458</v>
      </c>
      <c r="M184" t="s">
        <v>535</v>
      </c>
      <c r="Q184" t="s">
        <v>468</v>
      </c>
      <c r="R184" t="s">
        <v>4</v>
      </c>
      <c r="S184" t="s">
        <v>14</v>
      </c>
    </row>
    <row r="185" spans="1:19" x14ac:dyDescent="0.3">
      <c r="A185" s="2" t="s">
        <v>105</v>
      </c>
      <c r="B185" s="4" t="s">
        <v>345</v>
      </c>
      <c r="C185" s="3" t="s">
        <v>17</v>
      </c>
      <c r="D185" t="s">
        <v>536</v>
      </c>
      <c r="E185">
        <v>2</v>
      </c>
      <c r="F185">
        <f t="shared" si="4"/>
        <v>192</v>
      </c>
      <c r="G185">
        <f t="shared" si="5"/>
        <v>194</v>
      </c>
      <c r="H185" s="16" t="s">
        <v>514</v>
      </c>
      <c r="I185" s="16"/>
      <c r="J185" s="16"/>
      <c r="K185">
        <v>3.85836177474402</v>
      </c>
      <c r="L185" t="s">
        <v>458</v>
      </c>
      <c r="M185" t="s">
        <v>535</v>
      </c>
      <c r="Q185" t="s">
        <v>468</v>
      </c>
      <c r="R185" t="s">
        <v>4</v>
      </c>
      <c r="S185" t="s">
        <v>14</v>
      </c>
    </row>
    <row r="186" spans="1:19" x14ac:dyDescent="0.3">
      <c r="A186" s="2" t="s">
        <v>105</v>
      </c>
      <c r="B186" s="4" t="s">
        <v>345</v>
      </c>
      <c r="C186" s="3" t="s">
        <v>17</v>
      </c>
      <c r="D186" t="s">
        <v>536</v>
      </c>
      <c r="E186">
        <v>2.5</v>
      </c>
      <c r="F186">
        <f t="shared" si="4"/>
        <v>192</v>
      </c>
      <c r="G186">
        <f t="shared" si="5"/>
        <v>194.5</v>
      </c>
      <c r="H186" s="16" t="s">
        <v>514</v>
      </c>
      <c r="I186" s="16"/>
      <c r="J186" s="16"/>
      <c r="K186">
        <v>3.5597269624573298</v>
      </c>
      <c r="L186" t="s">
        <v>458</v>
      </c>
      <c r="M186" t="s">
        <v>535</v>
      </c>
      <c r="Q186" t="s">
        <v>468</v>
      </c>
      <c r="R186" t="s">
        <v>4</v>
      </c>
      <c r="S186" t="s">
        <v>14</v>
      </c>
    </row>
    <row r="187" spans="1:19" x14ac:dyDescent="0.3">
      <c r="A187" s="2" t="s">
        <v>105</v>
      </c>
      <c r="B187" s="4" t="s">
        <v>345</v>
      </c>
      <c r="C187" s="3" t="s">
        <v>17</v>
      </c>
      <c r="D187" t="s">
        <v>536</v>
      </c>
      <c r="E187">
        <v>4</v>
      </c>
      <c r="F187">
        <f t="shared" si="4"/>
        <v>192</v>
      </c>
      <c r="G187">
        <f t="shared" si="5"/>
        <v>196</v>
      </c>
      <c r="H187" s="16" t="s">
        <v>514</v>
      </c>
      <c r="I187" s="16"/>
      <c r="J187" s="16"/>
      <c r="K187">
        <v>3.0341296928327601</v>
      </c>
      <c r="L187" t="s">
        <v>458</v>
      </c>
      <c r="M187" t="s">
        <v>535</v>
      </c>
      <c r="Q187" t="s">
        <v>468</v>
      </c>
      <c r="R187" t="s">
        <v>4</v>
      </c>
      <c r="S187" t="s">
        <v>14</v>
      </c>
    </row>
    <row r="188" spans="1:19" x14ac:dyDescent="0.3">
      <c r="A188" s="2" t="s">
        <v>105</v>
      </c>
      <c r="B188" s="4" t="s">
        <v>345</v>
      </c>
      <c r="C188" s="3" t="s">
        <v>17</v>
      </c>
      <c r="D188" t="s">
        <v>536</v>
      </c>
      <c r="E188">
        <v>6</v>
      </c>
      <c r="F188">
        <f t="shared" si="4"/>
        <v>192</v>
      </c>
      <c r="G188">
        <f t="shared" si="5"/>
        <v>198</v>
      </c>
      <c r="H188" s="16" t="s">
        <v>514</v>
      </c>
      <c r="I188" s="16"/>
      <c r="J188" s="16"/>
      <c r="K188">
        <v>2.7354948805460699</v>
      </c>
      <c r="L188" t="s">
        <v>458</v>
      </c>
      <c r="M188" t="s">
        <v>535</v>
      </c>
      <c r="Q188" t="s">
        <v>468</v>
      </c>
      <c r="R188" t="s">
        <v>4</v>
      </c>
      <c r="S188" t="s">
        <v>14</v>
      </c>
    </row>
    <row r="189" spans="1:19" x14ac:dyDescent="0.3">
      <c r="A189" s="2" t="s">
        <v>105</v>
      </c>
      <c r="B189" s="4" t="s">
        <v>345</v>
      </c>
      <c r="C189" s="3" t="s">
        <v>17</v>
      </c>
      <c r="D189" t="s">
        <v>536</v>
      </c>
      <c r="E189">
        <v>8</v>
      </c>
      <c r="F189">
        <f t="shared" si="4"/>
        <v>192</v>
      </c>
      <c r="G189">
        <f t="shared" si="5"/>
        <v>200</v>
      </c>
      <c r="H189" s="16" t="s">
        <v>514</v>
      </c>
      <c r="I189" s="16"/>
      <c r="J189" s="16"/>
      <c r="K189">
        <v>2.3532423208191098</v>
      </c>
      <c r="L189" t="s">
        <v>458</v>
      </c>
      <c r="M189" t="s">
        <v>535</v>
      </c>
      <c r="Q189" t="s">
        <v>468</v>
      </c>
      <c r="R189" t="s">
        <v>4</v>
      </c>
      <c r="S189" t="s">
        <v>14</v>
      </c>
    </row>
    <row r="190" spans="1:19" x14ac:dyDescent="0.3">
      <c r="A190" s="2" t="s">
        <v>105</v>
      </c>
      <c r="B190" s="4" t="s">
        <v>345</v>
      </c>
      <c r="C190" s="3" t="s">
        <v>17</v>
      </c>
      <c r="D190" t="s">
        <v>536</v>
      </c>
      <c r="E190">
        <v>10</v>
      </c>
      <c r="F190">
        <f t="shared" si="4"/>
        <v>192</v>
      </c>
      <c r="G190">
        <f t="shared" si="5"/>
        <v>202</v>
      </c>
      <c r="H190" s="16" t="s">
        <v>514</v>
      </c>
      <c r="I190" s="16"/>
      <c r="J190" s="16"/>
      <c r="K190">
        <v>2.1262798634812201</v>
      </c>
      <c r="L190" t="s">
        <v>458</v>
      </c>
      <c r="M190" t="s">
        <v>535</v>
      </c>
      <c r="Q190" t="s">
        <v>468</v>
      </c>
      <c r="R190" t="s">
        <v>4</v>
      </c>
      <c r="S190" t="s">
        <v>14</v>
      </c>
    </row>
    <row r="191" spans="1:19" x14ac:dyDescent="0.3">
      <c r="A191" s="2" t="s">
        <v>105</v>
      </c>
      <c r="B191" s="4" t="s">
        <v>345</v>
      </c>
      <c r="C191" s="3" t="s">
        <v>17</v>
      </c>
      <c r="D191" t="s">
        <v>536</v>
      </c>
      <c r="E191">
        <v>12</v>
      </c>
      <c r="F191">
        <f t="shared" si="4"/>
        <v>192</v>
      </c>
      <c r="G191">
        <f t="shared" si="5"/>
        <v>204</v>
      </c>
      <c r="H191" s="16" t="s">
        <v>514</v>
      </c>
      <c r="I191" s="16"/>
      <c r="J191" s="16"/>
      <c r="K191">
        <v>1.7918088737201301</v>
      </c>
      <c r="L191" t="s">
        <v>458</v>
      </c>
      <c r="M191" t="s">
        <v>535</v>
      </c>
      <c r="Q191" t="s">
        <v>468</v>
      </c>
      <c r="R191" t="s">
        <v>4</v>
      </c>
      <c r="S191" t="s">
        <v>14</v>
      </c>
    </row>
    <row r="192" spans="1:19" x14ac:dyDescent="0.3">
      <c r="A192" s="2" t="s">
        <v>105</v>
      </c>
      <c r="B192" s="4" t="s">
        <v>345</v>
      </c>
      <c r="C192" s="3" t="s">
        <v>17</v>
      </c>
      <c r="D192" t="s">
        <v>536</v>
      </c>
      <c r="E192">
        <v>16</v>
      </c>
      <c r="F192">
        <f t="shared" si="4"/>
        <v>192</v>
      </c>
      <c r="G192">
        <f t="shared" si="5"/>
        <v>208</v>
      </c>
      <c r="H192" s="16" t="s">
        <v>514</v>
      </c>
      <c r="I192" s="16"/>
      <c r="J192" s="16"/>
      <c r="K192">
        <v>1.4095563139931699</v>
      </c>
      <c r="L192" t="s">
        <v>458</v>
      </c>
      <c r="M192" t="s">
        <v>535</v>
      </c>
      <c r="Q192" t="s">
        <v>468</v>
      </c>
      <c r="R192" t="s">
        <v>4</v>
      </c>
      <c r="S192" t="s">
        <v>14</v>
      </c>
    </row>
    <row r="193" spans="1:19" x14ac:dyDescent="0.3">
      <c r="A193" s="2" t="s">
        <v>105</v>
      </c>
      <c r="B193" s="4" t="s">
        <v>345</v>
      </c>
      <c r="C193" s="3" t="s">
        <v>17</v>
      </c>
      <c r="D193" t="s">
        <v>536</v>
      </c>
      <c r="E193">
        <v>24</v>
      </c>
      <c r="F193">
        <f t="shared" si="4"/>
        <v>192</v>
      </c>
      <c r="G193">
        <f t="shared" si="5"/>
        <v>216</v>
      </c>
      <c r="H193" s="16" t="s">
        <v>514</v>
      </c>
      <c r="I193" s="16"/>
      <c r="J193" s="16"/>
      <c r="K193">
        <v>0.96757679180887302</v>
      </c>
      <c r="L193" t="s">
        <v>458</v>
      </c>
      <c r="M193" t="s">
        <v>535</v>
      </c>
      <c r="Q193" t="s">
        <v>468</v>
      </c>
      <c r="R193" t="s">
        <v>4</v>
      </c>
      <c r="S193" t="s">
        <v>14</v>
      </c>
    </row>
    <row r="194" spans="1:19" x14ac:dyDescent="0.3">
      <c r="A194" s="2" t="s">
        <v>106</v>
      </c>
      <c r="B194" s="4" t="s">
        <v>545</v>
      </c>
      <c r="C194" s="3" t="s">
        <v>21</v>
      </c>
      <c r="D194" t="s">
        <v>547</v>
      </c>
      <c r="G194">
        <v>1.5</v>
      </c>
      <c r="H194" s="16" t="s">
        <v>514</v>
      </c>
      <c r="I194">
        <v>6.15904575192016E-2</v>
      </c>
      <c r="J194" s="16" t="s">
        <v>556</v>
      </c>
      <c r="K194">
        <f>I194*100</f>
        <v>6.1590457519201598</v>
      </c>
      <c r="L194" t="s">
        <v>550</v>
      </c>
      <c r="M194" t="s">
        <v>548</v>
      </c>
      <c r="Q194" t="s">
        <v>468</v>
      </c>
      <c r="R194" t="s">
        <v>4</v>
      </c>
      <c r="S194" t="s">
        <v>22</v>
      </c>
    </row>
    <row r="195" spans="1:19" x14ac:dyDescent="0.3">
      <c r="A195" s="2" t="s">
        <v>106</v>
      </c>
      <c r="B195" s="4" t="s">
        <v>545</v>
      </c>
      <c r="C195" s="3" t="s">
        <v>21</v>
      </c>
      <c r="D195" t="s">
        <v>547</v>
      </c>
      <c r="G195">
        <v>4</v>
      </c>
      <c r="H195" s="16" t="s">
        <v>514</v>
      </c>
      <c r="I195">
        <v>7.4162448140838597</v>
      </c>
      <c r="J195" s="16" t="s">
        <v>556</v>
      </c>
      <c r="K195">
        <f t="shared" ref="K195:K205" si="6">I195*100</f>
        <v>741.62448140838592</v>
      </c>
      <c r="L195" t="s">
        <v>550</v>
      </c>
      <c r="M195" t="s">
        <v>548</v>
      </c>
      <c r="Q195" t="s">
        <v>468</v>
      </c>
      <c r="R195" t="s">
        <v>4</v>
      </c>
      <c r="S195" t="s">
        <v>22</v>
      </c>
    </row>
    <row r="196" spans="1:19" x14ac:dyDescent="0.3">
      <c r="A196" s="2" t="s">
        <v>106</v>
      </c>
      <c r="B196" s="4" t="s">
        <v>545</v>
      </c>
      <c r="C196" s="3" t="s">
        <v>21</v>
      </c>
      <c r="D196" t="s">
        <v>547</v>
      </c>
      <c r="G196">
        <v>12</v>
      </c>
      <c r="H196" s="16" t="s">
        <v>514</v>
      </c>
      <c r="I196">
        <v>1.50185215429316</v>
      </c>
      <c r="J196" s="16" t="s">
        <v>556</v>
      </c>
      <c r="K196">
        <f t="shared" si="6"/>
        <v>150.185215429316</v>
      </c>
      <c r="L196" t="s">
        <v>550</v>
      </c>
      <c r="M196" t="s">
        <v>548</v>
      </c>
      <c r="Q196" t="s">
        <v>468</v>
      </c>
      <c r="R196" t="s">
        <v>4</v>
      </c>
      <c r="S196" t="s">
        <v>22</v>
      </c>
    </row>
    <row r="197" spans="1:19" x14ac:dyDescent="0.3">
      <c r="A197" s="2" t="s">
        <v>106</v>
      </c>
      <c r="B197" s="4" t="s">
        <v>545</v>
      </c>
      <c r="C197" s="3" t="s">
        <v>21</v>
      </c>
      <c r="D197" t="s">
        <v>547</v>
      </c>
      <c r="G197">
        <v>24</v>
      </c>
      <c r="H197" s="16" t="s">
        <v>514</v>
      </c>
      <c r="I197">
        <v>0.49344534493310599</v>
      </c>
      <c r="J197" s="16" t="s">
        <v>556</v>
      </c>
      <c r="K197">
        <f t="shared" si="6"/>
        <v>49.344534493310597</v>
      </c>
      <c r="L197" t="s">
        <v>550</v>
      </c>
      <c r="M197" t="s">
        <v>548</v>
      </c>
      <c r="Q197" t="s">
        <v>468</v>
      </c>
      <c r="R197" t="s">
        <v>4</v>
      </c>
      <c r="S197" t="s">
        <v>22</v>
      </c>
    </row>
    <row r="198" spans="1:19" x14ac:dyDescent="0.3">
      <c r="A198" s="2" t="s">
        <v>106</v>
      </c>
      <c r="B198" s="4" t="s">
        <v>545</v>
      </c>
      <c r="C198" s="3" t="s">
        <v>21</v>
      </c>
      <c r="D198" t="s">
        <v>547</v>
      </c>
      <c r="G198">
        <v>48</v>
      </c>
      <c r="H198" s="16" t="s">
        <v>514</v>
      </c>
      <c r="I198">
        <v>0.16212535151354401</v>
      </c>
      <c r="J198" s="16" t="s">
        <v>556</v>
      </c>
      <c r="K198">
        <f t="shared" si="6"/>
        <v>16.212535151354402</v>
      </c>
      <c r="L198" t="s">
        <v>550</v>
      </c>
      <c r="M198" t="s">
        <v>548</v>
      </c>
      <c r="Q198" t="s">
        <v>468</v>
      </c>
      <c r="R198" t="s">
        <v>4</v>
      </c>
      <c r="S198" t="s">
        <v>22</v>
      </c>
    </row>
    <row r="199" spans="1:19" x14ac:dyDescent="0.3">
      <c r="A199" s="2" t="s">
        <v>106</v>
      </c>
      <c r="B199" s="4" t="s">
        <v>545</v>
      </c>
      <c r="C199" s="3" t="s">
        <v>21</v>
      </c>
      <c r="D199" t="s">
        <v>547</v>
      </c>
      <c r="G199">
        <v>72</v>
      </c>
      <c r="H199" s="16" t="s">
        <v>514</v>
      </c>
      <c r="I199">
        <v>8.2340723820655604E-2</v>
      </c>
      <c r="J199" s="16" t="s">
        <v>556</v>
      </c>
      <c r="K199">
        <f t="shared" si="6"/>
        <v>8.2340723820655608</v>
      </c>
      <c r="L199" t="s">
        <v>550</v>
      </c>
      <c r="M199" t="s">
        <v>548</v>
      </c>
      <c r="Q199" t="s">
        <v>468</v>
      </c>
      <c r="R199" t="s">
        <v>4</v>
      </c>
      <c r="S199" t="s">
        <v>22</v>
      </c>
    </row>
    <row r="200" spans="1:19" x14ac:dyDescent="0.3">
      <c r="A200" s="2" t="s">
        <v>106</v>
      </c>
      <c r="B200" s="4" t="s">
        <v>545</v>
      </c>
      <c r="C200" s="3" t="s">
        <v>21</v>
      </c>
      <c r="D200" t="s">
        <v>547</v>
      </c>
      <c r="G200">
        <v>120</v>
      </c>
      <c r="H200" s="16" t="s">
        <v>514</v>
      </c>
      <c r="I200">
        <v>4.8353626897206799E-2</v>
      </c>
      <c r="J200" s="16" t="s">
        <v>556</v>
      </c>
      <c r="K200">
        <f t="shared" si="6"/>
        <v>4.8353626897206796</v>
      </c>
      <c r="L200" t="s">
        <v>550</v>
      </c>
      <c r="M200" t="s">
        <v>548</v>
      </c>
      <c r="Q200" t="s">
        <v>468</v>
      </c>
      <c r="R200" t="s">
        <v>4</v>
      </c>
      <c r="S200" t="s">
        <v>22</v>
      </c>
    </row>
    <row r="201" spans="1:19" x14ac:dyDescent="0.3">
      <c r="A201" s="2" t="s">
        <v>106</v>
      </c>
      <c r="B201" s="4" t="s">
        <v>545</v>
      </c>
      <c r="C201" s="3" t="s">
        <v>21</v>
      </c>
      <c r="D201" t="s">
        <v>547</v>
      </c>
      <c r="G201">
        <v>168</v>
      </c>
      <c r="H201" s="16" t="s">
        <v>514</v>
      </c>
      <c r="I201">
        <v>3.1280751623553003E-2</v>
      </c>
      <c r="J201" s="16" t="s">
        <v>556</v>
      </c>
      <c r="K201">
        <f t="shared" si="6"/>
        <v>3.1280751623553003</v>
      </c>
      <c r="L201" t="s">
        <v>550</v>
      </c>
      <c r="M201" t="s">
        <v>548</v>
      </c>
      <c r="Q201" t="s">
        <v>468</v>
      </c>
      <c r="R201" t="s">
        <v>4</v>
      </c>
      <c r="S201" t="s">
        <v>22</v>
      </c>
    </row>
    <row r="202" spans="1:19" x14ac:dyDescent="0.3">
      <c r="A202" s="2" t="s">
        <v>106</v>
      </c>
      <c r="B202" s="4" t="s">
        <v>545</v>
      </c>
      <c r="C202" s="3" t="s">
        <v>21</v>
      </c>
      <c r="D202" t="s">
        <v>547</v>
      </c>
      <c r="G202">
        <v>216</v>
      </c>
      <c r="H202" s="16" t="s">
        <v>514</v>
      </c>
      <c r="I202">
        <v>2.1239396852806298E-2</v>
      </c>
      <c r="J202" s="16" t="s">
        <v>556</v>
      </c>
      <c r="K202">
        <f t="shared" si="6"/>
        <v>2.12393968528063</v>
      </c>
      <c r="L202" t="s">
        <v>550</v>
      </c>
      <c r="M202" t="s">
        <v>548</v>
      </c>
      <c r="Q202" t="s">
        <v>468</v>
      </c>
      <c r="R202" t="s">
        <v>4</v>
      </c>
      <c r="S202" t="s">
        <v>22</v>
      </c>
    </row>
    <row r="203" spans="1:19" x14ac:dyDescent="0.3">
      <c r="A203" s="2" t="s">
        <v>106</v>
      </c>
      <c r="B203" s="4" t="s">
        <v>545</v>
      </c>
      <c r="C203" s="3" t="s">
        <v>21</v>
      </c>
      <c r="D203" t="s">
        <v>547</v>
      </c>
      <c r="G203">
        <v>336</v>
      </c>
      <c r="H203" s="16" t="s">
        <v>514</v>
      </c>
      <c r="I203">
        <v>1.51364508320072E-2</v>
      </c>
      <c r="J203" s="16" t="s">
        <v>556</v>
      </c>
      <c r="K203">
        <f t="shared" si="6"/>
        <v>1.51364508320072</v>
      </c>
      <c r="L203" t="s">
        <v>550</v>
      </c>
      <c r="M203" t="s">
        <v>548</v>
      </c>
      <c r="Q203" t="s">
        <v>468</v>
      </c>
      <c r="R203" t="s">
        <v>4</v>
      </c>
      <c r="S203" t="s">
        <v>22</v>
      </c>
    </row>
    <row r="204" spans="1:19" x14ac:dyDescent="0.3">
      <c r="A204" s="2" t="s">
        <v>106</v>
      </c>
      <c r="B204" s="4" t="s">
        <v>545</v>
      </c>
      <c r="C204" s="3" t="s">
        <v>21</v>
      </c>
      <c r="D204" t="s">
        <v>547</v>
      </c>
      <c r="G204">
        <v>504</v>
      </c>
      <c r="H204" s="16" t="s">
        <v>514</v>
      </c>
      <c r="I204">
        <v>1.13219909748517E-2</v>
      </c>
      <c r="J204" s="16" t="s">
        <v>556</v>
      </c>
      <c r="K204">
        <f t="shared" si="6"/>
        <v>1.1321990974851699</v>
      </c>
      <c r="L204" t="s">
        <v>550</v>
      </c>
      <c r="M204" t="s">
        <v>548</v>
      </c>
      <c r="Q204" t="s">
        <v>468</v>
      </c>
      <c r="R204" t="s">
        <v>4</v>
      </c>
      <c r="S204" t="s">
        <v>22</v>
      </c>
    </row>
    <row r="205" spans="1:19" x14ac:dyDescent="0.3">
      <c r="A205" s="2" t="s">
        <v>106</v>
      </c>
      <c r="B205" s="4" t="s">
        <v>545</v>
      </c>
      <c r="C205" s="3" t="s">
        <v>21</v>
      </c>
      <c r="D205" t="s">
        <v>547</v>
      </c>
      <c r="G205">
        <v>672</v>
      </c>
      <c r="H205" s="16" t="s">
        <v>514</v>
      </c>
      <c r="I205">
        <v>8.4687937124310192E-3</v>
      </c>
      <c r="J205" s="16" t="s">
        <v>556</v>
      </c>
      <c r="K205">
        <f t="shared" si="6"/>
        <v>0.84687937124310197</v>
      </c>
      <c r="L205" t="s">
        <v>550</v>
      </c>
      <c r="M205" t="s">
        <v>548</v>
      </c>
      <c r="Q205" t="s">
        <v>468</v>
      </c>
      <c r="R205" t="s">
        <v>4</v>
      </c>
      <c r="S205" t="s">
        <v>22</v>
      </c>
    </row>
    <row r="206" spans="1:19" x14ac:dyDescent="0.3">
      <c r="A206" s="2" t="s">
        <v>107</v>
      </c>
      <c r="B206" s="4" t="s">
        <v>544</v>
      </c>
      <c r="C206" s="3" t="s">
        <v>21</v>
      </c>
      <c r="D206" t="s">
        <v>547</v>
      </c>
      <c r="G206">
        <v>1.5</v>
      </c>
      <c r="H206" s="16" t="s">
        <v>514</v>
      </c>
      <c r="I206">
        <v>0.29195143621925301</v>
      </c>
      <c r="J206" s="16" t="s">
        <v>556</v>
      </c>
      <c r="K206">
        <f>400*I206</f>
        <v>116.7805744877012</v>
      </c>
      <c r="L206" t="s">
        <v>550</v>
      </c>
      <c r="M206" t="s">
        <v>548</v>
      </c>
      <c r="Q206" t="s">
        <v>468</v>
      </c>
      <c r="R206" t="s">
        <v>4</v>
      </c>
      <c r="S206" t="s">
        <v>22</v>
      </c>
    </row>
    <row r="207" spans="1:19" x14ac:dyDescent="0.3">
      <c r="A207" s="2" t="s">
        <v>107</v>
      </c>
      <c r="B207" s="4" t="s">
        <v>544</v>
      </c>
      <c r="C207" s="3" t="s">
        <v>21</v>
      </c>
      <c r="D207" t="s">
        <v>547</v>
      </c>
      <c r="G207">
        <v>6</v>
      </c>
      <c r="H207" s="16" t="s">
        <v>514</v>
      </c>
      <c r="I207">
        <v>4.3941110039374802</v>
      </c>
      <c r="J207" s="16" t="s">
        <v>556</v>
      </c>
      <c r="K207">
        <f t="shared" ref="K207:K216" si="7">400*I207</f>
        <v>1757.6444015749921</v>
      </c>
      <c r="L207" t="s">
        <v>550</v>
      </c>
      <c r="M207" t="s">
        <v>548</v>
      </c>
      <c r="Q207" t="s">
        <v>468</v>
      </c>
      <c r="R207" t="s">
        <v>4</v>
      </c>
      <c r="S207" t="s">
        <v>22</v>
      </c>
    </row>
    <row r="208" spans="1:19" x14ac:dyDescent="0.3">
      <c r="A208" s="2" t="s">
        <v>107</v>
      </c>
      <c r="B208" s="4" t="s">
        <v>544</v>
      </c>
      <c r="C208" s="3" t="s">
        <v>21</v>
      </c>
      <c r="D208" t="s">
        <v>547</v>
      </c>
      <c r="G208">
        <v>12</v>
      </c>
      <c r="H208" s="16" t="s">
        <v>514</v>
      </c>
      <c r="I208">
        <v>1.47882380817924</v>
      </c>
      <c r="J208" s="16" t="s">
        <v>556</v>
      </c>
      <c r="K208">
        <f t="shared" si="7"/>
        <v>591.52952327169601</v>
      </c>
      <c r="L208" t="s">
        <v>550</v>
      </c>
      <c r="M208" t="s">
        <v>548</v>
      </c>
      <c r="Q208" t="s">
        <v>468</v>
      </c>
      <c r="R208" t="s">
        <v>4</v>
      </c>
      <c r="S208" t="s">
        <v>22</v>
      </c>
    </row>
    <row r="209" spans="1:19" x14ac:dyDescent="0.3">
      <c r="A209" s="2" t="s">
        <v>107</v>
      </c>
      <c r="B209" s="4" t="s">
        <v>544</v>
      </c>
      <c r="C209" s="3" t="s">
        <v>21</v>
      </c>
      <c r="D209" t="s">
        <v>547</v>
      </c>
      <c r="G209">
        <v>24</v>
      </c>
      <c r="H209" s="16" t="s">
        <v>514</v>
      </c>
      <c r="I209">
        <v>0.52031472034632598</v>
      </c>
      <c r="J209" s="16" t="s">
        <v>556</v>
      </c>
      <c r="K209">
        <f t="shared" si="7"/>
        <v>208.1258881385304</v>
      </c>
      <c r="L209" t="s">
        <v>550</v>
      </c>
      <c r="M209" t="s">
        <v>548</v>
      </c>
      <c r="Q209" t="s">
        <v>468</v>
      </c>
      <c r="R209" t="s">
        <v>4</v>
      </c>
      <c r="S209" t="s">
        <v>22</v>
      </c>
    </row>
    <row r="210" spans="1:19" x14ac:dyDescent="0.3">
      <c r="A210" s="2" t="s">
        <v>107</v>
      </c>
      <c r="B210" s="4" t="s">
        <v>544</v>
      </c>
      <c r="C210" s="3" t="s">
        <v>21</v>
      </c>
      <c r="D210" t="s">
        <v>547</v>
      </c>
      <c r="G210">
        <v>48</v>
      </c>
      <c r="H210" s="16" t="s">
        <v>514</v>
      </c>
      <c r="I210">
        <v>0.14336472710473899</v>
      </c>
      <c r="J210" s="16" t="s">
        <v>556</v>
      </c>
      <c r="K210">
        <f t="shared" si="7"/>
        <v>57.345890841895596</v>
      </c>
      <c r="L210" t="s">
        <v>550</v>
      </c>
      <c r="M210" t="s">
        <v>548</v>
      </c>
      <c r="Q210" t="s">
        <v>468</v>
      </c>
      <c r="R210" t="s">
        <v>4</v>
      </c>
      <c r="S210" t="s">
        <v>22</v>
      </c>
    </row>
    <row r="211" spans="1:19" x14ac:dyDescent="0.3">
      <c r="A211" s="2" t="s">
        <v>107</v>
      </c>
      <c r="B211" s="4" t="s">
        <v>544</v>
      </c>
      <c r="C211" s="3" t="s">
        <v>21</v>
      </c>
      <c r="D211" t="s">
        <v>547</v>
      </c>
      <c r="G211">
        <v>72</v>
      </c>
      <c r="H211" s="16" t="s">
        <v>514</v>
      </c>
      <c r="I211">
        <v>6.7339477097523096E-2</v>
      </c>
      <c r="J211" s="16" t="s">
        <v>556</v>
      </c>
      <c r="K211">
        <f t="shared" si="7"/>
        <v>26.93579083900924</v>
      </c>
      <c r="L211" t="s">
        <v>550</v>
      </c>
      <c r="M211" t="s">
        <v>548</v>
      </c>
      <c r="Q211" t="s">
        <v>468</v>
      </c>
      <c r="R211" t="s">
        <v>4</v>
      </c>
      <c r="S211" t="s">
        <v>22</v>
      </c>
    </row>
    <row r="212" spans="1:19" x14ac:dyDescent="0.3">
      <c r="A212" s="2" t="s">
        <v>107</v>
      </c>
      <c r="B212" s="4" t="s">
        <v>544</v>
      </c>
      <c r="C212" s="3" t="s">
        <v>21</v>
      </c>
      <c r="D212" t="s">
        <v>547</v>
      </c>
      <c r="G212">
        <v>120</v>
      </c>
      <c r="H212" s="16" t="s">
        <v>514</v>
      </c>
      <c r="I212">
        <v>3.6141816284120901E-2</v>
      </c>
      <c r="J212" s="16" t="s">
        <v>556</v>
      </c>
      <c r="K212">
        <f t="shared" si="7"/>
        <v>14.456726513648361</v>
      </c>
      <c r="L212" t="s">
        <v>550</v>
      </c>
      <c r="M212" t="s">
        <v>548</v>
      </c>
      <c r="Q212" t="s">
        <v>468</v>
      </c>
      <c r="R212" t="s">
        <v>4</v>
      </c>
      <c r="S212" t="s">
        <v>22</v>
      </c>
    </row>
    <row r="213" spans="1:19" x14ac:dyDescent="0.3">
      <c r="A213" s="2" t="s">
        <v>107</v>
      </c>
      <c r="B213" s="4" t="s">
        <v>544</v>
      </c>
      <c r="C213" s="3" t="s">
        <v>21</v>
      </c>
      <c r="D213" t="s">
        <v>547</v>
      </c>
      <c r="G213">
        <v>168</v>
      </c>
      <c r="H213" s="16" t="s">
        <v>514</v>
      </c>
      <c r="I213">
        <v>2.5326537648348101E-2</v>
      </c>
      <c r="J213" s="16" t="s">
        <v>556</v>
      </c>
      <c r="K213">
        <f t="shared" si="7"/>
        <v>10.13061505933924</v>
      </c>
      <c r="L213" t="s">
        <v>550</v>
      </c>
      <c r="M213" t="s">
        <v>548</v>
      </c>
      <c r="Q213" t="s">
        <v>468</v>
      </c>
      <c r="R213" t="s">
        <v>4</v>
      </c>
      <c r="S213" t="s">
        <v>22</v>
      </c>
    </row>
    <row r="214" spans="1:19" x14ac:dyDescent="0.3">
      <c r="A214" s="2" t="s">
        <v>107</v>
      </c>
      <c r="B214" s="4" t="s">
        <v>544</v>
      </c>
      <c r="C214" s="3" t="s">
        <v>21</v>
      </c>
      <c r="D214" t="s">
        <v>547</v>
      </c>
      <c r="G214">
        <v>216</v>
      </c>
      <c r="H214" s="16" t="s">
        <v>514</v>
      </c>
      <c r="I214">
        <v>2.4225433271560699E-2</v>
      </c>
      <c r="J214" s="16" t="s">
        <v>556</v>
      </c>
      <c r="K214">
        <f t="shared" si="7"/>
        <v>9.6901733086242796</v>
      </c>
      <c r="L214" t="s">
        <v>550</v>
      </c>
      <c r="M214" t="s">
        <v>548</v>
      </c>
      <c r="Q214" t="s">
        <v>468</v>
      </c>
      <c r="R214" t="s">
        <v>4</v>
      </c>
      <c r="S214" t="s">
        <v>22</v>
      </c>
    </row>
    <row r="215" spans="1:19" x14ac:dyDescent="0.3">
      <c r="A215" s="2" t="s">
        <v>107</v>
      </c>
      <c r="B215" s="4" t="s">
        <v>544</v>
      </c>
      <c r="C215" s="3" t="s">
        <v>21</v>
      </c>
      <c r="D215" t="s">
        <v>547</v>
      </c>
      <c r="G215">
        <v>264</v>
      </c>
      <c r="H215" s="16" t="s">
        <v>514</v>
      </c>
      <c r="I215">
        <v>1.9397698654883E-2</v>
      </c>
      <c r="J215" s="16" t="s">
        <v>556</v>
      </c>
      <c r="K215">
        <f t="shared" si="7"/>
        <v>7.7590794619532</v>
      </c>
      <c r="L215" t="s">
        <v>550</v>
      </c>
      <c r="M215" t="s">
        <v>548</v>
      </c>
      <c r="Q215" t="s">
        <v>468</v>
      </c>
      <c r="R215" t="s">
        <v>4</v>
      </c>
      <c r="S215" t="s">
        <v>22</v>
      </c>
    </row>
    <row r="216" spans="1:19" x14ac:dyDescent="0.3">
      <c r="A216" s="2" t="s">
        <v>107</v>
      </c>
      <c r="B216" s="4" t="s">
        <v>544</v>
      </c>
      <c r="C216" s="3" t="s">
        <v>21</v>
      </c>
      <c r="D216" t="s">
        <v>547</v>
      </c>
      <c r="G216">
        <v>336</v>
      </c>
      <c r="H216" s="16" t="s">
        <v>514</v>
      </c>
      <c r="I216">
        <v>1.6238022256028099E-2</v>
      </c>
      <c r="J216" s="16" t="s">
        <v>556</v>
      </c>
      <c r="K216">
        <f t="shared" si="7"/>
        <v>6.4952089024112398</v>
      </c>
      <c r="L216" t="s">
        <v>550</v>
      </c>
      <c r="M216" t="s">
        <v>548</v>
      </c>
      <c r="Q216" t="s">
        <v>468</v>
      </c>
      <c r="R216" t="s">
        <v>4</v>
      </c>
      <c r="S216" t="s">
        <v>22</v>
      </c>
    </row>
    <row r="217" spans="1:19" x14ac:dyDescent="0.3">
      <c r="A217" s="2" t="s">
        <v>108</v>
      </c>
      <c r="B217" s="4" t="s">
        <v>549</v>
      </c>
      <c r="C217" s="3" t="s">
        <v>21</v>
      </c>
      <c r="D217" t="s">
        <v>547</v>
      </c>
      <c r="E217">
        <v>4</v>
      </c>
      <c r="F217">
        <f>13*24</f>
        <v>312</v>
      </c>
      <c r="G217">
        <f>F217+E217</f>
        <v>316</v>
      </c>
      <c r="H217" s="16" t="s">
        <v>514</v>
      </c>
      <c r="I217" s="16">
        <v>6.1844964964371796</v>
      </c>
      <c r="J217" s="16" t="s">
        <v>556</v>
      </c>
      <c r="K217" s="16">
        <f>400*I217</f>
        <v>2473.7985985748719</v>
      </c>
      <c r="L217" t="s">
        <v>550</v>
      </c>
      <c r="M217" t="s">
        <v>548</v>
      </c>
      <c r="Q217" t="s">
        <v>468</v>
      </c>
      <c r="R217" t="s">
        <v>4</v>
      </c>
      <c r="S217" t="s">
        <v>22</v>
      </c>
    </row>
    <row r="218" spans="1:19" x14ac:dyDescent="0.3">
      <c r="A218" s="2" t="s">
        <v>108</v>
      </c>
      <c r="B218" s="4" t="s">
        <v>549</v>
      </c>
      <c r="C218" s="3" t="s">
        <v>21</v>
      </c>
      <c r="D218" t="s">
        <v>547</v>
      </c>
      <c r="E218">
        <v>5</v>
      </c>
      <c r="F218">
        <f t="shared" ref="F218:F223" si="8">13*24</f>
        <v>312</v>
      </c>
      <c r="G218">
        <f t="shared" ref="G218:G223" si="9">F218+E218</f>
        <v>317</v>
      </c>
      <c r="H218" s="16" t="s">
        <v>514</v>
      </c>
      <c r="I218" s="16">
        <v>8.6922144961150796</v>
      </c>
      <c r="J218" s="16" t="s">
        <v>556</v>
      </c>
      <c r="K218" s="16">
        <f t="shared" ref="K218:K240" si="10">400*I218</f>
        <v>3476.8857984460319</v>
      </c>
      <c r="L218" t="s">
        <v>550</v>
      </c>
      <c r="M218" t="s">
        <v>548</v>
      </c>
      <c r="Q218" t="s">
        <v>468</v>
      </c>
      <c r="R218" t="s">
        <v>4</v>
      </c>
      <c r="S218" t="s">
        <v>22</v>
      </c>
    </row>
    <row r="219" spans="1:19" x14ac:dyDescent="0.3">
      <c r="A219" s="2" t="s">
        <v>108</v>
      </c>
      <c r="B219" s="4" t="s">
        <v>549</v>
      </c>
      <c r="C219" s="3" t="s">
        <v>21</v>
      </c>
      <c r="D219" t="s">
        <v>547</v>
      </c>
      <c r="E219">
        <v>12</v>
      </c>
      <c r="F219">
        <f t="shared" si="8"/>
        <v>312</v>
      </c>
      <c r="G219">
        <f t="shared" si="9"/>
        <v>324</v>
      </c>
      <c r="H219" s="16" t="s">
        <v>514</v>
      </c>
      <c r="I219" s="16">
        <v>3.7489793087041798</v>
      </c>
      <c r="J219" s="16" t="s">
        <v>556</v>
      </c>
      <c r="K219" s="16">
        <f t="shared" si="10"/>
        <v>1499.591723481672</v>
      </c>
      <c r="L219" t="s">
        <v>550</v>
      </c>
      <c r="M219" t="s">
        <v>548</v>
      </c>
      <c r="Q219" t="s">
        <v>468</v>
      </c>
      <c r="R219" t="s">
        <v>4</v>
      </c>
      <c r="S219" t="s">
        <v>22</v>
      </c>
    </row>
    <row r="220" spans="1:19" x14ac:dyDescent="0.3">
      <c r="A220" s="2" t="s">
        <v>108</v>
      </c>
      <c r="B220" s="4" t="s">
        <v>549</v>
      </c>
      <c r="C220" s="3" t="s">
        <v>21</v>
      </c>
      <c r="D220" t="s">
        <v>547</v>
      </c>
      <c r="E220">
        <v>24</v>
      </c>
      <c r="F220">
        <f t="shared" si="8"/>
        <v>312</v>
      </c>
      <c r="G220">
        <f t="shared" si="9"/>
        <v>336</v>
      </c>
      <c r="H220" s="16" t="s">
        <v>514</v>
      </c>
      <c r="I220" s="16">
        <v>2.5118864315095699</v>
      </c>
      <c r="J220" s="16" t="s">
        <v>556</v>
      </c>
      <c r="K220" s="16">
        <f t="shared" si="10"/>
        <v>1004.7545726038279</v>
      </c>
      <c r="L220" t="s">
        <v>550</v>
      </c>
      <c r="M220" t="s">
        <v>548</v>
      </c>
      <c r="Q220" t="s">
        <v>468</v>
      </c>
      <c r="R220" t="s">
        <v>4</v>
      </c>
      <c r="S220" t="s">
        <v>22</v>
      </c>
    </row>
    <row r="221" spans="1:19" x14ac:dyDescent="0.3">
      <c r="A221" s="2" t="s">
        <v>108</v>
      </c>
      <c r="B221" s="4" t="s">
        <v>549</v>
      </c>
      <c r="C221" s="3" t="s">
        <v>21</v>
      </c>
      <c r="D221" t="s">
        <v>547</v>
      </c>
      <c r="E221">
        <v>72</v>
      </c>
      <c r="F221">
        <f t="shared" si="8"/>
        <v>312</v>
      </c>
      <c r="G221">
        <f t="shared" si="9"/>
        <v>384</v>
      </c>
      <c r="H221" s="16" t="s">
        <v>514</v>
      </c>
      <c r="I221" s="16">
        <v>1.8978455660928699</v>
      </c>
      <c r="J221" s="16" t="s">
        <v>556</v>
      </c>
      <c r="K221" s="16">
        <f t="shared" si="10"/>
        <v>759.13822643714798</v>
      </c>
      <c r="L221" t="s">
        <v>550</v>
      </c>
      <c r="M221" t="s">
        <v>548</v>
      </c>
      <c r="Q221" t="s">
        <v>468</v>
      </c>
      <c r="R221" t="s">
        <v>4</v>
      </c>
      <c r="S221" t="s">
        <v>22</v>
      </c>
    </row>
    <row r="222" spans="1:19" x14ac:dyDescent="0.3">
      <c r="A222" s="2" t="s">
        <v>108</v>
      </c>
      <c r="B222" s="4" t="s">
        <v>549</v>
      </c>
      <c r="C222" s="3" t="s">
        <v>21</v>
      </c>
      <c r="D222" t="s">
        <v>547</v>
      </c>
      <c r="E222">
        <v>120</v>
      </c>
      <c r="F222">
        <f t="shared" si="8"/>
        <v>312</v>
      </c>
      <c r="G222">
        <f t="shared" si="9"/>
        <v>432</v>
      </c>
      <c r="H222" s="16" t="s">
        <v>514</v>
      </c>
      <c r="I222" s="16">
        <v>1.4629092679672999</v>
      </c>
      <c r="J222" s="16" t="s">
        <v>556</v>
      </c>
      <c r="K222" s="16">
        <f t="shared" si="10"/>
        <v>585.16370718691996</v>
      </c>
      <c r="L222" t="s">
        <v>550</v>
      </c>
      <c r="M222" t="s">
        <v>548</v>
      </c>
      <c r="Q222" t="s">
        <v>468</v>
      </c>
      <c r="R222" t="s">
        <v>4</v>
      </c>
      <c r="S222" t="s">
        <v>22</v>
      </c>
    </row>
    <row r="223" spans="1:19" x14ac:dyDescent="0.3">
      <c r="A223" s="2" t="s">
        <v>108</v>
      </c>
      <c r="B223" s="4" t="s">
        <v>549</v>
      </c>
      <c r="C223" s="3" t="s">
        <v>21</v>
      </c>
      <c r="D223" t="s">
        <v>547</v>
      </c>
      <c r="E223">
        <v>168</v>
      </c>
      <c r="F223">
        <f t="shared" si="8"/>
        <v>312</v>
      </c>
      <c r="G223">
        <f t="shared" si="9"/>
        <v>480</v>
      </c>
      <c r="H223" s="16" t="s">
        <v>514</v>
      </c>
      <c r="I223" s="16">
        <v>1.40548458570921</v>
      </c>
      <c r="J223" s="16" t="s">
        <v>556</v>
      </c>
      <c r="K223" s="16">
        <f t="shared" si="10"/>
        <v>562.19383428368394</v>
      </c>
      <c r="L223" t="s">
        <v>550</v>
      </c>
      <c r="M223" t="s">
        <v>548</v>
      </c>
      <c r="Q223" t="s">
        <v>468</v>
      </c>
      <c r="R223" t="s">
        <v>4</v>
      </c>
      <c r="S223" t="s">
        <v>22</v>
      </c>
    </row>
    <row r="224" spans="1:19" x14ac:dyDescent="0.3">
      <c r="A224" s="2" t="s">
        <v>109</v>
      </c>
      <c r="B224" s="4" t="s">
        <v>349</v>
      </c>
      <c r="C224" s="3" t="s">
        <v>21</v>
      </c>
      <c r="D224" t="s">
        <v>547</v>
      </c>
      <c r="E224">
        <v>1</v>
      </c>
      <c r="F224">
        <f>9*24</f>
        <v>216</v>
      </c>
      <c r="G224">
        <f>F224+E224</f>
        <v>217</v>
      </c>
      <c r="H224" s="16" t="s">
        <v>514</v>
      </c>
      <c r="I224" s="16">
        <v>4.04642790514173</v>
      </c>
      <c r="J224" s="16" t="s">
        <v>556</v>
      </c>
      <c r="K224" s="16">
        <f t="shared" si="10"/>
        <v>1618.5711620566919</v>
      </c>
      <c r="L224" t="s">
        <v>550</v>
      </c>
      <c r="M224" t="s">
        <v>548</v>
      </c>
      <c r="Q224" t="s">
        <v>468</v>
      </c>
      <c r="R224" t="s">
        <v>4</v>
      </c>
      <c r="S224" t="s">
        <v>22</v>
      </c>
    </row>
    <row r="225" spans="1:19" x14ac:dyDescent="0.3">
      <c r="A225" s="2" t="s">
        <v>109</v>
      </c>
      <c r="B225" s="4" t="s">
        <v>349</v>
      </c>
      <c r="C225" s="3" t="s">
        <v>21</v>
      </c>
      <c r="D225" t="s">
        <v>547</v>
      </c>
      <c r="E225">
        <v>2</v>
      </c>
      <c r="F225">
        <f t="shared" ref="F225:F231" si="11">9*24</f>
        <v>216</v>
      </c>
      <c r="G225">
        <f t="shared" ref="G225:G240" si="12">F225+E225</f>
        <v>218</v>
      </c>
      <c r="H225" s="16" t="s">
        <v>514</v>
      </c>
      <c r="I225" s="16">
        <v>6.8251576044794904</v>
      </c>
      <c r="J225" s="16" t="s">
        <v>556</v>
      </c>
      <c r="K225" s="16">
        <f t="shared" si="10"/>
        <v>2730.063041791796</v>
      </c>
      <c r="L225" t="s">
        <v>550</v>
      </c>
      <c r="M225" t="s">
        <v>548</v>
      </c>
      <c r="Q225" t="s">
        <v>468</v>
      </c>
      <c r="R225" t="s">
        <v>4</v>
      </c>
      <c r="S225" t="s">
        <v>22</v>
      </c>
    </row>
    <row r="226" spans="1:19" x14ac:dyDescent="0.3">
      <c r="A226" s="2" t="s">
        <v>109</v>
      </c>
      <c r="B226" s="4" t="s">
        <v>349</v>
      </c>
      <c r="C226" s="3" t="s">
        <v>21</v>
      </c>
      <c r="D226" t="s">
        <v>547</v>
      </c>
      <c r="E226">
        <v>3</v>
      </c>
      <c r="F226">
        <f t="shared" si="11"/>
        <v>216</v>
      </c>
      <c r="G226">
        <f t="shared" si="12"/>
        <v>219</v>
      </c>
      <c r="H226" s="16" t="s">
        <v>514</v>
      </c>
      <c r="I226" s="16">
        <v>7.6288933454948404</v>
      </c>
      <c r="J226" s="16" t="s">
        <v>556</v>
      </c>
      <c r="K226" s="16">
        <f t="shared" si="10"/>
        <v>3051.5573381979361</v>
      </c>
      <c r="L226" t="s">
        <v>550</v>
      </c>
      <c r="M226" t="s">
        <v>548</v>
      </c>
      <c r="Q226" t="s">
        <v>468</v>
      </c>
      <c r="R226" t="s">
        <v>4</v>
      </c>
      <c r="S226" t="s">
        <v>22</v>
      </c>
    </row>
    <row r="227" spans="1:19" x14ac:dyDescent="0.3">
      <c r="A227" s="2" t="s">
        <v>109</v>
      </c>
      <c r="B227" s="4" t="s">
        <v>349</v>
      </c>
      <c r="C227" s="3" t="s">
        <v>21</v>
      </c>
      <c r="D227" t="s">
        <v>547</v>
      </c>
      <c r="E227">
        <v>4</v>
      </c>
      <c r="F227">
        <f t="shared" si="11"/>
        <v>216</v>
      </c>
      <c r="G227">
        <f t="shared" si="12"/>
        <v>220</v>
      </c>
      <c r="H227" s="16" t="s">
        <v>514</v>
      </c>
      <c r="I227" s="16">
        <v>7.3948867253303003</v>
      </c>
      <c r="J227" s="16" t="s">
        <v>556</v>
      </c>
      <c r="K227" s="16">
        <f t="shared" si="10"/>
        <v>2957.95469013212</v>
      </c>
      <c r="L227" t="s">
        <v>550</v>
      </c>
      <c r="M227" t="s">
        <v>548</v>
      </c>
      <c r="Q227" t="s">
        <v>468</v>
      </c>
      <c r="R227" t="s">
        <v>4</v>
      </c>
      <c r="S227" t="s">
        <v>22</v>
      </c>
    </row>
    <row r="228" spans="1:19" x14ac:dyDescent="0.3">
      <c r="A228" s="2" t="s">
        <v>109</v>
      </c>
      <c r="B228" s="4" t="s">
        <v>349</v>
      </c>
      <c r="C228" s="3" t="s">
        <v>21</v>
      </c>
      <c r="D228" t="s">
        <v>547</v>
      </c>
      <c r="E228">
        <v>5</v>
      </c>
      <c r="F228">
        <f t="shared" si="11"/>
        <v>216</v>
      </c>
      <c r="G228">
        <f t="shared" si="12"/>
        <v>221</v>
      </c>
      <c r="H228" s="16" t="s">
        <v>514</v>
      </c>
      <c r="I228" s="16">
        <v>10.315710936724001</v>
      </c>
      <c r="J228" s="16" t="s">
        <v>556</v>
      </c>
      <c r="K228" s="16">
        <f t="shared" si="10"/>
        <v>4126.2843746896006</v>
      </c>
      <c r="L228" t="s">
        <v>550</v>
      </c>
      <c r="M228" t="s">
        <v>548</v>
      </c>
      <c r="Q228" t="s">
        <v>468</v>
      </c>
      <c r="R228" t="s">
        <v>4</v>
      </c>
      <c r="S228" t="s">
        <v>22</v>
      </c>
    </row>
    <row r="229" spans="1:19" x14ac:dyDescent="0.3">
      <c r="A229" s="2" t="s">
        <v>109</v>
      </c>
      <c r="B229" s="4" t="s">
        <v>349</v>
      </c>
      <c r="C229" s="3" t="s">
        <v>21</v>
      </c>
      <c r="D229" t="s">
        <v>547</v>
      </c>
      <c r="E229">
        <v>8</v>
      </c>
      <c r="F229">
        <f t="shared" si="11"/>
        <v>216</v>
      </c>
      <c r="G229">
        <f t="shared" si="12"/>
        <v>224</v>
      </c>
      <c r="H229" s="16" t="s">
        <v>514</v>
      </c>
      <c r="I229" s="16">
        <v>6.2268010062338899</v>
      </c>
      <c r="J229" s="16" t="s">
        <v>556</v>
      </c>
      <c r="K229" s="16">
        <f t="shared" si="10"/>
        <v>2490.7204024935559</v>
      </c>
      <c r="L229" t="s">
        <v>550</v>
      </c>
      <c r="M229" t="s">
        <v>548</v>
      </c>
      <c r="Q229" t="s">
        <v>468</v>
      </c>
      <c r="R229" t="s">
        <v>4</v>
      </c>
      <c r="S229" t="s">
        <v>22</v>
      </c>
    </row>
    <row r="230" spans="1:19" x14ac:dyDescent="0.3">
      <c r="A230" s="2" t="s">
        <v>109</v>
      </c>
      <c r="B230" s="4" t="s">
        <v>349</v>
      </c>
      <c r="C230" s="3" t="s">
        <v>21</v>
      </c>
      <c r="D230" t="s">
        <v>547</v>
      </c>
      <c r="E230">
        <v>12</v>
      </c>
      <c r="F230">
        <f t="shared" si="11"/>
        <v>216</v>
      </c>
      <c r="G230">
        <f t="shared" si="12"/>
        <v>228</v>
      </c>
      <c r="H230" s="16" t="s">
        <v>514</v>
      </c>
      <c r="I230" s="16">
        <v>4.9210692251533903</v>
      </c>
      <c r="J230" s="16" t="s">
        <v>556</v>
      </c>
      <c r="K230" s="16">
        <f t="shared" si="10"/>
        <v>1968.4276900613561</v>
      </c>
      <c r="L230" t="s">
        <v>550</v>
      </c>
      <c r="M230" t="s">
        <v>548</v>
      </c>
      <c r="Q230" t="s">
        <v>468</v>
      </c>
      <c r="R230" t="s">
        <v>4</v>
      </c>
      <c r="S230" t="s">
        <v>22</v>
      </c>
    </row>
    <row r="231" spans="1:19" x14ac:dyDescent="0.3">
      <c r="A231" s="2" t="s">
        <v>109</v>
      </c>
      <c r="B231" s="4" t="s">
        <v>349</v>
      </c>
      <c r="C231" s="3" t="s">
        <v>21</v>
      </c>
      <c r="D231" t="s">
        <v>547</v>
      </c>
      <c r="E231">
        <v>24</v>
      </c>
      <c r="F231">
        <f t="shared" si="11"/>
        <v>216</v>
      </c>
      <c r="G231">
        <f t="shared" si="12"/>
        <v>240</v>
      </c>
      <c r="H231" s="16" t="s">
        <v>514</v>
      </c>
      <c r="I231" s="16">
        <v>2.8015195262742498</v>
      </c>
      <c r="J231" s="16" t="s">
        <v>556</v>
      </c>
      <c r="K231" s="16">
        <f t="shared" si="10"/>
        <v>1120.6078105096999</v>
      </c>
      <c r="L231" t="s">
        <v>550</v>
      </c>
      <c r="M231" t="s">
        <v>548</v>
      </c>
      <c r="Q231" t="s">
        <v>468</v>
      </c>
      <c r="R231" t="s">
        <v>4</v>
      </c>
      <c r="S231" t="s">
        <v>22</v>
      </c>
    </row>
    <row r="232" spans="1:19" x14ac:dyDescent="0.3">
      <c r="A232" s="2" t="s">
        <v>110</v>
      </c>
      <c r="B232" s="4" t="s">
        <v>349</v>
      </c>
      <c r="C232" s="3" t="s">
        <v>21</v>
      </c>
      <c r="D232" t="s">
        <v>547</v>
      </c>
      <c r="E232">
        <v>1</v>
      </c>
      <c r="F232">
        <f>10*24</f>
        <v>240</v>
      </c>
      <c r="G232">
        <f t="shared" si="12"/>
        <v>241</v>
      </c>
      <c r="H232" s="16" t="s">
        <v>514</v>
      </c>
      <c r="I232" s="16">
        <v>5.68270855338882</v>
      </c>
      <c r="J232" s="16" t="s">
        <v>556</v>
      </c>
      <c r="K232" s="16">
        <f t="shared" si="10"/>
        <v>2273.0834213555281</v>
      </c>
      <c r="L232" t="s">
        <v>550</v>
      </c>
      <c r="M232" t="s">
        <v>548</v>
      </c>
      <c r="Q232" t="s">
        <v>468</v>
      </c>
      <c r="R232" t="s">
        <v>4</v>
      </c>
      <c r="S232" t="s">
        <v>22</v>
      </c>
    </row>
    <row r="233" spans="1:19" x14ac:dyDescent="0.3">
      <c r="A233" s="2" t="s">
        <v>110</v>
      </c>
      <c r="B233" s="4" t="s">
        <v>349</v>
      </c>
      <c r="C233" s="3" t="s">
        <v>21</v>
      </c>
      <c r="D233" t="s">
        <v>547</v>
      </c>
      <c r="E233">
        <v>2</v>
      </c>
      <c r="F233">
        <f t="shared" ref="F233:F240" si="13">10*24</f>
        <v>240</v>
      </c>
      <c r="G233">
        <f t="shared" si="12"/>
        <v>242</v>
      </c>
      <c r="H233" s="16" t="s">
        <v>514</v>
      </c>
      <c r="I233" s="16">
        <v>9.6641021623678007</v>
      </c>
      <c r="J233" s="16" t="s">
        <v>556</v>
      </c>
      <c r="K233" s="16">
        <f t="shared" si="10"/>
        <v>3865.6408649471205</v>
      </c>
      <c r="L233" t="s">
        <v>550</v>
      </c>
      <c r="M233" t="s">
        <v>548</v>
      </c>
      <c r="Q233" t="s">
        <v>468</v>
      </c>
      <c r="R233" t="s">
        <v>4</v>
      </c>
      <c r="S233" t="s">
        <v>22</v>
      </c>
    </row>
    <row r="234" spans="1:19" x14ac:dyDescent="0.3">
      <c r="A234" s="2" t="s">
        <v>110</v>
      </c>
      <c r="B234" s="4" t="s">
        <v>349</v>
      </c>
      <c r="C234" s="3" t="s">
        <v>21</v>
      </c>
      <c r="D234" t="s">
        <v>547</v>
      </c>
      <c r="E234">
        <v>3</v>
      </c>
      <c r="F234">
        <f t="shared" si="13"/>
        <v>240</v>
      </c>
      <c r="G234">
        <f t="shared" si="12"/>
        <v>243</v>
      </c>
      <c r="H234" s="16" t="s">
        <v>514</v>
      </c>
      <c r="I234" s="16">
        <v>11.741324556401</v>
      </c>
      <c r="J234" s="16" t="s">
        <v>556</v>
      </c>
      <c r="K234" s="16">
        <f t="shared" si="10"/>
        <v>4696.5298225604001</v>
      </c>
      <c r="L234" t="s">
        <v>550</v>
      </c>
      <c r="M234" t="s">
        <v>548</v>
      </c>
      <c r="Q234" t="s">
        <v>468</v>
      </c>
      <c r="R234" t="s">
        <v>4</v>
      </c>
      <c r="S234" t="s">
        <v>22</v>
      </c>
    </row>
    <row r="235" spans="1:19" x14ac:dyDescent="0.3">
      <c r="A235" s="2" t="s">
        <v>110</v>
      </c>
      <c r="B235" s="4" t="s">
        <v>349</v>
      </c>
      <c r="C235" s="3" t="s">
        <v>21</v>
      </c>
      <c r="D235" t="s">
        <v>547</v>
      </c>
      <c r="E235">
        <v>4</v>
      </c>
      <c r="F235">
        <f t="shared" si="13"/>
        <v>240</v>
      </c>
      <c r="G235">
        <f t="shared" si="12"/>
        <v>244</v>
      </c>
      <c r="H235" s="16" t="s">
        <v>514</v>
      </c>
      <c r="I235" s="16">
        <v>11.134134933188999</v>
      </c>
      <c r="J235" s="16" t="s">
        <v>556</v>
      </c>
      <c r="K235" s="16">
        <f t="shared" si="10"/>
        <v>4453.6539732756</v>
      </c>
      <c r="L235" t="s">
        <v>550</v>
      </c>
      <c r="M235" t="s">
        <v>548</v>
      </c>
      <c r="Q235" t="s">
        <v>468</v>
      </c>
      <c r="R235" t="s">
        <v>4</v>
      </c>
      <c r="S235" t="s">
        <v>22</v>
      </c>
    </row>
    <row r="236" spans="1:19" x14ac:dyDescent="0.3">
      <c r="A236" s="2" t="s">
        <v>110</v>
      </c>
      <c r="B236" s="4" t="s">
        <v>349</v>
      </c>
      <c r="C236" s="3" t="s">
        <v>21</v>
      </c>
      <c r="D236" t="s">
        <v>547</v>
      </c>
      <c r="E236">
        <v>5</v>
      </c>
      <c r="F236">
        <f t="shared" si="13"/>
        <v>240</v>
      </c>
      <c r="G236">
        <f t="shared" si="12"/>
        <v>245</v>
      </c>
      <c r="H236" s="16" t="s">
        <v>514</v>
      </c>
      <c r="I236" s="16">
        <v>14.014764449268499</v>
      </c>
      <c r="J236" s="16" t="s">
        <v>556</v>
      </c>
      <c r="K236" s="16">
        <f t="shared" si="10"/>
        <v>5605.9057797074001</v>
      </c>
      <c r="L236" t="s">
        <v>550</v>
      </c>
      <c r="M236" t="s">
        <v>548</v>
      </c>
      <c r="Q236" t="s">
        <v>468</v>
      </c>
      <c r="R236" t="s">
        <v>4</v>
      </c>
      <c r="S236" t="s">
        <v>22</v>
      </c>
    </row>
    <row r="237" spans="1:19" x14ac:dyDescent="0.3">
      <c r="A237" s="2" t="s">
        <v>110</v>
      </c>
      <c r="B237" s="4" t="s">
        <v>349</v>
      </c>
      <c r="C237" s="3" t="s">
        <v>21</v>
      </c>
      <c r="D237" t="s">
        <v>547</v>
      </c>
      <c r="E237">
        <v>6</v>
      </c>
      <c r="F237">
        <f t="shared" si="13"/>
        <v>240</v>
      </c>
      <c r="G237">
        <f t="shared" si="12"/>
        <v>246</v>
      </c>
      <c r="H237" s="16" t="s">
        <v>514</v>
      </c>
      <c r="I237" s="16">
        <v>11.9509922305737</v>
      </c>
      <c r="J237" s="16" t="s">
        <v>556</v>
      </c>
      <c r="K237" s="16">
        <f t="shared" si="10"/>
        <v>4780.3968922294798</v>
      </c>
      <c r="L237" t="s">
        <v>550</v>
      </c>
      <c r="M237" t="s">
        <v>548</v>
      </c>
      <c r="Q237" t="s">
        <v>468</v>
      </c>
      <c r="R237" t="s">
        <v>4</v>
      </c>
      <c r="S237" t="s">
        <v>22</v>
      </c>
    </row>
    <row r="238" spans="1:19" x14ac:dyDescent="0.3">
      <c r="A238" s="2" t="s">
        <v>110</v>
      </c>
      <c r="B238" s="4" t="s">
        <v>349</v>
      </c>
      <c r="C238" s="3" t="s">
        <v>21</v>
      </c>
      <c r="D238" t="s">
        <v>547</v>
      </c>
      <c r="E238">
        <v>8</v>
      </c>
      <c r="F238">
        <f t="shared" si="13"/>
        <v>240</v>
      </c>
      <c r="G238">
        <f t="shared" si="12"/>
        <v>248</v>
      </c>
      <c r="H238" s="16" t="s">
        <v>514</v>
      </c>
      <c r="I238" s="16">
        <v>9.6641021623678096</v>
      </c>
      <c r="J238" s="16" t="s">
        <v>556</v>
      </c>
      <c r="K238" s="16">
        <f t="shared" si="10"/>
        <v>3865.6408649471236</v>
      </c>
      <c r="L238" t="s">
        <v>550</v>
      </c>
      <c r="M238" t="s">
        <v>548</v>
      </c>
      <c r="Q238" t="s">
        <v>468</v>
      </c>
      <c r="R238" t="s">
        <v>4</v>
      </c>
      <c r="S238" t="s">
        <v>22</v>
      </c>
    </row>
    <row r="239" spans="1:19" x14ac:dyDescent="0.3">
      <c r="A239" s="2" t="s">
        <v>110</v>
      </c>
      <c r="B239" s="4" t="s">
        <v>349</v>
      </c>
      <c r="C239" s="3" t="s">
        <v>21</v>
      </c>
      <c r="D239" t="s">
        <v>547</v>
      </c>
      <c r="E239">
        <v>12</v>
      </c>
      <c r="F239">
        <f t="shared" si="13"/>
        <v>240</v>
      </c>
      <c r="G239">
        <f t="shared" si="12"/>
        <v>252</v>
      </c>
      <c r="H239" s="16" t="s">
        <v>514</v>
      </c>
      <c r="I239" s="16">
        <v>7.5430210334136101</v>
      </c>
      <c r="J239" s="16" t="s">
        <v>556</v>
      </c>
      <c r="K239" s="16">
        <f t="shared" si="10"/>
        <v>3017.2084133654439</v>
      </c>
      <c r="L239" t="s">
        <v>550</v>
      </c>
      <c r="M239" t="s">
        <v>548</v>
      </c>
      <c r="Q239" t="s">
        <v>468</v>
      </c>
      <c r="R239" t="s">
        <v>4</v>
      </c>
      <c r="S239" t="s">
        <v>22</v>
      </c>
    </row>
    <row r="240" spans="1:19" x14ac:dyDescent="0.3">
      <c r="A240" s="2" t="s">
        <v>110</v>
      </c>
      <c r="B240" s="4" t="s">
        <v>349</v>
      </c>
      <c r="C240" s="3" t="s">
        <v>21</v>
      </c>
      <c r="D240" t="s">
        <v>547</v>
      </c>
      <c r="E240">
        <v>24</v>
      </c>
      <c r="F240">
        <f t="shared" si="13"/>
        <v>240</v>
      </c>
      <c r="G240">
        <f t="shared" si="12"/>
        <v>264</v>
      </c>
      <c r="H240" s="16" t="s">
        <v>514</v>
      </c>
      <c r="I240" s="16">
        <v>3.7159552882556799</v>
      </c>
      <c r="J240" s="16" t="s">
        <v>556</v>
      </c>
      <c r="K240" s="16">
        <f t="shared" si="10"/>
        <v>1486.382115302272</v>
      </c>
      <c r="L240" t="s">
        <v>550</v>
      </c>
      <c r="M240" t="s">
        <v>548</v>
      </c>
      <c r="Q240" t="s">
        <v>468</v>
      </c>
      <c r="R240" t="s">
        <v>4</v>
      </c>
      <c r="S240" t="s">
        <v>22</v>
      </c>
    </row>
    <row r="241" spans="1:19" x14ac:dyDescent="0.3">
      <c r="A241" s="2" t="s">
        <v>111</v>
      </c>
      <c r="B241" s="4" t="s">
        <v>351</v>
      </c>
      <c r="C241" s="3" t="s">
        <v>26</v>
      </c>
      <c r="D241" t="s">
        <v>542</v>
      </c>
      <c r="G241">
        <v>1</v>
      </c>
      <c r="H241" s="16" t="s">
        <v>514</v>
      </c>
      <c r="K241">
        <v>3.8149069041517398</v>
      </c>
      <c r="L241" t="s">
        <v>550</v>
      </c>
      <c r="M241" t="s">
        <v>535</v>
      </c>
      <c r="Q241" t="s">
        <v>468</v>
      </c>
      <c r="R241" t="s">
        <v>4</v>
      </c>
      <c r="S241" t="s">
        <v>22</v>
      </c>
    </row>
    <row r="242" spans="1:19" x14ac:dyDescent="0.3">
      <c r="A242" s="2" t="s">
        <v>111</v>
      </c>
      <c r="B242" s="4" t="s">
        <v>351</v>
      </c>
      <c r="C242" s="3" t="s">
        <v>26</v>
      </c>
      <c r="D242" t="s">
        <v>542</v>
      </c>
      <c r="G242">
        <v>2</v>
      </c>
      <c r="H242" s="16" t="s">
        <v>514</v>
      </c>
      <c r="K242">
        <v>12.6268168081245</v>
      </c>
      <c r="L242" t="s">
        <v>550</v>
      </c>
      <c r="M242" t="s">
        <v>535</v>
      </c>
      <c r="Q242" t="s">
        <v>468</v>
      </c>
      <c r="R242" t="s">
        <v>4</v>
      </c>
      <c r="S242" t="s">
        <v>22</v>
      </c>
    </row>
    <row r="243" spans="1:19" x14ac:dyDescent="0.3">
      <c r="A243" s="2" t="s">
        <v>111</v>
      </c>
      <c r="B243" s="4" t="s">
        <v>351</v>
      </c>
      <c r="C243" s="3" t="s">
        <v>26</v>
      </c>
      <c r="D243" t="s">
        <v>542</v>
      </c>
      <c r="G243">
        <v>4</v>
      </c>
      <c r="H243" s="16" t="s">
        <v>514</v>
      </c>
      <c r="K243">
        <v>31.140797578255999</v>
      </c>
      <c r="L243" t="s">
        <v>550</v>
      </c>
      <c r="M243" t="s">
        <v>535</v>
      </c>
      <c r="Q243" t="s">
        <v>468</v>
      </c>
      <c r="R243" t="s">
        <v>4</v>
      </c>
      <c r="S243" t="s">
        <v>22</v>
      </c>
    </row>
    <row r="244" spans="1:19" x14ac:dyDescent="0.3">
      <c r="A244" s="2" t="s">
        <v>111</v>
      </c>
      <c r="B244" s="4" t="s">
        <v>351</v>
      </c>
      <c r="C244" s="3" t="s">
        <v>26</v>
      </c>
      <c r="D244" t="s">
        <v>542</v>
      </c>
      <c r="G244">
        <v>5</v>
      </c>
      <c r="H244" s="16" t="s">
        <v>514</v>
      </c>
      <c r="K244">
        <v>44.864846561482203</v>
      </c>
      <c r="L244" t="s">
        <v>550</v>
      </c>
      <c r="M244" t="s">
        <v>535</v>
      </c>
      <c r="Q244" t="s">
        <v>468</v>
      </c>
      <c r="R244" t="s">
        <v>4</v>
      </c>
      <c r="S244" t="s">
        <v>22</v>
      </c>
    </row>
    <row r="245" spans="1:19" x14ac:dyDescent="0.3">
      <c r="A245" s="2" t="s">
        <v>111</v>
      </c>
      <c r="B245" s="4" t="s">
        <v>351</v>
      </c>
      <c r="C245" s="3" t="s">
        <v>26</v>
      </c>
      <c r="D245" t="s">
        <v>542</v>
      </c>
      <c r="G245">
        <v>6</v>
      </c>
      <c r="H245" s="16" t="s">
        <v>514</v>
      </c>
      <c r="K245">
        <v>68.0000252205094</v>
      </c>
      <c r="L245" t="s">
        <v>550</v>
      </c>
      <c r="M245" t="s">
        <v>535</v>
      </c>
      <c r="Q245" t="s">
        <v>468</v>
      </c>
      <c r="R245" t="s">
        <v>4</v>
      </c>
      <c r="S245" t="s">
        <v>22</v>
      </c>
    </row>
    <row r="246" spans="1:19" x14ac:dyDescent="0.3">
      <c r="A246" s="2" t="s">
        <v>111</v>
      </c>
      <c r="B246" s="4" t="s">
        <v>351</v>
      </c>
      <c r="C246" s="3" t="s">
        <v>26</v>
      </c>
      <c r="D246" t="s">
        <v>542</v>
      </c>
      <c r="G246">
        <v>8</v>
      </c>
      <c r="H246" s="16" t="s">
        <v>514</v>
      </c>
      <c r="K246">
        <v>49.6494026434425</v>
      </c>
      <c r="L246" t="s">
        <v>550</v>
      </c>
      <c r="M246" t="s">
        <v>535</v>
      </c>
      <c r="Q246" t="s">
        <v>468</v>
      </c>
      <c r="R246" t="s">
        <v>4</v>
      </c>
      <c r="S246" t="s">
        <v>22</v>
      </c>
    </row>
    <row r="247" spans="1:19" x14ac:dyDescent="0.3">
      <c r="A247" s="2" t="s">
        <v>111</v>
      </c>
      <c r="B247" s="4" t="s">
        <v>351</v>
      </c>
      <c r="C247" s="3" t="s">
        <v>26</v>
      </c>
      <c r="D247" t="s">
        <v>542</v>
      </c>
      <c r="G247">
        <v>12</v>
      </c>
      <c r="H247" s="16" t="s">
        <v>514</v>
      </c>
      <c r="K247">
        <v>30.199247480509602</v>
      </c>
      <c r="L247" t="s">
        <v>550</v>
      </c>
      <c r="M247" t="s">
        <v>535</v>
      </c>
      <c r="Q247" t="s">
        <v>468</v>
      </c>
      <c r="R247" t="s">
        <v>4</v>
      </c>
      <c r="S247" t="s">
        <v>22</v>
      </c>
    </row>
    <row r="248" spans="1:19" x14ac:dyDescent="0.3">
      <c r="A248" s="2" t="s">
        <v>111</v>
      </c>
      <c r="B248" s="4" t="s">
        <v>351</v>
      </c>
      <c r="C248" s="3" t="s">
        <v>26</v>
      </c>
      <c r="D248" t="s">
        <v>542</v>
      </c>
      <c r="G248">
        <v>16</v>
      </c>
      <c r="H248" s="16" t="s">
        <v>514</v>
      </c>
      <c r="K248">
        <v>20.124371617557902</v>
      </c>
      <c r="L248" t="s">
        <v>550</v>
      </c>
      <c r="M248" t="s">
        <v>535</v>
      </c>
      <c r="Q248" t="s">
        <v>468</v>
      </c>
      <c r="R248" t="s">
        <v>4</v>
      </c>
      <c r="S248" t="s">
        <v>22</v>
      </c>
    </row>
    <row r="249" spans="1:19" x14ac:dyDescent="0.3">
      <c r="A249" s="2" t="s">
        <v>111</v>
      </c>
      <c r="B249" s="4" t="s">
        <v>351</v>
      </c>
      <c r="C249" s="3" t="s">
        <v>26</v>
      </c>
      <c r="D249" t="s">
        <v>542</v>
      </c>
      <c r="G249">
        <v>24</v>
      </c>
      <c r="H249" s="16" t="s">
        <v>514</v>
      </c>
      <c r="K249">
        <v>12.1153731997791</v>
      </c>
      <c r="L249" t="s">
        <v>550</v>
      </c>
      <c r="M249" t="s">
        <v>535</v>
      </c>
      <c r="Q249" t="s">
        <v>468</v>
      </c>
      <c r="R249" t="s">
        <v>4</v>
      </c>
      <c r="S249" t="s">
        <v>22</v>
      </c>
    </row>
    <row r="250" spans="1:19" x14ac:dyDescent="0.3">
      <c r="A250" s="2" t="s">
        <v>111</v>
      </c>
      <c r="B250" s="4" t="s">
        <v>351</v>
      </c>
      <c r="C250" s="3" t="s">
        <v>26</v>
      </c>
      <c r="D250" t="s">
        <v>542</v>
      </c>
      <c r="G250">
        <v>30</v>
      </c>
      <c r="H250" s="16" t="s">
        <v>514</v>
      </c>
      <c r="K250">
        <v>11.749717613828199</v>
      </c>
      <c r="L250" t="s">
        <v>550</v>
      </c>
      <c r="M250" t="s">
        <v>535</v>
      </c>
      <c r="Q250" t="s">
        <v>468</v>
      </c>
      <c r="R250" t="s">
        <v>4</v>
      </c>
      <c r="S250" t="s">
        <v>22</v>
      </c>
    </row>
    <row r="251" spans="1:19" x14ac:dyDescent="0.3">
      <c r="A251" s="2" t="s">
        <v>111</v>
      </c>
      <c r="B251" s="4" t="s">
        <v>351</v>
      </c>
      <c r="C251" s="3" t="s">
        <v>26</v>
      </c>
      <c r="D251" t="s">
        <v>542</v>
      </c>
      <c r="G251">
        <v>36</v>
      </c>
      <c r="H251" s="16" t="s">
        <v>514</v>
      </c>
      <c r="K251">
        <v>9.5902881703194591</v>
      </c>
      <c r="L251" t="s">
        <v>550</v>
      </c>
      <c r="M251" t="s">
        <v>535</v>
      </c>
      <c r="Q251" t="s">
        <v>468</v>
      </c>
      <c r="R251" t="s">
        <v>4</v>
      </c>
      <c r="S251" t="s">
        <v>22</v>
      </c>
    </row>
    <row r="252" spans="1:19" x14ac:dyDescent="0.3">
      <c r="A252" s="2" t="s">
        <v>111</v>
      </c>
      <c r="B252" s="4" t="s">
        <v>351</v>
      </c>
      <c r="C252" s="3" t="s">
        <v>26</v>
      </c>
      <c r="D252" t="s">
        <v>542</v>
      </c>
      <c r="G252">
        <v>48</v>
      </c>
      <c r="H252" s="16" t="s">
        <v>514</v>
      </c>
      <c r="K252">
        <v>5.65678601259307</v>
      </c>
      <c r="L252" t="s">
        <v>550</v>
      </c>
      <c r="M252" t="s">
        <v>535</v>
      </c>
      <c r="Q252" t="s">
        <v>468</v>
      </c>
      <c r="R252" t="s">
        <v>4</v>
      </c>
      <c r="S252" t="s">
        <v>22</v>
      </c>
    </row>
    <row r="253" spans="1:19" x14ac:dyDescent="0.3">
      <c r="A253" s="2" t="s">
        <v>111</v>
      </c>
      <c r="B253" s="4" t="s">
        <v>351</v>
      </c>
      <c r="C253" s="3" t="s">
        <v>26</v>
      </c>
      <c r="D253" t="s">
        <v>542</v>
      </c>
      <c r="G253">
        <v>72</v>
      </c>
      <c r="H253" s="16" t="s">
        <v>514</v>
      </c>
      <c r="K253">
        <v>3.7669916080664598</v>
      </c>
      <c r="L253" t="s">
        <v>550</v>
      </c>
      <c r="M253" t="s">
        <v>535</v>
      </c>
      <c r="Q253" t="s">
        <v>468</v>
      </c>
      <c r="R253" t="s">
        <v>4</v>
      </c>
      <c r="S253" t="s">
        <v>22</v>
      </c>
    </row>
    <row r="254" spans="1:19" x14ac:dyDescent="0.3">
      <c r="A254" s="2" t="s">
        <v>111</v>
      </c>
      <c r="B254" s="4" t="s">
        <v>351</v>
      </c>
      <c r="C254" s="3" t="s">
        <v>26</v>
      </c>
      <c r="D254" t="s">
        <v>542</v>
      </c>
      <c r="G254">
        <v>96</v>
      </c>
      <c r="H254" s="16" t="s">
        <v>514</v>
      </c>
      <c r="K254">
        <v>2.8912566008984601</v>
      </c>
      <c r="L254" t="s">
        <v>550</v>
      </c>
      <c r="M254" t="s">
        <v>535</v>
      </c>
      <c r="Q254" t="s">
        <v>468</v>
      </c>
      <c r="R254" t="s">
        <v>4</v>
      </c>
      <c r="S254" t="s">
        <v>22</v>
      </c>
    </row>
    <row r="255" spans="1:19" x14ac:dyDescent="0.3">
      <c r="A255" s="2" t="s">
        <v>111</v>
      </c>
      <c r="B255" s="4" t="s">
        <v>351</v>
      </c>
      <c r="C255" s="3" t="s">
        <v>26</v>
      </c>
      <c r="D255" t="s">
        <v>542</v>
      </c>
      <c r="G255">
        <v>120</v>
      </c>
      <c r="H255" s="16" t="s">
        <v>514</v>
      </c>
      <c r="K255">
        <v>2.15261432544537</v>
      </c>
      <c r="L255" t="s">
        <v>550</v>
      </c>
      <c r="M255" t="s">
        <v>535</v>
      </c>
      <c r="Q255" t="s">
        <v>468</v>
      </c>
      <c r="R255" t="s">
        <v>4</v>
      </c>
      <c r="S255" t="s">
        <v>22</v>
      </c>
    </row>
    <row r="256" spans="1:19" x14ac:dyDescent="0.3">
      <c r="A256" s="2" t="s">
        <v>111</v>
      </c>
      <c r="B256" s="4" t="s">
        <v>351</v>
      </c>
      <c r="C256" s="3" t="s">
        <v>26</v>
      </c>
      <c r="D256" t="s">
        <v>542</v>
      </c>
      <c r="G256">
        <v>144</v>
      </c>
      <c r="H256" s="16" t="s">
        <v>514</v>
      </c>
      <c r="K256">
        <v>1.8660727604332299</v>
      </c>
      <c r="L256" t="s">
        <v>550</v>
      </c>
      <c r="M256" t="s">
        <v>535</v>
      </c>
      <c r="Q256" t="s">
        <v>468</v>
      </c>
      <c r="R256" t="s">
        <v>4</v>
      </c>
      <c r="S256" t="s">
        <v>22</v>
      </c>
    </row>
    <row r="257" spans="1:19" x14ac:dyDescent="0.3">
      <c r="A257" s="2" t="s">
        <v>111</v>
      </c>
      <c r="B257" s="4" t="s">
        <v>351</v>
      </c>
      <c r="C257" s="3" t="s">
        <v>26</v>
      </c>
      <c r="D257" t="s">
        <v>542</v>
      </c>
      <c r="G257">
        <v>264</v>
      </c>
      <c r="H257" s="16" t="s">
        <v>514</v>
      </c>
      <c r="K257">
        <v>1.0110494413151501</v>
      </c>
      <c r="L257" t="s">
        <v>550</v>
      </c>
      <c r="M257" t="s">
        <v>535</v>
      </c>
      <c r="Q257" t="s">
        <v>468</v>
      </c>
      <c r="R257" t="s">
        <v>4</v>
      </c>
      <c r="S257" t="s">
        <v>22</v>
      </c>
    </row>
    <row r="258" spans="1:19" x14ac:dyDescent="0.3">
      <c r="A258" s="2" t="s">
        <v>112</v>
      </c>
      <c r="B258" s="4" t="s">
        <v>352</v>
      </c>
      <c r="C258" s="3" t="s">
        <v>26</v>
      </c>
      <c r="D258" t="s">
        <v>542</v>
      </c>
      <c r="G258">
        <v>1</v>
      </c>
      <c r="H258" s="16" t="s">
        <v>514</v>
      </c>
      <c r="K258">
        <v>34.121317702683498</v>
      </c>
      <c r="L258" t="s">
        <v>550</v>
      </c>
      <c r="M258" t="s">
        <v>535</v>
      </c>
      <c r="Q258" t="s">
        <v>468</v>
      </c>
      <c r="R258" t="s">
        <v>4</v>
      </c>
      <c r="S258" t="s">
        <v>22</v>
      </c>
    </row>
    <row r="259" spans="1:19" x14ac:dyDescent="0.3">
      <c r="A259" s="2" t="s">
        <v>112</v>
      </c>
      <c r="B259" s="4" t="s">
        <v>352</v>
      </c>
      <c r="C259" s="3" t="s">
        <v>26</v>
      </c>
      <c r="D259" t="s">
        <v>542</v>
      </c>
      <c r="G259">
        <v>2</v>
      </c>
      <c r="H259" s="16" t="s">
        <v>514</v>
      </c>
      <c r="K259">
        <v>117.61341907553199</v>
      </c>
      <c r="L259" t="s">
        <v>550</v>
      </c>
      <c r="M259" t="s">
        <v>535</v>
      </c>
      <c r="Q259" t="s">
        <v>468</v>
      </c>
      <c r="R259" t="s">
        <v>4</v>
      </c>
      <c r="S259" t="s">
        <v>22</v>
      </c>
    </row>
    <row r="260" spans="1:19" x14ac:dyDescent="0.3">
      <c r="A260" s="2" t="s">
        <v>112</v>
      </c>
      <c r="B260" s="4" t="s">
        <v>352</v>
      </c>
      <c r="C260" s="3" t="s">
        <v>26</v>
      </c>
      <c r="D260" t="s">
        <v>542</v>
      </c>
      <c r="G260">
        <v>4</v>
      </c>
      <c r="H260" s="16" t="s">
        <v>514</v>
      </c>
      <c r="K260">
        <v>164.361522358347</v>
      </c>
      <c r="L260" t="s">
        <v>550</v>
      </c>
      <c r="M260" t="s">
        <v>535</v>
      </c>
      <c r="Q260" t="s">
        <v>468</v>
      </c>
      <c r="R260" t="s">
        <v>4</v>
      </c>
      <c r="S260" t="s">
        <v>22</v>
      </c>
    </row>
    <row r="261" spans="1:19" x14ac:dyDescent="0.3">
      <c r="A261" s="2" t="s">
        <v>112</v>
      </c>
      <c r="B261" s="4" t="s">
        <v>352</v>
      </c>
      <c r="C261" s="3" t="s">
        <v>26</v>
      </c>
      <c r="D261" t="s">
        <v>542</v>
      </c>
      <c r="G261">
        <v>5</v>
      </c>
      <c r="H261" s="16" t="s">
        <v>514</v>
      </c>
      <c r="K261">
        <v>275.71215043889202</v>
      </c>
      <c r="L261" t="s">
        <v>550</v>
      </c>
      <c r="M261" t="s">
        <v>535</v>
      </c>
      <c r="Q261" t="s">
        <v>468</v>
      </c>
      <c r="R261" t="s">
        <v>4</v>
      </c>
      <c r="S261" t="s">
        <v>22</v>
      </c>
    </row>
    <row r="262" spans="1:19" x14ac:dyDescent="0.3">
      <c r="A262" s="2" t="s">
        <v>112</v>
      </c>
      <c r="B262" s="4" t="s">
        <v>352</v>
      </c>
      <c r="C262" s="3" t="s">
        <v>26</v>
      </c>
      <c r="D262" t="s">
        <v>542</v>
      </c>
      <c r="G262">
        <v>6</v>
      </c>
      <c r="H262" s="16" t="s">
        <v>514</v>
      </c>
      <c r="K262">
        <v>222.804579333775</v>
      </c>
      <c r="L262" t="s">
        <v>550</v>
      </c>
      <c r="M262" t="s">
        <v>535</v>
      </c>
      <c r="Q262" t="s">
        <v>468</v>
      </c>
      <c r="R262" t="s">
        <v>4</v>
      </c>
      <c r="S262" t="s">
        <v>22</v>
      </c>
    </row>
    <row r="263" spans="1:19" x14ac:dyDescent="0.3">
      <c r="A263" s="2" t="s">
        <v>112</v>
      </c>
      <c r="B263" s="4" t="s">
        <v>352</v>
      </c>
      <c r="C263" s="3" t="s">
        <v>26</v>
      </c>
      <c r="D263" t="s">
        <v>542</v>
      </c>
      <c r="G263">
        <v>8</v>
      </c>
      <c r="H263" s="16" t="s">
        <v>514</v>
      </c>
      <c r="K263">
        <v>157.803514321829</v>
      </c>
      <c r="L263" t="s">
        <v>550</v>
      </c>
      <c r="M263" t="s">
        <v>535</v>
      </c>
      <c r="Q263" t="s">
        <v>468</v>
      </c>
      <c r="R263" t="s">
        <v>4</v>
      </c>
      <c r="S263" t="s">
        <v>22</v>
      </c>
    </row>
    <row r="264" spans="1:19" x14ac:dyDescent="0.3">
      <c r="A264" s="2" t="s">
        <v>112</v>
      </c>
      <c r="B264" s="4" t="s">
        <v>352</v>
      </c>
      <c r="C264" s="3" t="s">
        <v>26</v>
      </c>
      <c r="D264" t="s">
        <v>542</v>
      </c>
      <c r="G264">
        <v>12</v>
      </c>
      <c r="H264" s="16" t="s">
        <v>514</v>
      </c>
      <c r="K264">
        <v>110.62908230751999</v>
      </c>
      <c r="L264" t="s">
        <v>550</v>
      </c>
      <c r="M264" t="s">
        <v>535</v>
      </c>
      <c r="Q264" t="s">
        <v>468</v>
      </c>
      <c r="R264" t="s">
        <v>4</v>
      </c>
      <c r="S264" t="s">
        <v>22</v>
      </c>
    </row>
    <row r="265" spans="1:19" x14ac:dyDescent="0.3">
      <c r="A265" s="2" t="s">
        <v>112</v>
      </c>
      <c r="B265" s="4" t="s">
        <v>352</v>
      </c>
      <c r="C265" s="3" t="s">
        <v>26</v>
      </c>
      <c r="D265" t="s">
        <v>542</v>
      </c>
      <c r="G265">
        <v>16</v>
      </c>
      <c r="H265" s="16" t="s">
        <v>514</v>
      </c>
      <c r="K265">
        <v>66.611025063187896</v>
      </c>
      <c r="L265" t="s">
        <v>550</v>
      </c>
      <c r="M265" t="s">
        <v>535</v>
      </c>
      <c r="Q265" t="s">
        <v>468</v>
      </c>
      <c r="R265" t="s">
        <v>4</v>
      </c>
      <c r="S265" t="s">
        <v>22</v>
      </c>
    </row>
    <row r="266" spans="1:19" x14ac:dyDescent="0.3">
      <c r="A266" s="2" t="s">
        <v>112</v>
      </c>
      <c r="B266" s="4" t="s">
        <v>352</v>
      </c>
      <c r="C266" s="3" t="s">
        <v>26</v>
      </c>
      <c r="D266" t="s">
        <v>542</v>
      </c>
      <c r="G266">
        <v>24</v>
      </c>
      <c r="H266" s="16" t="s">
        <v>514</v>
      </c>
      <c r="K266">
        <v>40.923348100899602</v>
      </c>
      <c r="L266" t="s">
        <v>550</v>
      </c>
      <c r="M266" t="s">
        <v>535</v>
      </c>
      <c r="Q266" t="s">
        <v>468</v>
      </c>
      <c r="R266" t="s">
        <v>4</v>
      </c>
      <c r="S266" t="s">
        <v>22</v>
      </c>
    </row>
    <row r="267" spans="1:19" x14ac:dyDescent="0.3">
      <c r="A267" s="2" t="s">
        <v>112</v>
      </c>
      <c r="B267" s="4" t="s">
        <v>352</v>
      </c>
      <c r="C267" s="3" t="s">
        <v>26</v>
      </c>
      <c r="D267" t="s">
        <v>542</v>
      </c>
      <c r="G267">
        <v>30</v>
      </c>
      <c r="H267" s="16" t="s">
        <v>514</v>
      </c>
      <c r="K267">
        <v>47.638375634337997</v>
      </c>
      <c r="L267" t="s">
        <v>550</v>
      </c>
      <c r="M267" t="s">
        <v>535</v>
      </c>
      <c r="Q267" t="s">
        <v>468</v>
      </c>
      <c r="R267" t="s">
        <v>4</v>
      </c>
      <c r="S267" t="s">
        <v>22</v>
      </c>
    </row>
    <row r="268" spans="1:19" x14ac:dyDescent="0.3">
      <c r="A268" s="2" t="s">
        <v>112</v>
      </c>
      <c r="B268" s="4" t="s">
        <v>352</v>
      </c>
      <c r="C268" s="3" t="s">
        <v>26</v>
      </c>
      <c r="D268" t="s">
        <v>542</v>
      </c>
      <c r="G268">
        <v>36</v>
      </c>
      <c r="H268" s="16" t="s">
        <v>514</v>
      </c>
      <c r="K268">
        <v>30.791874169166199</v>
      </c>
      <c r="L268" t="s">
        <v>550</v>
      </c>
      <c r="M268" t="s">
        <v>535</v>
      </c>
      <c r="Q268" t="s">
        <v>468</v>
      </c>
      <c r="R268" t="s">
        <v>4</v>
      </c>
      <c r="S268" t="s">
        <v>22</v>
      </c>
    </row>
    <row r="269" spans="1:19" x14ac:dyDescent="0.3">
      <c r="A269" s="2" t="s">
        <v>112</v>
      </c>
      <c r="B269" s="4" t="s">
        <v>352</v>
      </c>
      <c r="C269" s="3" t="s">
        <v>26</v>
      </c>
      <c r="D269" t="s">
        <v>542</v>
      </c>
      <c r="G269">
        <v>48</v>
      </c>
      <c r="H269" s="16" t="s">
        <v>514</v>
      </c>
      <c r="K269">
        <v>19.302314965549201</v>
      </c>
      <c r="L269" t="s">
        <v>550</v>
      </c>
      <c r="M269" t="s">
        <v>535</v>
      </c>
      <c r="Q269" t="s">
        <v>468</v>
      </c>
      <c r="R269" t="s">
        <v>4</v>
      </c>
      <c r="S269" t="s">
        <v>22</v>
      </c>
    </row>
    <row r="270" spans="1:19" x14ac:dyDescent="0.3">
      <c r="A270" s="2" t="s">
        <v>112</v>
      </c>
      <c r="B270" s="4" t="s">
        <v>352</v>
      </c>
      <c r="C270" s="3" t="s">
        <v>26</v>
      </c>
      <c r="D270" t="s">
        <v>542</v>
      </c>
      <c r="G270">
        <v>72</v>
      </c>
      <c r="H270" s="16" t="s">
        <v>514</v>
      </c>
      <c r="K270">
        <v>14.226142798229301</v>
      </c>
      <c r="L270" t="s">
        <v>550</v>
      </c>
      <c r="M270" t="s">
        <v>535</v>
      </c>
      <c r="Q270" t="s">
        <v>468</v>
      </c>
      <c r="R270" t="s">
        <v>4</v>
      </c>
      <c r="S270" t="s">
        <v>22</v>
      </c>
    </row>
    <row r="271" spans="1:19" x14ac:dyDescent="0.3">
      <c r="A271" s="2" t="s">
        <v>112</v>
      </c>
      <c r="B271" s="4" t="s">
        <v>352</v>
      </c>
      <c r="C271" s="3" t="s">
        <v>26</v>
      </c>
      <c r="D271" t="s">
        <v>542</v>
      </c>
      <c r="G271">
        <v>96</v>
      </c>
      <c r="H271" s="16" t="s">
        <v>514</v>
      </c>
      <c r="K271">
        <v>10.170496247515899</v>
      </c>
      <c r="L271" t="s">
        <v>550</v>
      </c>
      <c r="M271" t="s">
        <v>535</v>
      </c>
      <c r="Q271" t="s">
        <v>468</v>
      </c>
      <c r="R271" t="s">
        <v>4</v>
      </c>
      <c r="S271" t="s">
        <v>22</v>
      </c>
    </row>
    <row r="272" spans="1:19" x14ac:dyDescent="0.3">
      <c r="A272" s="2" t="s">
        <v>112</v>
      </c>
      <c r="B272" s="4" t="s">
        <v>352</v>
      </c>
      <c r="C272" s="3" t="s">
        <v>26</v>
      </c>
      <c r="D272" t="s">
        <v>542</v>
      </c>
      <c r="G272">
        <v>120</v>
      </c>
      <c r="H272" s="16" t="s">
        <v>514</v>
      </c>
      <c r="K272">
        <v>7.5721940115892696</v>
      </c>
      <c r="L272" t="s">
        <v>550</v>
      </c>
      <c r="M272" t="s">
        <v>535</v>
      </c>
      <c r="Q272" t="s">
        <v>468</v>
      </c>
      <c r="R272" t="s">
        <v>4</v>
      </c>
      <c r="S272" t="s">
        <v>22</v>
      </c>
    </row>
    <row r="273" spans="1:19" x14ac:dyDescent="0.3">
      <c r="A273" s="2" t="s">
        <v>112</v>
      </c>
      <c r="B273" s="4" t="s">
        <v>352</v>
      </c>
      <c r="C273" s="3" t="s">
        <v>26</v>
      </c>
      <c r="D273" t="s">
        <v>542</v>
      </c>
      <c r="G273">
        <v>143</v>
      </c>
      <c r="H273" s="16" t="s">
        <v>514</v>
      </c>
      <c r="K273">
        <v>7.6429914749460801</v>
      </c>
      <c r="L273" t="s">
        <v>550</v>
      </c>
      <c r="M273" t="s">
        <v>535</v>
      </c>
      <c r="Q273" t="s">
        <v>468</v>
      </c>
      <c r="R273" t="s">
        <v>4</v>
      </c>
      <c r="S273" t="s">
        <v>22</v>
      </c>
    </row>
    <row r="274" spans="1:19" x14ac:dyDescent="0.3">
      <c r="A274" s="2" t="s">
        <v>112</v>
      </c>
      <c r="B274" s="4" t="s">
        <v>352</v>
      </c>
      <c r="C274" s="3" t="s">
        <v>26</v>
      </c>
      <c r="D274" t="s">
        <v>542</v>
      </c>
      <c r="G274">
        <v>264</v>
      </c>
      <c r="H274" s="16" t="s">
        <v>514</v>
      </c>
      <c r="K274">
        <v>4.3125267697935499</v>
      </c>
      <c r="L274" t="s">
        <v>550</v>
      </c>
      <c r="M274" t="s">
        <v>535</v>
      </c>
      <c r="Q274" t="s">
        <v>468</v>
      </c>
      <c r="R274" t="s">
        <v>4</v>
      </c>
      <c r="S274" t="s">
        <v>22</v>
      </c>
    </row>
    <row r="275" spans="1:19" x14ac:dyDescent="0.3">
      <c r="A275" s="2" t="s">
        <v>113</v>
      </c>
      <c r="B275" s="4" t="s">
        <v>353</v>
      </c>
      <c r="C275" s="3" t="s">
        <v>26</v>
      </c>
      <c r="D275" t="s">
        <v>542</v>
      </c>
      <c r="G275">
        <v>1</v>
      </c>
      <c r="H275" s="16" t="s">
        <v>514</v>
      </c>
      <c r="K275">
        <v>220.59643096499099</v>
      </c>
      <c r="L275" t="s">
        <v>550</v>
      </c>
      <c r="M275" t="s">
        <v>535</v>
      </c>
      <c r="Q275" t="s">
        <v>468</v>
      </c>
      <c r="R275" t="s">
        <v>4</v>
      </c>
      <c r="S275" t="s">
        <v>22</v>
      </c>
    </row>
    <row r="276" spans="1:19" x14ac:dyDescent="0.3">
      <c r="A276" s="2" t="s">
        <v>113</v>
      </c>
      <c r="B276" s="4" t="s">
        <v>353</v>
      </c>
      <c r="C276" s="3" t="s">
        <v>26</v>
      </c>
      <c r="D276" t="s">
        <v>542</v>
      </c>
      <c r="G276">
        <v>2</v>
      </c>
      <c r="H276" s="16" t="s">
        <v>514</v>
      </c>
      <c r="K276">
        <v>506.77437359198399</v>
      </c>
      <c r="L276" t="s">
        <v>550</v>
      </c>
      <c r="M276" t="s">
        <v>535</v>
      </c>
      <c r="Q276" t="s">
        <v>468</v>
      </c>
      <c r="R276" t="s">
        <v>4</v>
      </c>
      <c r="S276" t="s">
        <v>22</v>
      </c>
    </row>
    <row r="277" spans="1:19" x14ac:dyDescent="0.3">
      <c r="A277" s="2" t="s">
        <v>113</v>
      </c>
      <c r="B277" s="4" t="s">
        <v>353</v>
      </c>
      <c r="C277" s="3" t="s">
        <v>26</v>
      </c>
      <c r="D277" t="s">
        <v>542</v>
      </c>
      <c r="G277">
        <v>5</v>
      </c>
      <c r="H277" s="16" t="s">
        <v>514</v>
      </c>
      <c r="K277">
        <v>841.46089921672296</v>
      </c>
      <c r="L277" t="s">
        <v>550</v>
      </c>
      <c r="M277" t="s">
        <v>535</v>
      </c>
      <c r="Q277" t="s">
        <v>468</v>
      </c>
      <c r="R277" t="s">
        <v>4</v>
      </c>
      <c r="S277" t="s">
        <v>22</v>
      </c>
    </row>
    <row r="278" spans="1:19" x14ac:dyDescent="0.3">
      <c r="A278" s="2" t="s">
        <v>113</v>
      </c>
      <c r="B278" s="4" t="s">
        <v>353</v>
      </c>
      <c r="C278" s="3" t="s">
        <v>26</v>
      </c>
      <c r="D278" t="s">
        <v>542</v>
      </c>
      <c r="G278">
        <v>6</v>
      </c>
      <c r="H278" s="16" t="s">
        <v>514</v>
      </c>
      <c r="K278">
        <v>652.95682417703097</v>
      </c>
      <c r="L278" t="s">
        <v>550</v>
      </c>
      <c r="M278" t="s">
        <v>535</v>
      </c>
      <c r="Q278" t="s">
        <v>468</v>
      </c>
      <c r="R278" t="s">
        <v>4</v>
      </c>
      <c r="S278" t="s">
        <v>22</v>
      </c>
    </row>
    <row r="279" spans="1:19" x14ac:dyDescent="0.3">
      <c r="A279" s="2" t="s">
        <v>113</v>
      </c>
      <c r="B279" s="4" t="s">
        <v>353</v>
      </c>
      <c r="C279" s="3" t="s">
        <v>26</v>
      </c>
      <c r="D279" t="s">
        <v>542</v>
      </c>
      <c r="G279">
        <v>8</v>
      </c>
      <c r="H279" s="16" t="s">
        <v>514</v>
      </c>
      <c r="K279">
        <v>476.75239373010999</v>
      </c>
      <c r="L279" t="s">
        <v>550</v>
      </c>
      <c r="M279" t="s">
        <v>535</v>
      </c>
      <c r="Q279" t="s">
        <v>468</v>
      </c>
      <c r="R279" t="s">
        <v>4</v>
      </c>
      <c r="S279" t="s">
        <v>22</v>
      </c>
    </row>
    <row r="280" spans="1:19" x14ac:dyDescent="0.3">
      <c r="A280" s="2" t="s">
        <v>113</v>
      </c>
      <c r="B280" s="4" t="s">
        <v>353</v>
      </c>
      <c r="C280" s="3" t="s">
        <v>26</v>
      </c>
      <c r="D280" t="s">
        <v>542</v>
      </c>
      <c r="G280">
        <v>12</v>
      </c>
      <c r="H280" s="16" t="s">
        <v>514</v>
      </c>
      <c r="K280">
        <v>348.07005884284098</v>
      </c>
      <c r="L280" t="s">
        <v>550</v>
      </c>
      <c r="M280" t="s">
        <v>535</v>
      </c>
      <c r="Q280" t="s">
        <v>468</v>
      </c>
      <c r="R280" t="s">
        <v>4</v>
      </c>
      <c r="S280" t="s">
        <v>22</v>
      </c>
    </row>
    <row r="281" spans="1:19" x14ac:dyDescent="0.3">
      <c r="A281" s="2" t="s">
        <v>113</v>
      </c>
      <c r="B281" s="4" t="s">
        <v>353</v>
      </c>
      <c r="C281" s="3" t="s">
        <v>26</v>
      </c>
      <c r="D281" t="s">
        <v>542</v>
      </c>
      <c r="G281">
        <v>16</v>
      </c>
      <c r="H281" s="16" t="s">
        <v>514</v>
      </c>
      <c r="K281">
        <v>216.05251831879301</v>
      </c>
      <c r="L281" t="s">
        <v>550</v>
      </c>
      <c r="M281" t="s">
        <v>535</v>
      </c>
      <c r="Q281" t="s">
        <v>468</v>
      </c>
      <c r="R281" t="s">
        <v>4</v>
      </c>
      <c r="S281" t="s">
        <v>22</v>
      </c>
    </row>
    <row r="282" spans="1:19" x14ac:dyDescent="0.3">
      <c r="A282" s="2" t="s">
        <v>113</v>
      </c>
      <c r="B282" s="4" t="s">
        <v>353</v>
      </c>
      <c r="C282" s="3" t="s">
        <v>26</v>
      </c>
      <c r="D282" t="s">
        <v>542</v>
      </c>
      <c r="G282">
        <v>24</v>
      </c>
      <c r="H282" s="16" t="s">
        <v>514</v>
      </c>
      <c r="K282">
        <v>123.63668990770699</v>
      </c>
      <c r="L282" t="s">
        <v>550</v>
      </c>
      <c r="M282" t="s">
        <v>535</v>
      </c>
      <c r="Q282" t="s">
        <v>468</v>
      </c>
      <c r="R282" t="s">
        <v>4</v>
      </c>
      <c r="S282" t="s">
        <v>22</v>
      </c>
    </row>
    <row r="283" spans="1:19" x14ac:dyDescent="0.3">
      <c r="A283" s="2" t="s">
        <v>113</v>
      </c>
      <c r="B283" s="4" t="s">
        <v>353</v>
      </c>
      <c r="C283" s="3" t="s">
        <v>26</v>
      </c>
      <c r="D283" t="s">
        <v>542</v>
      </c>
      <c r="G283">
        <v>30</v>
      </c>
      <c r="H283" s="16" t="s">
        <v>514</v>
      </c>
      <c r="K283">
        <v>135.42580878735399</v>
      </c>
      <c r="L283" t="s">
        <v>550</v>
      </c>
      <c r="M283" t="s">
        <v>535</v>
      </c>
      <c r="Q283" t="s">
        <v>468</v>
      </c>
      <c r="R283" t="s">
        <v>4</v>
      </c>
      <c r="S283" t="s">
        <v>22</v>
      </c>
    </row>
    <row r="284" spans="1:19" x14ac:dyDescent="0.3">
      <c r="A284" s="2" t="s">
        <v>113</v>
      </c>
      <c r="B284" s="4" t="s">
        <v>353</v>
      </c>
      <c r="C284" s="3" t="s">
        <v>26</v>
      </c>
      <c r="D284" t="s">
        <v>542</v>
      </c>
      <c r="G284">
        <v>36</v>
      </c>
      <c r="H284" s="16" t="s">
        <v>514</v>
      </c>
      <c r="K284">
        <v>89.328736134539895</v>
      </c>
      <c r="L284" t="s">
        <v>550</v>
      </c>
      <c r="M284" t="s">
        <v>535</v>
      </c>
      <c r="Q284" t="s">
        <v>468</v>
      </c>
      <c r="R284" t="s">
        <v>4</v>
      </c>
      <c r="S284" t="s">
        <v>22</v>
      </c>
    </row>
    <row r="285" spans="1:19" x14ac:dyDescent="0.3">
      <c r="A285" s="2" t="s">
        <v>113</v>
      </c>
      <c r="B285" s="4" t="s">
        <v>353</v>
      </c>
      <c r="C285" s="3" t="s">
        <v>26</v>
      </c>
      <c r="D285" t="s">
        <v>542</v>
      </c>
      <c r="G285">
        <v>48</v>
      </c>
      <c r="H285" s="16" t="s">
        <v>514</v>
      </c>
      <c r="K285">
        <v>61.349643176679997</v>
      </c>
      <c r="L285" t="s">
        <v>550</v>
      </c>
      <c r="M285" t="s">
        <v>535</v>
      </c>
      <c r="Q285" t="s">
        <v>468</v>
      </c>
      <c r="R285" t="s">
        <v>4</v>
      </c>
      <c r="S285" t="s">
        <v>22</v>
      </c>
    </row>
    <row r="286" spans="1:19" x14ac:dyDescent="0.3">
      <c r="A286" s="2" t="s">
        <v>113</v>
      </c>
      <c r="B286" s="4" t="s">
        <v>353</v>
      </c>
      <c r="C286" s="3" t="s">
        <v>26</v>
      </c>
      <c r="D286" t="s">
        <v>542</v>
      </c>
      <c r="G286">
        <v>72</v>
      </c>
      <c r="H286" s="16" t="s">
        <v>514</v>
      </c>
      <c r="K286">
        <v>36.540571070579801</v>
      </c>
      <c r="L286" t="s">
        <v>550</v>
      </c>
      <c r="M286" t="s">
        <v>535</v>
      </c>
      <c r="Q286" t="s">
        <v>468</v>
      </c>
      <c r="R286" t="s">
        <v>4</v>
      </c>
      <c r="S286" t="s">
        <v>22</v>
      </c>
    </row>
    <row r="287" spans="1:19" x14ac:dyDescent="0.3">
      <c r="A287" s="2" t="s">
        <v>113</v>
      </c>
      <c r="B287" s="4" t="s">
        <v>353</v>
      </c>
      <c r="C287" s="3" t="s">
        <v>26</v>
      </c>
      <c r="D287" t="s">
        <v>542</v>
      </c>
      <c r="G287">
        <v>96</v>
      </c>
      <c r="H287" s="16" t="s">
        <v>514</v>
      </c>
      <c r="K287">
        <v>27.205604642546</v>
      </c>
      <c r="L287" t="s">
        <v>550</v>
      </c>
      <c r="M287" t="s">
        <v>535</v>
      </c>
      <c r="Q287" t="s">
        <v>468</v>
      </c>
      <c r="R287" t="s">
        <v>4</v>
      </c>
      <c r="S287" t="s">
        <v>22</v>
      </c>
    </row>
    <row r="288" spans="1:19" x14ac:dyDescent="0.3">
      <c r="A288" s="2" t="s">
        <v>113</v>
      </c>
      <c r="B288" s="4" t="s">
        <v>353</v>
      </c>
      <c r="C288" s="3" t="s">
        <v>26</v>
      </c>
      <c r="D288" t="s">
        <v>542</v>
      </c>
      <c r="G288">
        <v>120</v>
      </c>
      <c r="H288" s="16" t="s">
        <v>514</v>
      </c>
      <c r="K288">
        <v>22.191266304507799</v>
      </c>
      <c r="L288" t="s">
        <v>550</v>
      </c>
      <c r="M288" t="s">
        <v>535</v>
      </c>
      <c r="Q288" t="s">
        <v>468</v>
      </c>
      <c r="R288" t="s">
        <v>4</v>
      </c>
      <c r="S288" t="s">
        <v>22</v>
      </c>
    </row>
    <row r="289" spans="1:19" x14ac:dyDescent="0.3">
      <c r="A289" s="2" t="s">
        <v>113</v>
      </c>
      <c r="B289" s="4" t="s">
        <v>353</v>
      </c>
      <c r="C289" s="3" t="s">
        <v>26</v>
      </c>
      <c r="D289" t="s">
        <v>542</v>
      </c>
      <c r="G289">
        <v>144</v>
      </c>
      <c r="H289" s="16" t="s">
        <v>514</v>
      </c>
      <c r="K289">
        <v>23.564062139009899</v>
      </c>
      <c r="L289" t="s">
        <v>550</v>
      </c>
      <c r="M289" t="s">
        <v>535</v>
      </c>
      <c r="Q289" t="s">
        <v>468</v>
      </c>
      <c r="R289" t="s">
        <v>4</v>
      </c>
      <c r="S289" t="s">
        <v>22</v>
      </c>
    </row>
    <row r="290" spans="1:19" x14ac:dyDescent="0.3">
      <c r="A290" s="2" t="s">
        <v>113</v>
      </c>
      <c r="B290" s="4" t="s">
        <v>353</v>
      </c>
      <c r="C290" s="3" t="s">
        <v>26</v>
      </c>
      <c r="D290" t="s">
        <v>542</v>
      </c>
      <c r="G290">
        <v>264</v>
      </c>
      <c r="H290" s="16" t="s">
        <v>514</v>
      </c>
      <c r="K290">
        <v>12.0132983079169</v>
      </c>
      <c r="L290" t="s">
        <v>550</v>
      </c>
      <c r="M290" t="s">
        <v>535</v>
      </c>
      <c r="Q290" t="s">
        <v>468</v>
      </c>
      <c r="R290" t="s">
        <v>4</v>
      </c>
      <c r="S290" t="s">
        <v>22</v>
      </c>
    </row>
    <row r="291" spans="1:19" x14ac:dyDescent="0.3">
      <c r="A291" s="2" t="s">
        <v>114</v>
      </c>
      <c r="B291" s="4" t="s">
        <v>354</v>
      </c>
      <c r="C291" s="3" t="s">
        <v>26</v>
      </c>
      <c r="D291" t="s">
        <v>542</v>
      </c>
      <c r="G291">
        <v>1</v>
      </c>
      <c r="H291" s="16" t="s">
        <v>514</v>
      </c>
      <c r="K291">
        <v>608.31302573826304</v>
      </c>
      <c r="L291" t="s">
        <v>550</v>
      </c>
      <c r="M291" t="s">
        <v>535</v>
      </c>
      <c r="Q291" t="s">
        <v>468</v>
      </c>
      <c r="R291" t="s">
        <v>4</v>
      </c>
      <c r="S291" t="s">
        <v>22</v>
      </c>
    </row>
    <row r="292" spans="1:19" x14ac:dyDescent="0.3">
      <c r="A292" s="2" t="s">
        <v>114</v>
      </c>
      <c r="B292" s="4" t="s">
        <v>354</v>
      </c>
      <c r="C292" s="3" t="s">
        <v>26</v>
      </c>
      <c r="D292" t="s">
        <v>542</v>
      </c>
      <c r="G292">
        <v>2</v>
      </c>
      <c r="H292" s="16" t="s">
        <v>514</v>
      </c>
      <c r="K292">
        <v>1369.4184363898901</v>
      </c>
      <c r="L292" t="s">
        <v>550</v>
      </c>
      <c r="M292" t="s">
        <v>535</v>
      </c>
      <c r="Q292" t="s">
        <v>468</v>
      </c>
      <c r="R292" t="s">
        <v>4</v>
      </c>
      <c r="S292" t="s">
        <v>22</v>
      </c>
    </row>
    <row r="293" spans="1:19" x14ac:dyDescent="0.3">
      <c r="A293" s="2" t="s">
        <v>114</v>
      </c>
      <c r="B293" s="4" t="s">
        <v>354</v>
      </c>
      <c r="C293" s="3" t="s">
        <v>26</v>
      </c>
      <c r="D293" t="s">
        <v>542</v>
      </c>
      <c r="G293">
        <v>4</v>
      </c>
      <c r="H293" s="16" t="s">
        <v>514</v>
      </c>
      <c r="K293">
        <v>1562.3209632025701</v>
      </c>
      <c r="L293" t="s">
        <v>550</v>
      </c>
      <c r="M293" t="s">
        <v>535</v>
      </c>
      <c r="Q293" t="s">
        <v>468</v>
      </c>
      <c r="R293" t="s">
        <v>4</v>
      </c>
      <c r="S293" t="s">
        <v>22</v>
      </c>
    </row>
    <row r="294" spans="1:19" x14ac:dyDescent="0.3">
      <c r="A294" s="2" t="s">
        <v>114</v>
      </c>
      <c r="B294" s="4" t="s">
        <v>354</v>
      </c>
      <c r="C294" s="3" t="s">
        <v>26</v>
      </c>
      <c r="D294" t="s">
        <v>542</v>
      </c>
      <c r="G294">
        <v>6</v>
      </c>
      <c r="H294" s="16" t="s">
        <v>514</v>
      </c>
      <c r="K294">
        <v>2161.2661606034098</v>
      </c>
      <c r="L294" t="s">
        <v>550</v>
      </c>
      <c r="M294" t="s">
        <v>535</v>
      </c>
      <c r="Q294" t="s">
        <v>468</v>
      </c>
      <c r="R294" t="s">
        <v>4</v>
      </c>
      <c r="S294" t="s">
        <v>22</v>
      </c>
    </row>
    <row r="295" spans="1:19" x14ac:dyDescent="0.3">
      <c r="A295" s="2" t="s">
        <v>114</v>
      </c>
      <c r="B295" s="4" t="s">
        <v>354</v>
      </c>
      <c r="C295" s="3" t="s">
        <v>26</v>
      </c>
      <c r="D295" t="s">
        <v>542</v>
      </c>
      <c r="G295">
        <v>8</v>
      </c>
      <c r="H295" s="16" t="s">
        <v>514</v>
      </c>
      <c r="K295">
        <v>1578.0351432182899</v>
      </c>
      <c r="L295" t="s">
        <v>550</v>
      </c>
      <c r="M295" t="s">
        <v>535</v>
      </c>
      <c r="Q295" t="s">
        <v>468</v>
      </c>
      <c r="R295" t="s">
        <v>4</v>
      </c>
      <c r="S295" t="s">
        <v>22</v>
      </c>
    </row>
    <row r="296" spans="1:19" x14ac:dyDescent="0.3">
      <c r="A296" s="2" t="s">
        <v>114</v>
      </c>
      <c r="B296" s="4" t="s">
        <v>354</v>
      </c>
      <c r="C296" s="3" t="s">
        <v>26</v>
      </c>
      <c r="D296" t="s">
        <v>542</v>
      </c>
      <c r="G296">
        <v>12</v>
      </c>
      <c r="H296" s="16" t="s">
        <v>514</v>
      </c>
      <c r="K296">
        <v>849.82962189369698</v>
      </c>
      <c r="L296" t="s">
        <v>550</v>
      </c>
      <c r="M296" t="s">
        <v>535</v>
      </c>
      <c r="Q296" t="s">
        <v>468</v>
      </c>
      <c r="R296" t="s">
        <v>4</v>
      </c>
      <c r="S296" t="s">
        <v>22</v>
      </c>
    </row>
    <row r="297" spans="1:19" x14ac:dyDescent="0.3">
      <c r="A297" s="2" t="s">
        <v>114</v>
      </c>
      <c r="B297" s="4" t="s">
        <v>354</v>
      </c>
      <c r="C297" s="3" t="s">
        <v>26</v>
      </c>
      <c r="D297" t="s">
        <v>542</v>
      </c>
      <c r="G297">
        <v>16</v>
      </c>
      <c r="H297" s="16" t="s">
        <v>514</v>
      </c>
      <c r="K297">
        <v>626.77394657776199</v>
      </c>
      <c r="L297" t="s">
        <v>550</v>
      </c>
      <c r="M297" t="s">
        <v>535</v>
      </c>
      <c r="Q297" t="s">
        <v>468</v>
      </c>
      <c r="R297" t="s">
        <v>4</v>
      </c>
      <c r="S297" t="s">
        <v>22</v>
      </c>
    </row>
    <row r="298" spans="1:19" x14ac:dyDescent="0.3">
      <c r="A298" s="2" t="s">
        <v>114</v>
      </c>
      <c r="B298" s="4" t="s">
        <v>354</v>
      </c>
      <c r="C298" s="3" t="s">
        <v>26</v>
      </c>
      <c r="D298" t="s">
        <v>542</v>
      </c>
      <c r="G298">
        <v>24</v>
      </c>
      <c r="H298" s="16" t="s">
        <v>514</v>
      </c>
      <c r="K298">
        <v>362.33285974324201</v>
      </c>
      <c r="L298" t="s">
        <v>550</v>
      </c>
      <c r="M298" t="s">
        <v>535</v>
      </c>
      <c r="Q298" t="s">
        <v>468</v>
      </c>
      <c r="R298" t="s">
        <v>4</v>
      </c>
      <c r="S298" t="s">
        <v>22</v>
      </c>
    </row>
    <row r="299" spans="1:19" x14ac:dyDescent="0.3">
      <c r="A299" s="2" t="s">
        <v>114</v>
      </c>
      <c r="B299" s="4" t="s">
        <v>354</v>
      </c>
      <c r="C299" s="3" t="s">
        <v>26</v>
      </c>
      <c r="D299" t="s">
        <v>542</v>
      </c>
      <c r="G299">
        <v>30</v>
      </c>
      <c r="H299" s="16" t="s">
        <v>514</v>
      </c>
      <c r="K299">
        <v>400.92863621406701</v>
      </c>
      <c r="L299" t="s">
        <v>550</v>
      </c>
      <c r="M299" t="s">
        <v>535</v>
      </c>
      <c r="Q299" t="s">
        <v>468</v>
      </c>
      <c r="R299" t="s">
        <v>4</v>
      </c>
      <c r="S299" t="s">
        <v>22</v>
      </c>
    </row>
    <row r="300" spans="1:19" x14ac:dyDescent="0.3">
      <c r="A300" s="2" t="s">
        <v>114</v>
      </c>
      <c r="B300" s="4" t="s">
        <v>354</v>
      </c>
      <c r="C300" s="3" t="s">
        <v>26</v>
      </c>
      <c r="D300" t="s">
        <v>542</v>
      </c>
      <c r="G300">
        <v>36</v>
      </c>
      <c r="H300" s="16" t="s">
        <v>514</v>
      </c>
      <c r="K300">
        <v>267.15426662603602</v>
      </c>
      <c r="L300" t="s">
        <v>550</v>
      </c>
      <c r="M300" t="s">
        <v>535</v>
      </c>
      <c r="Q300" t="s">
        <v>468</v>
      </c>
      <c r="R300" t="s">
        <v>4</v>
      </c>
      <c r="S300" t="s">
        <v>22</v>
      </c>
    </row>
    <row r="301" spans="1:19" x14ac:dyDescent="0.3">
      <c r="A301" s="2" t="s">
        <v>114</v>
      </c>
      <c r="B301" s="4" t="s">
        <v>354</v>
      </c>
      <c r="C301" s="3" t="s">
        <v>26</v>
      </c>
      <c r="D301" t="s">
        <v>542</v>
      </c>
      <c r="G301">
        <v>48</v>
      </c>
      <c r="H301" s="16" t="s">
        <v>514</v>
      </c>
      <c r="K301">
        <v>183.479027475084</v>
      </c>
      <c r="L301" t="s">
        <v>550</v>
      </c>
      <c r="M301" t="s">
        <v>535</v>
      </c>
      <c r="Q301" t="s">
        <v>468</v>
      </c>
      <c r="R301" t="s">
        <v>4</v>
      </c>
      <c r="S301" t="s">
        <v>22</v>
      </c>
    </row>
    <row r="302" spans="1:19" x14ac:dyDescent="0.3">
      <c r="A302" s="2" t="s">
        <v>114</v>
      </c>
      <c r="B302" s="4" t="s">
        <v>354</v>
      </c>
      <c r="C302" s="3" t="s">
        <v>26</v>
      </c>
      <c r="D302" t="s">
        <v>542</v>
      </c>
      <c r="G302">
        <v>72</v>
      </c>
      <c r="H302" s="16" t="s">
        <v>514</v>
      </c>
      <c r="K302">
        <v>97.744328867123798</v>
      </c>
      <c r="L302" t="s">
        <v>550</v>
      </c>
      <c r="M302" t="s">
        <v>535</v>
      </c>
      <c r="Q302" t="s">
        <v>468</v>
      </c>
      <c r="R302" t="s">
        <v>4</v>
      </c>
      <c r="S302" t="s">
        <v>22</v>
      </c>
    </row>
    <row r="303" spans="1:19" x14ac:dyDescent="0.3">
      <c r="A303" s="2" t="s">
        <v>114</v>
      </c>
      <c r="B303" s="4" t="s">
        <v>354</v>
      </c>
      <c r="C303" s="3" t="s">
        <v>26</v>
      </c>
      <c r="D303" t="s">
        <v>542</v>
      </c>
      <c r="G303">
        <v>96</v>
      </c>
      <c r="H303" s="16" t="s">
        <v>514</v>
      </c>
      <c r="K303">
        <v>66.423779119718603</v>
      </c>
      <c r="L303" t="s">
        <v>550</v>
      </c>
      <c r="M303" t="s">
        <v>535</v>
      </c>
      <c r="Q303" t="s">
        <v>468</v>
      </c>
      <c r="R303" t="s">
        <v>4</v>
      </c>
      <c r="S303" t="s">
        <v>22</v>
      </c>
    </row>
    <row r="304" spans="1:19" x14ac:dyDescent="0.3">
      <c r="A304" s="2" t="s">
        <v>114</v>
      </c>
      <c r="B304" s="4" t="s">
        <v>354</v>
      </c>
      <c r="C304" s="3" t="s">
        <v>26</v>
      </c>
      <c r="D304" t="s">
        <v>542</v>
      </c>
      <c r="G304">
        <v>120</v>
      </c>
      <c r="H304" s="16" t="s">
        <v>514</v>
      </c>
      <c r="K304">
        <v>48.955093373391598</v>
      </c>
      <c r="L304" t="s">
        <v>550</v>
      </c>
      <c r="M304" t="s">
        <v>535</v>
      </c>
      <c r="Q304" t="s">
        <v>468</v>
      </c>
      <c r="R304" t="s">
        <v>4</v>
      </c>
      <c r="S304" t="s">
        <v>22</v>
      </c>
    </row>
    <row r="305" spans="1:19" x14ac:dyDescent="0.3">
      <c r="A305" s="2" t="s">
        <v>114</v>
      </c>
      <c r="B305" s="4" t="s">
        <v>354</v>
      </c>
      <c r="C305" s="3" t="s">
        <v>26</v>
      </c>
      <c r="D305" t="s">
        <v>542</v>
      </c>
      <c r="G305">
        <v>144</v>
      </c>
      <c r="H305" s="16" t="s">
        <v>514</v>
      </c>
      <c r="K305">
        <v>47.931409837490598</v>
      </c>
      <c r="L305" t="s">
        <v>550</v>
      </c>
      <c r="M305" t="s">
        <v>535</v>
      </c>
      <c r="Q305" t="s">
        <v>468</v>
      </c>
      <c r="R305" t="s">
        <v>4</v>
      </c>
      <c r="S305" t="s">
        <v>22</v>
      </c>
    </row>
    <row r="306" spans="1:19" x14ac:dyDescent="0.3">
      <c r="A306" s="2" t="s">
        <v>114</v>
      </c>
      <c r="B306" s="4" t="s">
        <v>354</v>
      </c>
      <c r="C306" s="3" t="s">
        <v>26</v>
      </c>
      <c r="D306" t="s">
        <v>542</v>
      </c>
      <c r="G306">
        <v>264</v>
      </c>
      <c r="H306" s="16" t="s">
        <v>514</v>
      </c>
      <c r="K306">
        <v>37.038129474587002</v>
      </c>
      <c r="L306" t="s">
        <v>550</v>
      </c>
      <c r="M306" t="s">
        <v>535</v>
      </c>
      <c r="Q306" t="s">
        <v>468</v>
      </c>
      <c r="R306" t="s">
        <v>4</v>
      </c>
      <c r="S306" t="s">
        <v>22</v>
      </c>
    </row>
    <row r="307" spans="1:19" x14ac:dyDescent="0.3">
      <c r="A307" s="2" t="s">
        <v>115</v>
      </c>
      <c r="B307" s="4" t="s">
        <v>355</v>
      </c>
      <c r="C307" s="3" t="s">
        <v>26</v>
      </c>
      <c r="D307" t="s">
        <v>542</v>
      </c>
      <c r="G307">
        <v>8</v>
      </c>
      <c r="H307" s="16" t="s">
        <v>514</v>
      </c>
      <c r="K307">
        <v>2647.1970753968299</v>
      </c>
      <c r="L307" t="s">
        <v>550</v>
      </c>
      <c r="M307" t="s">
        <v>535</v>
      </c>
      <c r="Q307" t="s">
        <v>468</v>
      </c>
      <c r="R307" t="s">
        <v>4</v>
      </c>
      <c r="S307" t="s">
        <v>22</v>
      </c>
    </row>
    <row r="308" spans="1:19" x14ac:dyDescent="0.3">
      <c r="A308" s="2" t="s">
        <v>115</v>
      </c>
      <c r="B308" s="4" t="s">
        <v>355</v>
      </c>
      <c r="C308" s="3" t="s">
        <v>26</v>
      </c>
      <c r="D308" t="s">
        <v>542</v>
      </c>
      <c r="G308">
        <v>12</v>
      </c>
      <c r="H308" s="16" t="s">
        <v>514</v>
      </c>
      <c r="K308">
        <v>1382.88354638038</v>
      </c>
      <c r="L308" t="s">
        <v>550</v>
      </c>
      <c r="M308" t="s">
        <v>535</v>
      </c>
      <c r="Q308" t="s">
        <v>468</v>
      </c>
      <c r="R308" t="s">
        <v>4</v>
      </c>
      <c r="S308" t="s">
        <v>22</v>
      </c>
    </row>
    <row r="309" spans="1:19" x14ac:dyDescent="0.3">
      <c r="A309" s="2" t="s">
        <v>115</v>
      </c>
      <c r="B309" s="4" t="s">
        <v>355</v>
      </c>
      <c r="C309" s="3" t="s">
        <v>26</v>
      </c>
      <c r="D309" t="s">
        <v>542</v>
      </c>
      <c r="G309">
        <v>16</v>
      </c>
      <c r="H309" s="16" t="s">
        <v>514</v>
      </c>
      <c r="K309">
        <v>979.36264429184598</v>
      </c>
      <c r="L309" t="s">
        <v>550</v>
      </c>
      <c r="M309" t="s">
        <v>535</v>
      </c>
      <c r="Q309" t="s">
        <v>468</v>
      </c>
      <c r="R309" t="s">
        <v>4</v>
      </c>
      <c r="S309" t="s">
        <v>22</v>
      </c>
    </row>
    <row r="310" spans="1:19" x14ac:dyDescent="0.3">
      <c r="A310" s="2" t="s">
        <v>115</v>
      </c>
      <c r="B310" s="4" t="s">
        <v>355</v>
      </c>
      <c r="C310" s="3" t="s">
        <v>26</v>
      </c>
      <c r="D310" t="s">
        <v>542</v>
      </c>
      <c r="G310">
        <v>24</v>
      </c>
      <c r="H310" s="16" t="s">
        <v>514</v>
      </c>
      <c r="K310">
        <v>652.55080483107497</v>
      </c>
      <c r="L310" t="s">
        <v>550</v>
      </c>
      <c r="M310" t="s">
        <v>535</v>
      </c>
      <c r="Q310" t="s">
        <v>468</v>
      </c>
      <c r="R310" t="s">
        <v>4</v>
      </c>
      <c r="S310" t="s">
        <v>22</v>
      </c>
    </row>
    <row r="311" spans="1:19" x14ac:dyDescent="0.3">
      <c r="A311" s="2" t="s">
        <v>115</v>
      </c>
      <c r="B311" s="4" t="s">
        <v>355</v>
      </c>
      <c r="C311" s="3" t="s">
        <v>26</v>
      </c>
      <c r="D311" t="s">
        <v>542</v>
      </c>
      <c r="G311">
        <v>30</v>
      </c>
      <c r="H311" s="16" t="s">
        <v>514</v>
      </c>
      <c r="K311">
        <v>639.31325936472103</v>
      </c>
      <c r="L311" t="s">
        <v>550</v>
      </c>
      <c r="M311" t="s">
        <v>535</v>
      </c>
      <c r="Q311" t="s">
        <v>468</v>
      </c>
      <c r="R311" t="s">
        <v>4</v>
      </c>
      <c r="S311" t="s">
        <v>22</v>
      </c>
    </row>
    <row r="312" spans="1:19" x14ac:dyDescent="0.3">
      <c r="A312" s="2" t="s">
        <v>115</v>
      </c>
      <c r="B312" s="4" t="s">
        <v>355</v>
      </c>
      <c r="C312" s="3" t="s">
        <v>26</v>
      </c>
      <c r="D312" t="s">
        <v>542</v>
      </c>
      <c r="G312">
        <v>36</v>
      </c>
      <c r="H312" s="16" t="s">
        <v>514</v>
      </c>
      <c r="K312">
        <v>471.47443612935899</v>
      </c>
      <c r="L312" t="s">
        <v>550</v>
      </c>
      <c r="M312" t="s">
        <v>535</v>
      </c>
      <c r="Q312" t="s">
        <v>468</v>
      </c>
      <c r="R312" t="s">
        <v>4</v>
      </c>
      <c r="S312" t="s">
        <v>22</v>
      </c>
    </row>
    <row r="313" spans="1:19" x14ac:dyDescent="0.3">
      <c r="A313" s="2" t="s">
        <v>115</v>
      </c>
      <c r="B313" s="4" t="s">
        <v>355</v>
      </c>
      <c r="C313" s="3" t="s">
        <v>26</v>
      </c>
      <c r="D313" t="s">
        <v>542</v>
      </c>
      <c r="G313">
        <v>48</v>
      </c>
      <c r="H313" s="16" t="s">
        <v>514</v>
      </c>
      <c r="K313">
        <v>320.53626967108897</v>
      </c>
      <c r="L313" t="s">
        <v>550</v>
      </c>
      <c r="M313" t="s">
        <v>535</v>
      </c>
      <c r="Q313" t="s">
        <v>468</v>
      </c>
      <c r="R313" t="s">
        <v>4</v>
      </c>
      <c r="S313" t="s">
        <v>22</v>
      </c>
    </row>
    <row r="314" spans="1:19" x14ac:dyDescent="0.3">
      <c r="A314" s="2" t="s">
        <v>115</v>
      </c>
      <c r="B314" s="4" t="s">
        <v>355</v>
      </c>
      <c r="C314" s="3" t="s">
        <v>26</v>
      </c>
      <c r="D314" t="s">
        <v>542</v>
      </c>
      <c r="G314">
        <v>72</v>
      </c>
      <c r="H314" s="16" t="s">
        <v>514</v>
      </c>
      <c r="K314">
        <v>174.255287135244</v>
      </c>
      <c r="L314" t="s">
        <v>550</v>
      </c>
      <c r="M314" t="s">
        <v>535</v>
      </c>
      <c r="Q314" t="s">
        <v>468</v>
      </c>
      <c r="R314" t="s">
        <v>4</v>
      </c>
      <c r="S314" t="s">
        <v>22</v>
      </c>
    </row>
    <row r="315" spans="1:19" x14ac:dyDescent="0.3">
      <c r="A315" s="2" t="s">
        <v>115</v>
      </c>
      <c r="B315" s="4" t="s">
        <v>355</v>
      </c>
      <c r="C315" s="3" t="s">
        <v>26</v>
      </c>
      <c r="D315" t="s">
        <v>542</v>
      </c>
      <c r="G315">
        <v>96</v>
      </c>
      <c r="H315" s="16" t="s">
        <v>514</v>
      </c>
      <c r="K315">
        <v>123.32355847502301</v>
      </c>
      <c r="L315" t="s">
        <v>550</v>
      </c>
      <c r="M315" t="s">
        <v>535</v>
      </c>
      <c r="Q315" t="s">
        <v>468</v>
      </c>
      <c r="R315" t="s">
        <v>4</v>
      </c>
      <c r="S315" t="s">
        <v>22</v>
      </c>
    </row>
    <row r="316" spans="1:19" x14ac:dyDescent="0.3">
      <c r="A316" s="2" t="s">
        <v>115</v>
      </c>
      <c r="B316" s="4" t="s">
        <v>355</v>
      </c>
      <c r="C316" s="3" t="s">
        <v>26</v>
      </c>
      <c r="D316" t="s">
        <v>542</v>
      </c>
      <c r="G316">
        <v>120</v>
      </c>
      <c r="H316" s="16" t="s">
        <v>514</v>
      </c>
      <c r="K316">
        <v>94.654550097295001</v>
      </c>
      <c r="L316" t="s">
        <v>550</v>
      </c>
      <c r="M316" t="s">
        <v>535</v>
      </c>
      <c r="Q316" t="s">
        <v>468</v>
      </c>
      <c r="R316" t="s">
        <v>4</v>
      </c>
      <c r="S316" t="s">
        <v>22</v>
      </c>
    </row>
    <row r="317" spans="1:19" x14ac:dyDescent="0.3">
      <c r="A317" s="2" t="s">
        <v>115</v>
      </c>
      <c r="B317" s="4" t="s">
        <v>355</v>
      </c>
      <c r="C317" s="3" t="s">
        <v>26</v>
      </c>
      <c r="D317" t="s">
        <v>542</v>
      </c>
      <c r="G317">
        <v>144</v>
      </c>
      <c r="H317" s="16" t="s">
        <v>514</v>
      </c>
      <c r="K317">
        <v>83.735757273248495</v>
      </c>
      <c r="L317" t="s">
        <v>550</v>
      </c>
      <c r="M317" t="s">
        <v>535</v>
      </c>
      <c r="Q317" t="s">
        <v>468</v>
      </c>
      <c r="R317" t="s">
        <v>4</v>
      </c>
      <c r="S317" t="s">
        <v>22</v>
      </c>
    </row>
    <row r="318" spans="1:19" x14ac:dyDescent="0.3">
      <c r="A318" s="2" t="s">
        <v>115</v>
      </c>
      <c r="B318" s="4" t="s">
        <v>355</v>
      </c>
      <c r="C318" s="3" t="s">
        <v>26</v>
      </c>
      <c r="D318" t="s">
        <v>542</v>
      </c>
      <c r="G318">
        <v>264</v>
      </c>
      <c r="H318" s="16" t="s">
        <v>514</v>
      </c>
      <c r="K318">
        <v>41.832037521920597</v>
      </c>
      <c r="L318" t="s">
        <v>550</v>
      </c>
      <c r="M318" t="s">
        <v>535</v>
      </c>
      <c r="Q318" t="s">
        <v>468</v>
      </c>
      <c r="R318" t="s">
        <v>4</v>
      </c>
      <c r="S318" t="s">
        <v>22</v>
      </c>
    </row>
    <row r="319" spans="1:19" x14ac:dyDescent="0.3">
      <c r="A319" s="2" t="s">
        <v>116</v>
      </c>
      <c r="B319" s="4" t="s">
        <v>356</v>
      </c>
      <c r="C319" s="3" t="s">
        <v>26</v>
      </c>
      <c r="D319" t="s">
        <v>542</v>
      </c>
      <c r="G319">
        <v>1</v>
      </c>
      <c r="H319" s="16" t="s">
        <v>514</v>
      </c>
      <c r="K319">
        <v>2842.6974523785102</v>
      </c>
      <c r="L319" t="s">
        <v>550</v>
      </c>
      <c r="M319" t="s">
        <v>535</v>
      </c>
      <c r="Q319" t="s">
        <v>468</v>
      </c>
      <c r="R319" t="s">
        <v>4</v>
      </c>
      <c r="S319" t="s">
        <v>22</v>
      </c>
    </row>
    <row r="320" spans="1:19" x14ac:dyDescent="0.3">
      <c r="A320" s="2" t="s">
        <v>116</v>
      </c>
      <c r="B320" s="4" t="s">
        <v>356</v>
      </c>
      <c r="C320" s="3" t="s">
        <v>26</v>
      </c>
      <c r="D320" t="s">
        <v>542</v>
      </c>
      <c r="G320">
        <v>4</v>
      </c>
      <c r="H320" s="16" t="s">
        <v>514</v>
      </c>
      <c r="K320">
        <v>4625.2942019450702</v>
      </c>
      <c r="L320" t="s">
        <v>550</v>
      </c>
      <c r="M320" t="s">
        <v>535</v>
      </c>
      <c r="Q320" t="s">
        <v>468</v>
      </c>
      <c r="R320" t="s">
        <v>4</v>
      </c>
      <c r="S320" t="s">
        <v>22</v>
      </c>
    </row>
    <row r="321" spans="1:19" x14ac:dyDescent="0.3">
      <c r="A321" s="2" t="s">
        <v>116</v>
      </c>
      <c r="B321" s="4" t="s">
        <v>356</v>
      </c>
      <c r="C321" s="3" t="s">
        <v>26</v>
      </c>
      <c r="D321" t="s">
        <v>542</v>
      </c>
      <c r="G321">
        <v>5</v>
      </c>
      <c r="H321" s="16" t="s">
        <v>514</v>
      </c>
      <c r="K321">
        <v>6800.2736600935696</v>
      </c>
      <c r="L321" t="s">
        <v>550</v>
      </c>
      <c r="M321" t="s">
        <v>535</v>
      </c>
      <c r="Q321" t="s">
        <v>468</v>
      </c>
      <c r="R321" t="s">
        <v>4</v>
      </c>
      <c r="S321" t="s">
        <v>22</v>
      </c>
    </row>
    <row r="322" spans="1:19" x14ac:dyDescent="0.3">
      <c r="A322" s="2" t="s">
        <v>116</v>
      </c>
      <c r="B322" s="4" t="s">
        <v>356</v>
      </c>
      <c r="C322" s="3" t="s">
        <v>26</v>
      </c>
      <c r="D322" t="s">
        <v>542</v>
      </c>
      <c r="G322">
        <v>6</v>
      </c>
      <c r="H322" s="16" t="s">
        <v>514</v>
      </c>
      <c r="K322">
        <v>5608.0081131066399</v>
      </c>
      <c r="L322" t="s">
        <v>550</v>
      </c>
      <c r="M322" t="s">
        <v>535</v>
      </c>
      <c r="Q322" t="s">
        <v>468</v>
      </c>
      <c r="R322" t="s">
        <v>4</v>
      </c>
      <c r="S322" t="s">
        <v>22</v>
      </c>
    </row>
    <row r="323" spans="1:19" x14ac:dyDescent="0.3">
      <c r="A323" s="2" t="s">
        <v>116</v>
      </c>
      <c r="B323" s="4" t="s">
        <v>356</v>
      </c>
      <c r="C323" s="3" t="s">
        <v>26</v>
      </c>
      <c r="D323" t="s">
        <v>542</v>
      </c>
      <c r="G323">
        <v>8</v>
      </c>
      <c r="H323" s="16" t="s">
        <v>514</v>
      </c>
      <c r="K323">
        <v>3775.4422631048101</v>
      </c>
      <c r="L323" t="s">
        <v>550</v>
      </c>
      <c r="M323" t="s">
        <v>535</v>
      </c>
      <c r="Q323" t="s">
        <v>468</v>
      </c>
      <c r="R323" t="s">
        <v>4</v>
      </c>
      <c r="S323" t="s">
        <v>22</v>
      </c>
    </row>
    <row r="324" spans="1:19" x14ac:dyDescent="0.3">
      <c r="A324" s="2" t="s">
        <v>116</v>
      </c>
      <c r="B324" s="4" t="s">
        <v>356</v>
      </c>
      <c r="C324" s="3" t="s">
        <v>26</v>
      </c>
      <c r="D324" t="s">
        <v>542</v>
      </c>
      <c r="G324">
        <v>12</v>
      </c>
      <c r="H324" s="16" t="s">
        <v>514</v>
      </c>
      <c r="K324">
        <v>2074.8994861809501</v>
      </c>
      <c r="L324" t="s">
        <v>550</v>
      </c>
      <c r="M324" t="s">
        <v>535</v>
      </c>
      <c r="Q324" t="s">
        <v>468</v>
      </c>
      <c r="R324" t="s">
        <v>4</v>
      </c>
      <c r="S324" t="s">
        <v>22</v>
      </c>
    </row>
    <row r="325" spans="1:19" x14ac:dyDescent="0.3">
      <c r="A325" s="2" t="s">
        <v>116</v>
      </c>
      <c r="B325" s="4" t="s">
        <v>356</v>
      </c>
      <c r="C325" s="3" t="s">
        <v>26</v>
      </c>
      <c r="D325" t="s">
        <v>542</v>
      </c>
      <c r="G325">
        <v>16</v>
      </c>
      <c r="H325" s="16" t="s">
        <v>514</v>
      </c>
      <c r="K325">
        <v>1693.67078924781</v>
      </c>
      <c r="L325" t="s">
        <v>550</v>
      </c>
      <c r="M325" t="s">
        <v>535</v>
      </c>
      <c r="Q325" t="s">
        <v>468</v>
      </c>
      <c r="R325" t="s">
        <v>4</v>
      </c>
      <c r="S325" t="s">
        <v>22</v>
      </c>
    </row>
    <row r="326" spans="1:19" x14ac:dyDescent="0.3">
      <c r="A326" s="2" t="s">
        <v>116</v>
      </c>
      <c r="B326" s="4" t="s">
        <v>356</v>
      </c>
      <c r="C326" s="3" t="s">
        <v>26</v>
      </c>
      <c r="D326" t="s">
        <v>542</v>
      </c>
      <c r="G326">
        <v>24</v>
      </c>
      <c r="H326" s="16" t="s">
        <v>514</v>
      </c>
      <c r="K326">
        <v>866.87980167310695</v>
      </c>
      <c r="L326" t="s">
        <v>550</v>
      </c>
      <c r="M326" t="s">
        <v>535</v>
      </c>
      <c r="Q326" t="s">
        <v>468</v>
      </c>
      <c r="R326" t="s">
        <v>4</v>
      </c>
      <c r="S326" t="s">
        <v>22</v>
      </c>
    </row>
    <row r="327" spans="1:19" x14ac:dyDescent="0.3">
      <c r="A327" s="2" t="s">
        <v>116</v>
      </c>
      <c r="B327" s="4" t="s">
        <v>356</v>
      </c>
      <c r="C327" s="3" t="s">
        <v>26</v>
      </c>
      <c r="D327" t="s">
        <v>542</v>
      </c>
      <c r="G327">
        <v>30</v>
      </c>
      <c r="H327" s="16" t="s">
        <v>514</v>
      </c>
      <c r="K327">
        <v>799.140396549255</v>
      </c>
      <c r="L327" t="s">
        <v>550</v>
      </c>
      <c r="M327" t="s">
        <v>535</v>
      </c>
      <c r="Q327" t="s">
        <v>468</v>
      </c>
      <c r="R327" t="s">
        <v>4</v>
      </c>
      <c r="S327" t="s">
        <v>22</v>
      </c>
    </row>
    <row r="328" spans="1:19" x14ac:dyDescent="0.3">
      <c r="A328" s="2" t="s">
        <v>116</v>
      </c>
      <c r="B328" s="4" t="s">
        <v>356</v>
      </c>
      <c r="C328" s="3" t="s">
        <v>26</v>
      </c>
      <c r="D328" t="s">
        <v>542</v>
      </c>
      <c r="G328">
        <v>36</v>
      </c>
      <c r="H328" s="16" t="s">
        <v>514</v>
      </c>
      <c r="K328">
        <v>589.35157615236005</v>
      </c>
      <c r="L328" t="s">
        <v>550</v>
      </c>
      <c r="M328" t="s">
        <v>535</v>
      </c>
      <c r="Q328" t="s">
        <v>468</v>
      </c>
      <c r="R328" t="s">
        <v>4</v>
      </c>
      <c r="S328" t="s">
        <v>22</v>
      </c>
    </row>
    <row r="329" spans="1:19" x14ac:dyDescent="0.3">
      <c r="A329" s="2" t="s">
        <v>116</v>
      </c>
      <c r="B329" s="4" t="s">
        <v>356</v>
      </c>
      <c r="C329" s="3" t="s">
        <v>26</v>
      </c>
      <c r="D329" t="s">
        <v>542</v>
      </c>
      <c r="G329">
        <v>48</v>
      </c>
      <c r="H329" s="16" t="s">
        <v>514</v>
      </c>
      <c r="K329">
        <v>447.972781867393</v>
      </c>
      <c r="L329" t="s">
        <v>550</v>
      </c>
      <c r="M329" t="s">
        <v>535</v>
      </c>
      <c r="Q329" t="s">
        <v>468</v>
      </c>
      <c r="R329" t="s">
        <v>4</v>
      </c>
      <c r="S329" t="s">
        <v>22</v>
      </c>
    </row>
    <row r="330" spans="1:19" x14ac:dyDescent="0.3">
      <c r="A330" s="2" t="s">
        <v>116</v>
      </c>
      <c r="B330" s="4" t="s">
        <v>356</v>
      </c>
      <c r="C330" s="3" t="s">
        <v>26</v>
      </c>
      <c r="D330" t="s">
        <v>542</v>
      </c>
      <c r="G330">
        <v>72</v>
      </c>
      <c r="H330" s="16" t="s">
        <v>514</v>
      </c>
      <c r="K330">
        <v>277.86641788151098</v>
      </c>
      <c r="L330" t="s">
        <v>550</v>
      </c>
      <c r="M330" t="s">
        <v>535</v>
      </c>
      <c r="Q330" t="s">
        <v>468</v>
      </c>
      <c r="R330" t="s">
        <v>4</v>
      </c>
      <c r="S330" t="s">
        <v>22</v>
      </c>
    </row>
    <row r="331" spans="1:19" x14ac:dyDescent="0.3">
      <c r="A331" s="2" t="s">
        <v>116</v>
      </c>
      <c r="B331" s="4" t="s">
        <v>356</v>
      </c>
      <c r="C331" s="3" t="s">
        <v>26</v>
      </c>
      <c r="D331" t="s">
        <v>542</v>
      </c>
      <c r="G331">
        <v>96</v>
      </c>
      <c r="H331" s="16" t="s">
        <v>514</v>
      </c>
      <c r="K331">
        <v>208.98613505697099</v>
      </c>
      <c r="L331" t="s">
        <v>550</v>
      </c>
      <c r="M331" t="s">
        <v>535</v>
      </c>
      <c r="Q331" t="s">
        <v>468</v>
      </c>
      <c r="R331" t="s">
        <v>4</v>
      </c>
      <c r="S331" t="s">
        <v>22</v>
      </c>
    </row>
    <row r="332" spans="1:19" x14ac:dyDescent="0.3">
      <c r="A332" s="2" t="s">
        <v>116</v>
      </c>
      <c r="B332" s="4" t="s">
        <v>356</v>
      </c>
      <c r="C332" s="3" t="s">
        <v>26</v>
      </c>
      <c r="D332" t="s">
        <v>542</v>
      </c>
      <c r="G332">
        <v>120</v>
      </c>
      <c r="H332" s="16" t="s">
        <v>514</v>
      </c>
      <c r="K332">
        <v>150.93316092960401</v>
      </c>
      <c r="L332" t="s">
        <v>550</v>
      </c>
      <c r="M332" t="s">
        <v>535</v>
      </c>
      <c r="Q332" t="s">
        <v>468</v>
      </c>
      <c r="R332" t="s">
        <v>4</v>
      </c>
      <c r="S332" t="s">
        <v>22</v>
      </c>
    </row>
    <row r="333" spans="1:19" x14ac:dyDescent="0.3">
      <c r="A333" s="2" t="s">
        <v>116</v>
      </c>
      <c r="B333" s="4" t="s">
        <v>356</v>
      </c>
      <c r="C333" s="3" t="s">
        <v>26</v>
      </c>
      <c r="D333" t="s">
        <v>542</v>
      </c>
      <c r="G333">
        <v>144</v>
      </c>
      <c r="H333" s="16" t="s">
        <v>514</v>
      </c>
      <c r="K333">
        <v>141.90112615932199</v>
      </c>
      <c r="L333" t="s">
        <v>550</v>
      </c>
      <c r="M333" t="s">
        <v>535</v>
      </c>
      <c r="Q333" t="s">
        <v>468</v>
      </c>
      <c r="R333" t="s">
        <v>4</v>
      </c>
      <c r="S333" t="s">
        <v>22</v>
      </c>
    </row>
    <row r="334" spans="1:19" x14ac:dyDescent="0.3">
      <c r="A334" s="2" t="s">
        <v>116</v>
      </c>
      <c r="B334" s="4" t="s">
        <v>356</v>
      </c>
      <c r="C334" s="3" t="s">
        <v>26</v>
      </c>
      <c r="D334" t="s">
        <v>542</v>
      </c>
      <c r="G334">
        <v>264</v>
      </c>
      <c r="H334" s="16" t="s">
        <v>514</v>
      </c>
      <c r="K334">
        <v>89.517708695363197</v>
      </c>
      <c r="L334" t="s">
        <v>550</v>
      </c>
      <c r="M334" t="s">
        <v>535</v>
      </c>
      <c r="Q334" t="s">
        <v>468</v>
      </c>
      <c r="R334" t="s">
        <v>4</v>
      </c>
      <c r="S334" t="s">
        <v>22</v>
      </c>
    </row>
    <row r="335" spans="1:19" x14ac:dyDescent="0.3">
      <c r="A335" s="2" t="s">
        <v>117</v>
      </c>
      <c r="B335" s="4" t="s">
        <v>359</v>
      </c>
      <c r="C335" s="3" t="s">
        <v>28</v>
      </c>
      <c r="D335" t="s">
        <v>557</v>
      </c>
      <c r="G335">
        <v>3</v>
      </c>
      <c r="H335" s="16" t="s">
        <v>514</v>
      </c>
      <c r="K335">
        <v>170.10274202082201</v>
      </c>
      <c r="L335" t="s">
        <v>550</v>
      </c>
      <c r="M335" t="s">
        <v>535</v>
      </c>
      <c r="Q335" t="s">
        <v>468</v>
      </c>
      <c r="R335" t="s">
        <v>4</v>
      </c>
      <c r="S335" t="s">
        <v>22</v>
      </c>
    </row>
    <row r="336" spans="1:19" x14ac:dyDescent="0.3">
      <c r="A336" s="2" t="s">
        <v>117</v>
      </c>
      <c r="B336" s="4" t="s">
        <v>359</v>
      </c>
      <c r="C336" s="3" t="s">
        <v>28</v>
      </c>
      <c r="D336" t="s">
        <v>557</v>
      </c>
      <c r="G336">
        <v>4</v>
      </c>
      <c r="H336" s="16" t="s">
        <v>514</v>
      </c>
      <c r="K336">
        <v>220.62367545860201</v>
      </c>
      <c r="L336" t="s">
        <v>550</v>
      </c>
      <c r="M336" t="s">
        <v>535</v>
      </c>
      <c r="Q336" t="s">
        <v>468</v>
      </c>
      <c r="R336" t="s">
        <v>4</v>
      </c>
      <c r="S336" t="s">
        <v>22</v>
      </c>
    </row>
    <row r="337" spans="1:19" x14ac:dyDescent="0.3">
      <c r="A337" s="2" t="s">
        <v>117</v>
      </c>
      <c r="B337" s="4" t="s">
        <v>359</v>
      </c>
      <c r="C337" s="3" t="s">
        <v>28</v>
      </c>
      <c r="D337" t="s">
        <v>557</v>
      </c>
      <c r="G337">
        <v>5</v>
      </c>
      <c r="H337" s="16" t="s">
        <v>514</v>
      </c>
      <c r="K337">
        <v>421.25765814250201</v>
      </c>
      <c r="L337" t="s">
        <v>550</v>
      </c>
      <c r="M337" t="s">
        <v>535</v>
      </c>
      <c r="Q337" t="s">
        <v>468</v>
      </c>
      <c r="R337" t="s">
        <v>4</v>
      </c>
      <c r="S337" t="s">
        <v>22</v>
      </c>
    </row>
    <row r="338" spans="1:19" x14ac:dyDescent="0.3">
      <c r="A338" s="2" t="s">
        <v>117</v>
      </c>
      <c r="B338" s="4" t="s">
        <v>359</v>
      </c>
      <c r="C338" s="3" t="s">
        <v>28</v>
      </c>
      <c r="D338" t="s">
        <v>557</v>
      </c>
      <c r="G338">
        <v>6</v>
      </c>
      <c r="H338" s="16" t="s">
        <v>514</v>
      </c>
      <c r="K338">
        <v>344.88884821480599</v>
      </c>
      <c r="L338" t="s">
        <v>550</v>
      </c>
      <c r="M338" t="s">
        <v>535</v>
      </c>
      <c r="Q338" t="s">
        <v>468</v>
      </c>
      <c r="R338" t="s">
        <v>4</v>
      </c>
      <c r="S338" t="s">
        <v>22</v>
      </c>
    </row>
    <row r="339" spans="1:19" x14ac:dyDescent="0.3">
      <c r="A339" s="2" t="s">
        <v>117</v>
      </c>
      <c r="B339" s="4" t="s">
        <v>359</v>
      </c>
      <c r="C339" s="3" t="s">
        <v>28</v>
      </c>
      <c r="D339" t="s">
        <v>557</v>
      </c>
      <c r="G339">
        <v>8</v>
      </c>
      <c r="H339" s="16" t="s">
        <v>514</v>
      </c>
      <c r="K339">
        <v>252.11100199808101</v>
      </c>
      <c r="L339" t="s">
        <v>550</v>
      </c>
      <c r="M339" t="s">
        <v>535</v>
      </c>
      <c r="Q339" t="s">
        <v>468</v>
      </c>
      <c r="R339" t="s">
        <v>4</v>
      </c>
      <c r="S339" t="s">
        <v>22</v>
      </c>
    </row>
    <row r="340" spans="1:19" x14ac:dyDescent="0.3">
      <c r="A340" s="2" t="s">
        <v>117</v>
      </c>
      <c r="B340" s="4" t="s">
        <v>359</v>
      </c>
      <c r="C340" s="3" t="s">
        <v>28</v>
      </c>
      <c r="D340" t="s">
        <v>557</v>
      </c>
      <c r="G340">
        <v>12</v>
      </c>
      <c r="H340" s="16" t="s">
        <v>514</v>
      </c>
      <c r="K340">
        <v>158.09201741022</v>
      </c>
      <c r="L340" t="s">
        <v>550</v>
      </c>
      <c r="M340" t="s">
        <v>535</v>
      </c>
      <c r="Q340" t="s">
        <v>468</v>
      </c>
      <c r="R340" t="s">
        <v>4</v>
      </c>
      <c r="S340" t="s">
        <v>22</v>
      </c>
    </row>
    <row r="341" spans="1:19" x14ac:dyDescent="0.3">
      <c r="A341" s="2" t="s">
        <v>117</v>
      </c>
      <c r="B341" s="4" t="s">
        <v>359</v>
      </c>
      <c r="C341" s="3" t="s">
        <v>28</v>
      </c>
      <c r="D341" t="s">
        <v>557</v>
      </c>
      <c r="G341">
        <v>24</v>
      </c>
      <c r="H341" s="16" t="s">
        <v>514</v>
      </c>
      <c r="K341">
        <v>64.706510895011803</v>
      </c>
      <c r="L341" t="s">
        <v>550</v>
      </c>
      <c r="M341" t="s">
        <v>535</v>
      </c>
      <c r="Q341" t="s">
        <v>468</v>
      </c>
      <c r="R341" t="s">
        <v>4</v>
      </c>
      <c r="S341" t="s">
        <v>22</v>
      </c>
    </row>
    <row r="342" spans="1:19" x14ac:dyDescent="0.3">
      <c r="A342" s="2" t="s">
        <v>117</v>
      </c>
      <c r="B342" s="4" t="s">
        <v>359</v>
      </c>
      <c r="C342" s="3" t="s">
        <v>28</v>
      </c>
      <c r="D342" t="s">
        <v>557</v>
      </c>
      <c r="G342">
        <v>29</v>
      </c>
      <c r="H342" s="16" t="s">
        <v>514</v>
      </c>
      <c r="K342">
        <v>383.83635432731103</v>
      </c>
      <c r="L342" t="s">
        <v>550</v>
      </c>
      <c r="M342" t="s">
        <v>535</v>
      </c>
      <c r="Q342" t="s">
        <v>468</v>
      </c>
      <c r="R342" t="s">
        <v>4</v>
      </c>
      <c r="S342" t="s">
        <v>22</v>
      </c>
    </row>
    <row r="343" spans="1:19" x14ac:dyDescent="0.3">
      <c r="A343" s="2" t="s">
        <v>117</v>
      </c>
      <c r="B343" s="4" t="s">
        <v>359</v>
      </c>
      <c r="C343" s="3" t="s">
        <v>28</v>
      </c>
      <c r="D343" t="s">
        <v>557</v>
      </c>
      <c r="G343">
        <v>48</v>
      </c>
      <c r="H343" s="16" t="s">
        <v>514</v>
      </c>
      <c r="K343">
        <v>98.519103900492098</v>
      </c>
      <c r="L343" t="s">
        <v>550</v>
      </c>
      <c r="M343" t="s">
        <v>535</v>
      </c>
      <c r="Q343" t="s">
        <v>468</v>
      </c>
      <c r="R343" t="s">
        <v>4</v>
      </c>
      <c r="S343" t="s">
        <v>22</v>
      </c>
    </row>
    <row r="344" spans="1:19" x14ac:dyDescent="0.3">
      <c r="A344" s="2" t="s">
        <v>117</v>
      </c>
      <c r="B344" s="4" t="s">
        <v>359</v>
      </c>
      <c r="C344" s="3" t="s">
        <v>28</v>
      </c>
      <c r="D344" t="s">
        <v>557</v>
      </c>
      <c r="G344">
        <v>53</v>
      </c>
      <c r="H344" s="16" t="s">
        <v>514</v>
      </c>
      <c r="K344">
        <v>389.11012931310302</v>
      </c>
      <c r="L344" t="s">
        <v>550</v>
      </c>
      <c r="M344" t="s">
        <v>535</v>
      </c>
      <c r="Q344" t="s">
        <v>468</v>
      </c>
      <c r="R344" t="s">
        <v>4</v>
      </c>
      <c r="S344" t="s">
        <v>22</v>
      </c>
    </row>
    <row r="345" spans="1:19" x14ac:dyDescent="0.3">
      <c r="A345" s="2" t="s">
        <v>117</v>
      </c>
      <c r="B345" s="4" t="s">
        <v>359</v>
      </c>
      <c r="C345" s="3" t="s">
        <v>28</v>
      </c>
      <c r="D345" t="s">
        <v>557</v>
      </c>
      <c r="G345">
        <v>72</v>
      </c>
      <c r="H345" s="16" t="s">
        <v>514</v>
      </c>
      <c r="K345">
        <v>106.76088972831</v>
      </c>
      <c r="L345" t="s">
        <v>550</v>
      </c>
      <c r="M345" t="s">
        <v>535</v>
      </c>
      <c r="Q345" t="s">
        <v>468</v>
      </c>
      <c r="R345" t="s">
        <v>4</v>
      </c>
      <c r="S345" t="s">
        <v>22</v>
      </c>
    </row>
    <row r="346" spans="1:19" x14ac:dyDescent="0.3">
      <c r="A346" s="2" t="s">
        <v>117</v>
      </c>
      <c r="B346" s="4" t="s">
        <v>359</v>
      </c>
      <c r="C346" s="3" t="s">
        <v>28</v>
      </c>
      <c r="D346" t="s">
        <v>557</v>
      </c>
      <c r="G346">
        <v>77</v>
      </c>
      <c r="H346" s="16" t="s">
        <v>514</v>
      </c>
      <c r="K346">
        <v>453.75229376834199</v>
      </c>
      <c r="L346" t="s">
        <v>550</v>
      </c>
      <c r="M346" t="s">
        <v>535</v>
      </c>
      <c r="Q346" t="s">
        <v>468</v>
      </c>
      <c r="R346" t="s">
        <v>4</v>
      </c>
      <c r="S346" t="s">
        <v>22</v>
      </c>
    </row>
    <row r="347" spans="1:19" x14ac:dyDescent="0.3">
      <c r="A347" s="2" t="s">
        <v>117</v>
      </c>
      <c r="B347" s="4" t="s">
        <v>359</v>
      </c>
      <c r="C347" s="3" t="s">
        <v>28</v>
      </c>
      <c r="D347" t="s">
        <v>557</v>
      </c>
      <c r="G347">
        <v>96</v>
      </c>
      <c r="H347" s="16" t="s">
        <v>514</v>
      </c>
      <c r="K347">
        <v>119.612395257534</v>
      </c>
      <c r="L347" t="s">
        <v>550</v>
      </c>
      <c r="M347" t="s">
        <v>535</v>
      </c>
      <c r="Q347" t="s">
        <v>468</v>
      </c>
      <c r="R347" t="s">
        <v>4</v>
      </c>
      <c r="S347" t="s">
        <v>22</v>
      </c>
    </row>
    <row r="348" spans="1:19" x14ac:dyDescent="0.3">
      <c r="A348" s="2" t="s">
        <v>117</v>
      </c>
      <c r="B348" s="4" t="s">
        <v>359</v>
      </c>
      <c r="C348" s="3" t="s">
        <v>28</v>
      </c>
      <c r="D348" t="s">
        <v>557</v>
      </c>
      <c r="G348">
        <v>101</v>
      </c>
      <c r="H348" s="16" t="s">
        <v>514</v>
      </c>
      <c r="K348">
        <v>488.43820189608601</v>
      </c>
      <c r="L348" t="s">
        <v>550</v>
      </c>
      <c r="M348" t="s">
        <v>535</v>
      </c>
      <c r="Q348" t="s">
        <v>468</v>
      </c>
      <c r="R348" t="s">
        <v>4</v>
      </c>
      <c r="S348" t="s">
        <v>22</v>
      </c>
    </row>
    <row r="349" spans="1:19" x14ac:dyDescent="0.3">
      <c r="A349" s="2" t="s">
        <v>117</v>
      </c>
      <c r="B349" s="4" t="s">
        <v>359</v>
      </c>
      <c r="C349" s="3" t="s">
        <v>28</v>
      </c>
      <c r="D349" t="s">
        <v>557</v>
      </c>
      <c r="G349">
        <v>120</v>
      </c>
      <c r="H349" s="16" t="s">
        <v>514</v>
      </c>
      <c r="K349">
        <v>124.533708740667</v>
      </c>
      <c r="L349" t="s">
        <v>550</v>
      </c>
      <c r="M349" t="s">
        <v>535</v>
      </c>
      <c r="Q349" t="s">
        <v>468</v>
      </c>
      <c r="R349" t="s">
        <v>4</v>
      </c>
      <c r="S349" t="s">
        <v>22</v>
      </c>
    </row>
    <row r="350" spans="1:19" x14ac:dyDescent="0.3">
      <c r="A350" s="2" t="s">
        <v>117</v>
      </c>
      <c r="B350" s="4" t="s">
        <v>359</v>
      </c>
      <c r="C350" s="3" t="s">
        <v>28</v>
      </c>
      <c r="D350" t="s">
        <v>557</v>
      </c>
      <c r="G350">
        <v>125</v>
      </c>
      <c r="H350" s="16" t="s">
        <v>514</v>
      </c>
      <c r="K350">
        <v>419.12749875862301</v>
      </c>
      <c r="L350" t="s">
        <v>550</v>
      </c>
      <c r="M350" t="s">
        <v>535</v>
      </c>
      <c r="Q350" t="s">
        <v>468</v>
      </c>
      <c r="R350" t="s">
        <v>4</v>
      </c>
      <c r="S350" t="s">
        <v>22</v>
      </c>
    </row>
    <row r="351" spans="1:19" x14ac:dyDescent="0.3">
      <c r="A351" s="2" t="s">
        <v>117</v>
      </c>
      <c r="B351" s="4" t="s">
        <v>359</v>
      </c>
      <c r="C351" s="3" t="s">
        <v>28</v>
      </c>
      <c r="D351" t="s">
        <v>557</v>
      </c>
      <c r="G351">
        <v>144</v>
      </c>
      <c r="H351" s="16" t="s">
        <v>514</v>
      </c>
      <c r="K351">
        <v>125.40691757908</v>
      </c>
      <c r="L351" t="s">
        <v>550</v>
      </c>
      <c r="M351" t="s">
        <v>535</v>
      </c>
      <c r="Q351" t="s">
        <v>468</v>
      </c>
      <c r="R351" t="s">
        <v>4</v>
      </c>
      <c r="S351" t="s">
        <v>22</v>
      </c>
    </row>
    <row r="352" spans="1:19" x14ac:dyDescent="0.3">
      <c r="A352" s="2" t="s">
        <v>117</v>
      </c>
      <c r="B352" s="4" t="s">
        <v>359</v>
      </c>
      <c r="C352" s="3" t="s">
        <v>28</v>
      </c>
      <c r="D352" t="s">
        <v>557</v>
      </c>
      <c r="G352">
        <v>149</v>
      </c>
      <c r="H352" s="16" t="s">
        <v>514</v>
      </c>
      <c r="K352">
        <v>488.74763432343099</v>
      </c>
      <c r="L352" t="s">
        <v>550</v>
      </c>
      <c r="M352" t="s">
        <v>535</v>
      </c>
      <c r="Q352" t="s">
        <v>468</v>
      </c>
      <c r="R352" t="s">
        <v>4</v>
      </c>
      <c r="S352" t="s">
        <v>22</v>
      </c>
    </row>
    <row r="353" spans="1:19" x14ac:dyDescent="0.3">
      <c r="A353" s="2" t="s">
        <v>117</v>
      </c>
      <c r="B353" s="4" t="s">
        <v>359</v>
      </c>
      <c r="C353" s="3" t="s">
        <v>28</v>
      </c>
      <c r="D353" t="s">
        <v>557</v>
      </c>
      <c r="G353">
        <v>168</v>
      </c>
      <c r="H353" s="16" t="s">
        <v>514</v>
      </c>
      <c r="K353">
        <v>130.56937031823699</v>
      </c>
      <c r="L353" t="s">
        <v>550</v>
      </c>
      <c r="M353" t="s">
        <v>535</v>
      </c>
      <c r="Q353" t="s">
        <v>468</v>
      </c>
      <c r="R353" t="s">
        <v>4</v>
      </c>
      <c r="S353" t="s">
        <v>22</v>
      </c>
    </row>
    <row r="354" spans="1:19" x14ac:dyDescent="0.3">
      <c r="A354" s="2" t="s">
        <v>117</v>
      </c>
      <c r="B354" s="4" t="s">
        <v>359</v>
      </c>
      <c r="C354" s="3" t="s">
        <v>28</v>
      </c>
      <c r="D354" t="s">
        <v>557</v>
      </c>
      <c r="G354">
        <v>173</v>
      </c>
      <c r="H354" s="16" t="s">
        <v>514</v>
      </c>
      <c r="K354">
        <v>472.874643731172</v>
      </c>
      <c r="L354" t="s">
        <v>550</v>
      </c>
      <c r="M354" t="s">
        <v>535</v>
      </c>
      <c r="Q354" t="s">
        <v>468</v>
      </c>
      <c r="R354" t="s">
        <v>4</v>
      </c>
      <c r="S354" t="s">
        <v>22</v>
      </c>
    </row>
    <row r="355" spans="1:19" x14ac:dyDescent="0.3">
      <c r="A355" s="2" t="s">
        <v>117</v>
      </c>
      <c r="B355" s="4" t="s">
        <v>359</v>
      </c>
      <c r="C355" s="3" t="s">
        <v>28</v>
      </c>
      <c r="D355" t="s">
        <v>557</v>
      </c>
      <c r="G355">
        <v>192</v>
      </c>
      <c r="H355" s="16" t="s">
        <v>514</v>
      </c>
      <c r="K355">
        <v>135.941495851279</v>
      </c>
      <c r="L355" t="s">
        <v>550</v>
      </c>
      <c r="M355" t="s">
        <v>535</v>
      </c>
      <c r="Q355" t="s">
        <v>468</v>
      </c>
      <c r="R355" t="s">
        <v>4</v>
      </c>
      <c r="S355" t="s">
        <v>22</v>
      </c>
    </row>
    <row r="356" spans="1:19" x14ac:dyDescent="0.3">
      <c r="A356" s="2" t="s">
        <v>117</v>
      </c>
      <c r="B356" s="4" t="s">
        <v>359</v>
      </c>
      <c r="C356" s="3" t="s">
        <v>28</v>
      </c>
      <c r="D356" t="s">
        <v>557</v>
      </c>
      <c r="G356">
        <v>197</v>
      </c>
      <c r="H356" s="16" t="s">
        <v>514</v>
      </c>
      <c r="K356">
        <v>454.47942730790101</v>
      </c>
      <c r="L356" t="s">
        <v>550</v>
      </c>
      <c r="M356" t="s">
        <v>535</v>
      </c>
      <c r="Q356" t="s">
        <v>468</v>
      </c>
      <c r="R356" t="s">
        <v>4</v>
      </c>
      <c r="S356" t="s">
        <v>22</v>
      </c>
    </row>
    <row r="357" spans="1:19" x14ac:dyDescent="0.3">
      <c r="A357" s="2" t="s">
        <v>117</v>
      </c>
      <c r="B357" s="4" t="s">
        <v>359</v>
      </c>
      <c r="C357" s="3" t="s">
        <v>28</v>
      </c>
      <c r="D357" t="s">
        <v>557</v>
      </c>
      <c r="G357">
        <v>216</v>
      </c>
      <c r="H357" s="16" t="s">
        <v>514</v>
      </c>
      <c r="K357">
        <v>140.59407783433301</v>
      </c>
      <c r="L357" t="s">
        <v>550</v>
      </c>
      <c r="M357" t="s">
        <v>535</v>
      </c>
      <c r="Q357" t="s">
        <v>468</v>
      </c>
      <c r="R357" t="s">
        <v>4</v>
      </c>
      <c r="S357" t="s">
        <v>22</v>
      </c>
    </row>
    <row r="358" spans="1:19" x14ac:dyDescent="0.3">
      <c r="A358" s="2" t="s">
        <v>117</v>
      </c>
      <c r="B358" s="4" t="s">
        <v>359</v>
      </c>
      <c r="C358" s="3" t="s">
        <v>28</v>
      </c>
      <c r="D358" t="s">
        <v>557</v>
      </c>
      <c r="G358">
        <f>G356+24</f>
        <v>221</v>
      </c>
      <c r="H358" s="16" t="s">
        <v>514</v>
      </c>
      <c r="K358">
        <v>529.97177613804695</v>
      </c>
      <c r="L358" t="s">
        <v>550</v>
      </c>
      <c r="M358" t="s">
        <v>535</v>
      </c>
      <c r="Q358" t="s">
        <v>468</v>
      </c>
      <c r="R358" t="s">
        <v>4</v>
      </c>
      <c r="S358" t="s">
        <v>22</v>
      </c>
    </row>
    <row r="359" spans="1:19" x14ac:dyDescent="0.3">
      <c r="A359" s="2" t="s">
        <v>117</v>
      </c>
      <c r="B359" s="4" t="s">
        <v>359</v>
      </c>
      <c r="C359" s="3" t="s">
        <v>28</v>
      </c>
      <c r="D359" t="s">
        <v>557</v>
      </c>
      <c r="G359">
        <f>G357+24</f>
        <v>240</v>
      </c>
      <c r="H359" s="16" t="s">
        <v>514</v>
      </c>
      <c r="K359">
        <v>171.78126703167399</v>
      </c>
      <c r="L359" t="s">
        <v>550</v>
      </c>
      <c r="M359" t="s">
        <v>535</v>
      </c>
      <c r="Q359" t="s">
        <v>468</v>
      </c>
      <c r="R359" t="s">
        <v>4</v>
      </c>
      <c r="S359" t="s">
        <v>22</v>
      </c>
    </row>
    <row r="360" spans="1:19" x14ac:dyDescent="0.3">
      <c r="A360" s="2" t="s">
        <v>117</v>
      </c>
      <c r="B360" s="4" t="s">
        <v>359</v>
      </c>
      <c r="C360" s="3" t="s">
        <v>28</v>
      </c>
      <c r="D360" t="s">
        <v>557</v>
      </c>
      <c r="G360">
        <f t="shared" ref="G360:G365" si="14">G358+24</f>
        <v>245</v>
      </c>
      <c r="H360" s="16" t="s">
        <v>514</v>
      </c>
      <c r="K360">
        <v>533.68465802875096</v>
      </c>
      <c r="L360" t="s">
        <v>550</v>
      </c>
      <c r="M360" t="s">
        <v>535</v>
      </c>
      <c r="Q360" t="s">
        <v>468</v>
      </c>
      <c r="R360" t="s">
        <v>4</v>
      </c>
      <c r="S360" t="s">
        <v>22</v>
      </c>
    </row>
    <row r="361" spans="1:19" x14ac:dyDescent="0.3">
      <c r="A361" s="2" t="s">
        <v>117</v>
      </c>
      <c r="B361" s="4" t="s">
        <v>359</v>
      </c>
      <c r="C361" s="3" t="s">
        <v>28</v>
      </c>
      <c r="D361" t="s">
        <v>557</v>
      </c>
      <c r="G361">
        <f t="shared" si="14"/>
        <v>264</v>
      </c>
      <c r="H361" s="16" t="s">
        <v>514</v>
      </c>
      <c r="K361">
        <v>171.83875133728299</v>
      </c>
      <c r="L361" t="s">
        <v>550</v>
      </c>
      <c r="M361" t="s">
        <v>535</v>
      </c>
      <c r="Q361" t="s">
        <v>468</v>
      </c>
      <c r="R361" t="s">
        <v>4</v>
      </c>
      <c r="S361" t="s">
        <v>22</v>
      </c>
    </row>
    <row r="362" spans="1:19" x14ac:dyDescent="0.3">
      <c r="A362" s="2" t="s">
        <v>117</v>
      </c>
      <c r="B362" s="4" t="s">
        <v>359</v>
      </c>
      <c r="C362" s="3" t="s">
        <v>28</v>
      </c>
      <c r="D362" t="s">
        <v>557</v>
      </c>
      <c r="G362">
        <f t="shared" si="14"/>
        <v>269</v>
      </c>
      <c r="H362" s="16" t="s">
        <v>514</v>
      </c>
      <c r="K362">
        <v>574.48078682368896</v>
      </c>
      <c r="L362" t="s">
        <v>550</v>
      </c>
      <c r="M362" t="s">
        <v>535</v>
      </c>
      <c r="Q362" t="s">
        <v>468</v>
      </c>
      <c r="R362" t="s">
        <v>4</v>
      </c>
      <c r="S362" t="s">
        <v>22</v>
      </c>
    </row>
    <row r="363" spans="1:19" x14ac:dyDescent="0.3">
      <c r="A363" s="2" t="s">
        <v>117</v>
      </c>
      <c r="B363" s="4" t="s">
        <v>359</v>
      </c>
      <c r="C363" s="3" t="s">
        <v>28</v>
      </c>
      <c r="D363" t="s">
        <v>557</v>
      </c>
      <c r="G363">
        <f t="shared" si="14"/>
        <v>288</v>
      </c>
      <c r="H363" s="16" t="s">
        <v>514</v>
      </c>
      <c r="K363">
        <v>171.89317384459301</v>
      </c>
      <c r="L363" t="s">
        <v>550</v>
      </c>
      <c r="M363" t="s">
        <v>535</v>
      </c>
      <c r="Q363" t="s">
        <v>468</v>
      </c>
      <c r="R363" t="s">
        <v>4</v>
      </c>
      <c r="S363" t="s">
        <v>22</v>
      </c>
    </row>
    <row r="364" spans="1:19" x14ac:dyDescent="0.3">
      <c r="A364" s="2" t="s">
        <v>117</v>
      </c>
      <c r="B364" s="4" t="s">
        <v>359</v>
      </c>
      <c r="C364" s="3" t="s">
        <v>28</v>
      </c>
      <c r="D364" t="s">
        <v>557</v>
      </c>
      <c r="G364">
        <f t="shared" si="14"/>
        <v>293</v>
      </c>
      <c r="H364" s="16" t="s">
        <v>514</v>
      </c>
      <c r="K364">
        <v>552.13465644185806</v>
      </c>
      <c r="L364" t="s">
        <v>550</v>
      </c>
      <c r="M364" t="s">
        <v>535</v>
      </c>
      <c r="Q364" t="s">
        <v>468</v>
      </c>
      <c r="R364" t="s">
        <v>4</v>
      </c>
      <c r="S364" t="s">
        <v>22</v>
      </c>
    </row>
    <row r="365" spans="1:19" x14ac:dyDescent="0.3">
      <c r="A365" s="2" t="s">
        <v>117</v>
      </c>
      <c r="B365" s="4" t="s">
        <v>359</v>
      </c>
      <c r="C365" s="3" t="s">
        <v>28</v>
      </c>
      <c r="D365" t="s">
        <v>557</v>
      </c>
      <c r="G365">
        <f t="shared" si="14"/>
        <v>312</v>
      </c>
      <c r="H365" s="16" t="s">
        <v>514</v>
      </c>
      <c r="K365">
        <v>171.946586263347</v>
      </c>
      <c r="L365" t="s">
        <v>550</v>
      </c>
      <c r="M365" t="s">
        <v>535</v>
      </c>
      <c r="Q365" t="s">
        <v>468</v>
      </c>
      <c r="R365" t="s">
        <v>4</v>
      </c>
      <c r="S365" t="s">
        <v>22</v>
      </c>
    </row>
    <row r="366" spans="1:19" x14ac:dyDescent="0.3">
      <c r="A366" s="2" t="s">
        <v>117</v>
      </c>
      <c r="B366" s="4" t="s">
        <v>359</v>
      </c>
      <c r="C366" s="3" t="s">
        <v>28</v>
      </c>
      <c r="D366" t="s">
        <v>557</v>
      </c>
      <c r="G366">
        <v>314</v>
      </c>
      <c r="H366" s="16" t="s">
        <v>514</v>
      </c>
      <c r="K366">
        <v>332.72837319729501</v>
      </c>
      <c r="L366" t="s">
        <v>550</v>
      </c>
      <c r="M366" t="s">
        <v>535</v>
      </c>
      <c r="Q366" t="s">
        <v>468</v>
      </c>
      <c r="R366" t="s">
        <v>4</v>
      </c>
      <c r="S366" t="s">
        <v>22</v>
      </c>
    </row>
    <row r="367" spans="1:19" x14ac:dyDescent="0.3">
      <c r="A367" s="2" t="s">
        <v>117</v>
      </c>
      <c r="B367" s="4" t="s">
        <v>359</v>
      </c>
      <c r="C367" s="3" t="s">
        <v>28</v>
      </c>
      <c r="D367" t="s">
        <v>557</v>
      </c>
      <c r="G367">
        <v>318</v>
      </c>
      <c r="H367" s="16" t="s">
        <v>514</v>
      </c>
      <c r="K367">
        <v>582.57927419996304</v>
      </c>
      <c r="L367" t="s">
        <v>550</v>
      </c>
      <c r="M367" t="s">
        <v>535</v>
      </c>
      <c r="Q367" t="s">
        <v>468</v>
      </c>
      <c r="R367" t="s">
        <v>4</v>
      </c>
      <c r="S367" t="s">
        <v>22</v>
      </c>
    </row>
    <row r="368" spans="1:19" x14ac:dyDescent="0.3">
      <c r="A368" s="2" t="s">
        <v>117</v>
      </c>
      <c r="B368" s="4" t="s">
        <v>359</v>
      </c>
      <c r="C368" s="3" t="s">
        <v>28</v>
      </c>
      <c r="D368" t="s">
        <v>557</v>
      </c>
      <c r="G368">
        <v>319</v>
      </c>
      <c r="H368" s="16" t="s">
        <v>514</v>
      </c>
      <c r="K368">
        <v>509.850197682594</v>
      </c>
      <c r="L368" t="s">
        <v>550</v>
      </c>
      <c r="M368" t="s">
        <v>535</v>
      </c>
      <c r="Q368" t="s">
        <v>468</v>
      </c>
      <c r="R368" t="s">
        <v>4</v>
      </c>
      <c r="S368" t="s">
        <v>22</v>
      </c>
    </row>
    <row r="369" spans="1:19" x14ac:dyDescent="0.3">
      <c r="A369" s="2" t="s">
        <v>117</v>
      </c>
      <c r="B369" s="4" t="s">
        <v>359</v>
      </c>
      <c r="C369" s="3" t="s">
        <v>28</v>
      </c>
      <c r="D369" t="s">
        <v>557</v>
      </c>
      <c r="G369">
        <v>320</v>
      </c>
      <c r="H369" s="16" t="s">
        <v>514</v>
      </c>
      <c r="K369">
        <v>401.06041977699402</v>
      </c>
      <c r="L369" t="s">
        <v>550</v>
      </c>
      <c r="M369" t="s">
        <v>535</v>
      </c>
      <c r="Q369" t="s">
        <v>468</v>
      </c>
      <c r="R369" t="s">
        <v>4</v>
      </c>
      <c r="S369" t="s">
        <v>22</v>
      </c>
    </row>
    <row r="370" spans="1:19" x14ac:dyDescent="0.3">
      <c r="A370" s="2" t="s">
        <v>117</v>
      </c>
      <c r="B370" s="4" t="s">
        <v>359</v>
      </c>
      <c r="C370" s="3" t="s">
        <v>28</v>
      </c>
      <c r="D370" t="s">
        <v>557</v>
      </c>
      <c r="G370">
        <v>324</v>
      </c>
      <c r="H370" s="16" t="s">
        <v>514</v>
      </c>
      <c r="K370">
        <v>330.56362457735997</v>
      </c>
      <c r="L370" t="s">
        <v>550</v>
      </c>
      <c r="M370" t="s">
        <v>535</v>
      </c>
      <c r="Q370" t="s">
        <v>468</v>
      </c>
      <c r="R370" t="s">
        <v>4</v>
      </c>
      <c r="S370" t="s">
        <v>22</v>
      </c>
    </row>
    <row r="371" spans="1:19" x14ac:dyDescent="0.3">
      <c r="A371" s="2" t="s">
        <v>117</v>
      </c>
      <c r="B371" s="4" t="s">
        <v>359</v>
      </c>
      <c r="C371" s="3" t="s">
        <v>28</v>
      </c>
      <c r="D371" t="s">
        <v>557</v>
      </c>
      <c r="G371">
        <v>336</v>
      </c>
      <c r="H371" s="16" t="s">
        <v>514</v>
      </c>
      <c r="K371">
        <v>186.328848459325</v>
      </c>
      <c r="L371" t="s">
        <v>550</v>
      </c>
      <c r="M371" t="s">
        <v>535</v>
      </c>
      <c r="Q371" t="s">
        <v>468</v>
      </c>
      <c r="R371" t="s">
        <v>4</v>
      </c>
      <c r="S371" t="s">
        <v>22</v>
      </c>
    </row>
    <row r="372" spans="1:19" x14ac:dyDescent="0.3">
      <c r="A372" s="2" t="s">
        <v>117</v>
      </c>
      <c r="B372" s="4" t="s">
        <v>359</v>
      </c>
      <c r="C372" s="3" t="s">
        <v>28</v>
      </c>
      <c r="D372" t="s">
        <v>557</v>
      </c>
      <c r="G372">
        <v>384</v>
      </c>
      <c r="H372" s="16" t="s">
        <v>514</v>
      </c>
      <c r="K372">
        <v>88.9476536532202</v>
      </c>
      <c r="L372" t="s">
        <v>550</v>
      </c>
      <c r="M372" t="s">
        <v>535</v>
      </c>
      <c r="Q372" t="s">
        <v>468</v>
      </c>
      <c r="R372" t="s">
        <v>4</v>
      </c>
      <c r="S372" t="s">
        <v>22</v>
      </c>
    </row>
    <row r="373" spans="1:19" x14ac:dyDescent="0.3">
      <c r="A373" s="2" t="s">
        <v>117</v>
      </c>
      <c r="B373" s="4" t="s">
        <v>359</v>
      </c>
      <c r="C373" s="3" t="s">
        <v>28</v>
      </c>
      <c r="D373" t="s">
        <v>557</v>
      </c>
      <c r="G373">
        <v>432</v>
      </c>
      <c r="H373" s="16" t="s">
        <v>514</v>
      </c>
      <c r="K373">
        <v>67.264617115246295</v>
      </c>
      <c r="L373" t="s">
        <v>550</v>
      </c>
      <c r="M373" t="s">
        <v>535</v>
      </c>
      <c r="Q373" t="s">
        <v>468</v>
      </c>
      <c r="R373" t="s">
        <v>4</v>
      </c>
      <c r="S373" t="s">
        <v>22</v>
      </c>
    </row>
    <row r="374" spans="1:19" x14ac:dyDescent="0.3">
      <c r="A374" s="2" t="s">
        <v>117</v>
      </c>
      <c r="B374" s="4" t="s">
        <v>359</v>
      </c>
      <c r="C374" s="3" t="s">
        <v>28</v>
      </c>
      <c r="D374" t="s">
        <v>557</v>
      </c>
      <c r="G374">
        <v>480</v>
      </c>
      <c r="H374" s="16" t="s">
        <v>514</v>
      </c>
      <c r="K374">
        <v>62.5482175137928</v>
      </c>
      <c r="L374" t="s">
        <v>550</v>
      </c>
      <c r="M374" t="s">
        <v>535</v>
      </c>
      <c r="Q374" t="s">
        <v>468</v>
      </c>
      <c r="R374" t="s">
        <v>4</v>
      </c>
      <c r="S374" t="s">
        <v>22</v>
      </c>
    </row>
    <row r="375" spans="1:19" x14ac:dyDescent="0.3">
      <c r="A375" s="2" t="s">
        <v>118</v>
      </c>
      <c r="B375" s="4" t="s">
        <v>360</v>
      </c>
      <c r="C375" s="3" t="s">
        <v>28</v>
      </c>
      <c r="D375" t="s">
        <v>557</v>
      </c>
      <c r="G375">
        <v>1.5</v>
      </c>
      <c r="H375" s="16" t="s">
        <v>514</v>
      </c>
      <c r="K375">
        <v>504.32714622313398</v>
      </c>
      <c r="L375" t="s">
        <v>550</v>
      </c>
      <c r="M375" t="s">
        <v>535</v>
      </c>
      <c r="Q375" t="s">
        <v>468</v>
      </c>
      <c r="R375" t="s">
        <v>4</v>
      </c>
      <c r="S375" t="s">
        <v>22</v>
      </c>
    </row>
    <row r="376" spans="1:19" x14ac:dyDescent="0.3">
      <c r="A376" s="2" t="s">
        <v>118</v>
      </c>
      <c r="B376" s="4" t="s">
        <v>360</v>
      </c>
      <c r="C376" s="3" t="s">
        <v>28</v>
      </c>
      <c r="D376" t="s">
        <v>557</v>
      </c>
      <c r="G376">
        <v>2.5</v>
      </c>
      <c r="H376" s="16" t="s">
        <v>514</v>
      </c>
      <c r="K376">
        <v>722.914317720437</v>
      </c>
      <c r="L376" t="s">
        <v>550</v>
      </c>
      <c r="M376" t="s">
        <v>535</v>
      </c>
      <c r="Q376" t="s">
        <v>468</v>
      </c>
      <c r="R376" t="s">
        <v>4</v>
      </c>
      <c r="S376" t="s">
        <v>22</v>
      </c>
    </row>
    <row r="377" spans="1:19" x14ac:dyDescent="0.3">
      <c r="A377" s="2" t="s">
        <v>118</v>
      </c>
      <c r="B377" s="4" t="s">
        <v>360</v>
      </c>
      <c r="C377" s="3" t="s">
        <v>28</v>
      </c>
      <c r="D377" t="s">
        <v>557</v>
      </c>
      <c r="G377">
        <v>4</v>
      </c>
      <c r="H377" s="16" t="s">
        <v>514</v>
      </c>
      <c r="K377">
        <v>1145.2599370908499</v>
      </c>
      <c r="L377" t="s">
        <v>550</v>
      </c>
      <c r="M377" t="s">
        <v>535</v>
      </c>
      <c r="Q377" t="s">
        <v>468</v>
      </c>
      <c r="R377" t="s">
        <v>4</v>
      </c>
      <c r="S377" t="s">
        <v>22</v>
      </c>
    </row>
    <row r="378" spans="1:19" x14ac:dyDescent="0.3">
      <c r="A378" s="2" t="s">
        <v>118</v>
      </c>
      <c r="B378" s="4" t="s">
        <v>360</v>
      </c>
      <c r="C378" s="3" t="s">
        <v>28</v>
      </c>
      <c r="D378" t="s">
        <v>557</v>
      </c>
      <c r="G378">
        <v>6</v>
      </c>
      <c r="H378" s="16" t="s">
        <v>514</v>
      </c>
      <c r="K378">
        <v>842.77407876960399</v>
      </c>
      <c r="L378" t="s">
        <v>550</v>
      </c>
      <c r="M378" t="s">
        <v>535</v>
      </c>
      <c r="Q378" t="s">
        <v>468</v>
      </c>
      <c r="R378" t="s">
        <v>4</v>
      </c>
      <c r="S378" t="s">
        <v>22</v>
      </c>
    </row>
    <row r="379" spans="1:19" x14ac:dyDescent="0.3">
      <c r="A379" s="2" t="s">
        <v>118</v>
      </c>
      <c r="B379" s="4" t="s">
        <v>360</v>
      </c>
      <c r="C379" s="3" t="s">
        <v>28</v>
      </c>
      <c r="D379" t="s">
        <v>557</v>
      </c>
      <c r="G379">
        <v>7</v>
      </c>
      <c r="H379" s="16" t="s">
        <v>514</v>
      </c>
      <c r="K379">
        <v>524.951631427297</v>
      </c>
      <c r="L379" t="s">
        <v>550</v>
      </c>
      <c r="M379" t="s">
        <v>535</v>
      </c>
      <c r="Q379" t="s">
        <v>468</v>
      </c>
      <c r="R379" t="s">
        <v>4</v>
      </c>
      <c r="S379" t="s">
        <v>22</v>
      </c>
    </row>
    <row r="380" spans="1:19" x14ac:dyDescent="0.3">
      <c r="A380" s="2" t="s">
        <v>118</v>
      </c>
      <c r="B380" s="4" t="s">
        <v>360</v>
      </c>
      <c r="C380" s="3" t="s">
        <v>28</v>
      </c>
      <c r="D380" t="s">
        <v>557</v>
      </c>
      <c r="G380">
        <v>10</v>
      </c>
      <c r="H380" s="16" t="s">
        <v>514</v>
      </c>
      <c r="K380">
        <v>363.809225243784</v>
      </c>
      <c r="L380" t="s">
        <v>550</v>
      </c>
      <c r="M380" t="s">
        <v>535</v>
      </c>
      <c r="Q380" t="s">
        <v>468</v>
      </c>
      <c r="R380" t="s">
        <v>4</v>
      </c>
      <c r="S380" t="s">
        <v>22</v>
      </c>
    </row>
    <row r="381" spans="1:19" x14ac:dyDescent="0.3">
      <c r="A381" s="2" t="s">
        <v>118</v>
      </c>
      <c r="B381" s="4" t="s">
        <v>360</v>
      </c>
      <c r="C381" s="3" t="s">
        <v>28</v>
      </c>
      <c r="D381" t="s">
        <v>557</v>
      </c>
      <c r="G381">
        <v>24</v>
      </c>
      <c r="H381" s="16" t="s">
        <v>514</v>
      </c>
      <c r="K381">
        <v>181.87972866622201</v>
      </c>
      <c r="L381" t="s">
        <v>550</v>
      </c>
      <c r="M381" t="s">
        <v>535</v>
      </c>
      <c r="Q381" t="s">
        <v>468</v>
      </c>
      <c r="R381" t="s">
        <v>4</v>
      </c>
      <c r="S381" t="s">
        <v>22</v>
      </c>
    </row>
    <row r="382" spans="1:19" x14ac:dyDescent="0.3">
      <c r="A382" s="2" t="s">
        <v>118</v>
      </c>
      <c r="B382" s="4" t="s">
        <v>360</v>
      </c>
      <c r="C382" s="3" t="s">
        <v>28</v>
      </c>
      <c r="D382" t="s">
        <v>557</v>
      </c>
      <c r="G382">
        <v>29</v>
      </c>
      <c r="H382" s="16" t="s">
        <v>514</v>
      </c>
      <c r="K382">
        <v>1153.28341130595</v>
      </c>
      <c r="L382" t="s">
        <v>550</v>
      </c>
      <c r="M382" t="s">
        <v>535</v>
      </c>
      <c r="Q382" t="s">
        <v>468</v>
      </c>
      <c r="R382" t="s">
        <v>4</v>
      </c>
      <c r="S382" t="s">
        <v>22</v>
      </c>
    </row>
    <row r="383" spans="1:19" x14ac:dyDescent="0.3">
      <c r="A383" s="2" t="s">
        <v>118</v>
      </c>
      <c r="B383" s="4" t="s">
        <v>360</v>
      </c>
      <c r="C383" s="3" t="s">
        <v>28</v>
      </c>
      <c r="D383" t="s">
        <v>557</v>
      </c>
      <c r="G383">
        <v>48</v>
      </c>
      <c r="H383" s="16" t="s">
        <v>514</v>
      </c>
      <c r="K383">
        <v>247.244361135541</v>
      </c>
      <c r="L383" t="s">
        <v>550</v>
      </c>
      <c r="M383" t="s">
        <v>535</v>
      </c>
      <c r="Q383" t="s">
        <v>468</v>
      </c>
      <c r="R383" t="s">
        <v>4</v>
      </c>
      <c r="S383" t="s">
        <v>22</v>
      </c>
    </row>
    <row r="384" spans="1:19" x14ac:dyDescent="0.3">
      <c r="A384" s="2" t="s">
        <v>118</v>
      </c>
      <c r="B384" s="4" t="s">
        <v>360</v>
      </c>
      <c r="C384" s="3" t="s">
        <v>28</v>
      </c>
      <c r="D384" t="s">
        <v>557</v>
      </c>
      <c r="G384">
        <v>53</v>
      </c>
      <c r="H384" s="16" t="s">
        <v>514</v>
      </c>
      <c r="K384">
        <v>1327.0489624018301</v>
      </c>
      <c r="L384" t="s">
        <v>550</v>
      </c>
      <c r="M384" t="s">
        <v>535</v>
      </c>
      <c r="Q384" t="s">
        <v>468</v>
      </c>
      <c r="R384" t="s">
        <v>4</v>
      </c>
      <c r="S384" t="s">
        <v>22</v>
      </c>
    </row>
    <row r="385" spans="1:19" x14ac:dyDescent="0.3">
      <c r="A385" s="2" t="s">
        <v>118</v>
      </c>
      <c r="B385" s="4" t="s">
        <v>360</v>
      </c>
      <c r="C385" s="3" t="s">
        <v>28</v>
      </c>
      <c r="D385" t="s">
        <v>557</v>
      </c>
      <c r="G385">
        <v>72</v>
      </c>
      <c r="H385" s="16" t="s">
        <v>514</v>
      </c>
      <c r="K385">
        <v>277.01339974413798</v>
      </c>
      <c r="L385" t="s">
        <v>550</v>
      </c>
      <c r="M385" t="s">
        <v>535</v>
      </c>
      <c r="Q385" t="s">
        <v>468</v>
      </c>
      <c r="R385" t="s">
        <v>4</v>
      </c>
      <c r="S385" t="s">
        <v>22</v>
      </c>
    </row>
    <row r="386" spans="1:19" x14ac:dyDescent="0.3">
      <c r="A386" s="2" t="s">
        <v>118</v>
      </c>
      <c r="B386" s="4" t="s">
        <v>360</v>
      </c>
      <c r="C386" s="3" t="s">
        <v>28</v>
      </c>
      <c r="D386" t="s">
        <v>557</v>
      </c>
      <c r="G386">
        <v>77</v>
      </c>
      <c r="H386" s="16" t="s">
        <v>514</v>
      </c>
      <c r="K386">
        <v>1217.2752146986199</v>
      </c>
      <c r="L386" t="s">
        <v>550</v>
      </c>
      <c r="M386" t="s">
        <v>535</v>
      </c>
      <c r="Q386" t="s">
        <v>468</v>
      </c>
      <c r="R386" t="s">
        <v>4</v>
      </c>
      <c r="S386" t="s">
        <v>22</v>
      </c>
    </row>
    <row r="387" spans="1:19" x14ac:dyDescent="0.3">
      <c r="A387" s="2" t="s">
        <v>118</v>
      </c>
      <c r="B387" s="4" t="s">
        <v>360</v>
      </c>
      <c r="C387" s="3" t="s">
        <v>28</v>
      </c>
      <c r="D387" t="s">
        <v>557</v>
      </c>
      <c r="G387">
        <v>96</v>
      </c>
      <c r="H387" s="16" t="s">
        <v>514</v>
      </c>
      <c r="K387">
        <v>318.75013802098101</v>
      </c>
      <c r="L387" t="s">
        <v>550</v>
      </c>
      <c r="M387" t="s">
        <v>535</v>
      </c>
      <c r="Q387" t="s">
        <v>468</v>
      </c>
      <c r="R387" t="s">
        <v>4</v>
      </c>
      <c r="S387" t="s">
        <v>22</v>
      </c>
    </row>
    <row r="388" spans="1:19" x14ac:dyDescent="0.3">
      <c r="A388" s="2" t="s">
        <v>118</v>
      </c>
      <c r="B388" s="4" t="s">
        <v>360</v>
      </c>
      <c r="C388" s="3" t="s">
        <v>28</v>
      </c>
      <c r="D388" t="s">
        <v>557</v>
      </c>
      <c r="G388">
        <v>101</v>
      </c>
      <c r="H388" s="16" t="s">
        <v>514</v>
      </c>
      <c r="K388">
        <v>1327.9095008199099</v>
      </c>
      <c r="L388" t="s">
        <v>550</v>
      </c>
      <c r="M388" t="s">
        <v>535</v>
      </c>
      <c r="Q388" t="s">
        <v>468</v>
      </c>
      <c r="R388" t="s">
        <v>4</v>
      </c>
      <c r="S388" t="s">
        <v>22</v>
      </c>
    </row>
    <row r="389" spans="1:19" x14ac:dyDescent="0.3">
      <c r="A389" s="2" t="s">
        <v>118</v>
      </c>
      <c r="B389" s="4" t="s">
        <v>360</v>
      </c>
      <c r="C389" s="3" t="s">
        <v>28</v>
      </c>
      <c r="D389" t="s">
        <v>557</v>
      </c>
      <c r="G389">
        <v>120</v>
      </c>
      <c r="H389" s="16" t="s">
        <v>514</v>
      </c>
      <c r="K389">
        <v>334.08391819230297</v>
      </c>
      <c r="L389" t="s">
        <v>550</v>
      </c>
      <c r="M389" t="s">
        <v>535</v>
      </c>
      <c r="Q389" t="s">
        <v>468</v>
      </c>
      <c r="R389" t="s">
        <v>4</v>
      </c>
      <c r="S389" t="s">
        <v>22</v>
      </c>
    </row>
    <row r="390" spans="1:19" x14ac:dyDescent="0.3">
      <c r="A390" s="2" t="s">
        <v>118</v>
      </c>
      <c r="B390" s="4" t="s">
        <v>360</v>
      </c>
      <c r="C390" s="3" t="s">
        <v>28</v>
      </c>
      <c r="D390" t="s">
        <v>557</v>
      </c>
      <c r="G390">
        <v>125</v>
      </c>
      <c r="H390" s="16" t="s">
        <v>514</v>
      </c>
      <c r="K390">
        <v>1154.76581427877</v>
      </c>
      <c r="L390" t="s">
        <v>550</v>
      </c>
      <c r="M390" t="s">
        <v>535</v>
      </c>
      <c r="Q390" t="s">
        <v>468</v>
      </c>
      <c r="R390" t="s">
        <v>4</v>
      </c>
      <c r="S390" t="s">
        <v>22</v>
      </c>
    </row>
    <row r="391" spans="1:19" x14ac:dyDescent="0.3">
      <c r="A391" s="2" t="s">
        <v>118</v>
      </c>
      <c r="B391" s="4" t="s">
        <v>360</v>
      </c>
      <c r="C391" s="3" t="s">
        <v>28</v>
      </c>
      <c r="D391" t="s">
        <v>557</v>
      </c>
      <c r="G391">
        <v>144</v>
      </c>
      <c r="H391" s="16" t="s">
        <v>514</v>
      </c>
      <c r="K391">
        <v>366.88589961115701</v>
      </c>
      <c r="L391" t="s">
        <v>550</v>
      </c>
      <c r="M391" t="s">
        <v>535</v>
      </c>
      <c r="Q391" t="s">
        <v>468</v>
      </c>
      <c r="R391" t="s">
        <v>4</v>
      </c>
      <c r="S391" t="s">
        <v>22</v>
      </c>
    </row>
    <row r="392" spans="1:19" x14ac:dyDescent="0.3">
      <c r="A392" s="2" t="s">
        <v>118</v>
      </c>
      <c r="B392" s="4" t="s">
        <v>360</v>
      </c>
      <c r="C392" s="3" t="s">
        <v>28</v>
      </c>
      <c r="D392" t="s">
        <v>557</v>
      </c>
      <c r="G392">
        <v>149</v>
      </c>
      <c r="H392" s="16" t="s">
        <v>514</v>
      </c>
      <c r="K392">
        <v>1429.8665068516</v>
      </c>
      <c r="L392" t="s">
        <v>550</v>
      </c>
      <c r="M392" t="s">
        <v>535</v>
      </c>
      <c r="Q392" t="s">
        <v>468</v>
      </c>
      <c r="R392" t="s">
        <v>4</v>
      </c>
      <c r="S392" t="s">
        <v>22</v>
      </c>
    </row>
    <row r="393" spans="1:19" x14ac:dyDescent="0.3">
      <c r="A393" s="2" t="s">
        <v>118</v>
      </c>
      <c r="B393" s="4" t="s">
        <v>360</v>
      </c>
      <c r="C393" s="3" t="s">
        <v>28</v>
      </c>
      <c r="D393" t="s">
        <v>557</v>
      </c>
      <c r="G393">
        <v>168</v>
      </c>
      <c r="H393" s="16" t="s">
        <v>514</v>
      </c>
      <c r="K393">
        <v>463.47917987808199</v>
      </c>
      <c r="L393" t="s">
        <v>550</v>
      </c>
      <c r="M393" t="s">
        <v>535</v>
      </c>
      <c r="Q393" t="s">
        <v>468</v>
      </c>
      <c r="R393" t="s">
        <v>4</v>
      </c>
      <c r="S393" t="s">
        <v>22</v>
      </c>
    </row>
    <row r="394" spans="1:19" x14ac:dyDescent="0.3">
      <c r="A394" s="2" t="s">
        <v>118</v>
      </c>
      <c r="B394" s="4" t="s">
        <v>360</v>
      </c>
      <c r="C394" s="3" t="s">
        <v>28</v>
      </c>
      <c r="D394" t="s">
        <v>557</v>
      </c>
      <c r="G394">
        <v>173</v>
      </c>
      <c r="H394" s="16" t="s">
        <v>514</v>
      </c>
      <c r="K394">
        <v>1917.9888933826701</v>
      </c>
      <c r="L394" t="s">
        <v>550</v>
      </c>
      <c r="M394" t="s">
        <v>535</v>
      </c>
      <c r="Q394" t="s">
        <v>468</v>
      </c>
      <c r="R394" t="s">
        <v>4</v>
      </c>
      <c r="S394" t="s">
        <v>22</v>
      </c>
    </row>
    <row r="395" spans="1:19" x14ac:dyDescent="0.3">
      <c r="A395" s="2" t="s">
        <v>118</v>
      </c>
      <c r="B395" s="4" t="s">
        <v>360</v>
      </c>
      <c r="C395" s="3" t="s">
        <v>28</v>
      </c>
      <c r="D395" t="s">
        <v>557</v>
      </c>
      <c r="G395">
        <v>192</v>
      </c>
      <c r="H395" s="16" t="s">
        <v>514</v>
      </c>
      <c r="K395">
        <v>460.546300260745</v>
      </c>
      <c r="L395" t="s">
        <v>550</v>
      </c>
      <c r="M395" t="s">
        <v>535</v>
      </c>
      <c r="Q395" t="s">
        <v>468</v>
      </c>
      <c r="R395" t="s">
        <v>4</v>
      </c>
      <c r="S395" t="s">
        <v>22</v>
      </c>
    </row>
    <row r="396" spans="1:19" x14ac:dyDescent="0.3">
      <c r="A396" s="2" t="s">
        <v>118</v>
      </c>
      <c r="B396" s="4" t="s">
        <v>360</v>
      </c>
      <c r="C396" s="3" t="s">
        <v>28</v>
      </c>
      <c r="D396" t="s">
        <v>557</v>
      </c>
      <c r="G396">
        <v>197</v>
      </c>
      <c r="H396" s="16" t="s">
        <v>514</v>
      </c>
      <c r="K396">
        <v>1679.0942106745799</v>
      </c>
      <c r="L396" t="s">
        <v>550</v>
      </c>
      <c r="M396" t="s">
        <v>535</v>
      </c>
      <c r="Q396" t="s">
        <v>468</v>
      </c>
      <c r="R396" t="s">
        <v>4</v>
      </c>
      <c r="S396" t="s">
        <v>22</v>
      </c>
    </row>
    <row r="397" spans="1:19" x14ac:dyDescent="0.3">
      <c r="A397" s="2" t="s">
        <v>118</v>
      </c>
      <c r="B397" s="4" t="s">
        <v>360</v>
      </c>
      <c r="C397" s="3" t="s">
        <v>28</v>
      </c>
      <c r="D397" t="s">
        <v>557</v>
      </c>
      <c r="G397">
        <v>216</v>
      </c>
      <c r="H397" s="16" t="s">
        <v>514</v>
      </c>
      <c r="K397">
        <v>519.43720410804497</v>
      </c>
      <c r="L397" t="s">
        <v>550</v>
      </c>
      <c r="M397" t="s">
        <v>535</v>
      </c>
      <c r="Q397" t="s">
        <v>468</v>
      </c>
      <c r="R397" t="s">
        <v>4</v>
      </c>
      <c r="S397" t="s">
        <v>22</v>
      </c>
    </row>
    <row r="398" spans="1:19" x14ac:dyDescent="0.3">
      <c r="A398" s="2" t="s">
        <v>118</v>
      </c>
      <c r="B398" s="4" t="s">
        <v>360</v>
      </c>
      <c r="C398" s="3" t="s">
        <v>28</v>
      </c>
      <c r="D398" t="s">
        <v>557</v>
      </c>
      <c r="G398">
        <f>G396+24</f>
        <v>221</v>
      </c>
      <c r="H398" s="16" t="s">
        <v>514</v>
      </c>
      <c r="K398">
        <v>1807.4427795408801</v>
      </c>
      <c r="L398" t="s">
        <v>550</v>
      </c>
      <c r="M398" t="s">
        <v>535</v>
      </c>
      <c r="Q398" t="s">
        <v>468</v>
      </c>
      <c r="R398" t="s">
        <v>4</v>
      </c>
      <c r="S398" t="s">
        <v>22</v>
      </c>
    </row>
    <row r="399" spans="1:19" x14ac:dyDescent="0.3">
      <c r="A399" s="2" t="s">
        <v>118</v>
      </c>
      <c r="B399" s="4" t="s">
        <v>360</v>
      </c>
      <c r="C399" s="3" t="s">
        <v>28</v>
      </c>
      <c r="D399" t="s">
        <v>557</v>
      </c>
      <c r="G399">
        <f>G397+24</f>
        <v>240</v>
      </c>
      <c r="H399" s="16" t="s">
        <v>514</v>
      </c>
      <c r="K399">
        <v>533.64001975448002</v>
      </c>
      <c r="L399" t="s">
        <v>550</v>
      </c>
      <c r="M399" t="s">
        <v>535</v>
      </c>
      <c r="Q399" t="s">
        <v>468</v>
      </c>
      <c r="R399" t="s">
        <v>4</v>
      </c>
      <c r="S399" t="s">
        <v>22</v>
      </c>
    </row>
    <row r="400" spans="1:19" x14ac:dyDescent="0.3">
      <c r="A400" s="2" t="s">
        <v>118</v>
      </c>
      <c r="B400" s="4" t="s">
        <v>360</v>
      </c>
      <c r="C400" s="3" t="s">
        <v>28</v>
      </c>
      <c r="D400" t="s">
        <v>557</v>
      </c>
      <c r="G400">
        <f t="shared" ref="G400:G405" si="15">G398+24</f>
        <v>245</v>
      </c>
      <c r="H400" s="16" t="s">
        <v>514</v>
      </c>
      <c r="K400">
        <v>1795.9999812480401</v>
      </c>
      <c r="L400" t="s">
        <v>550</v>
      </c>
      <c r="M400" t="s">
        <v>535</v>
      </c>
      <c r="Q400" t="s">
        <v>468</v>
      </c>
      <c r="R400" t="s">
        <v>4</v>
      </c>
      <c r="S400" t="s">
        <v>22</v>
      </c>
    </row>
    <row r="401" spans="1:19" x14ac:dyDescent="0.3">
      <c r="A401" s="2" t="s">
        <v>118</v>
      </c>
      <c r="B401" s="4" t="s">
        <v>360</v>
      </c>
      <c r="C401" s="3" t="s">
        <v>28</v>
      </c>
      <c r="D401" t="s">
        <v>557</v>
      </c>
      <c r="G401">
        <f t="shared" si="15"/>
        <v>264</v>
      </c>
      <c r="H401" s="16" t="s">
        <v>514</v>
      </c>
      <c r="K401">
        <v>555.605978946091</v>
      </c>
      <c r="L401" t="s">
        <v>550</v>
      </c>
      <c r="M401" t="s">
        <v>535</v>
      </c>
      <c r="Q401" t="s">
        <v>468</v>
      </c>
      <c r="R401" t="s">
        <v>4</v>
      </c>
      <c r="S401" t="s">
        <v>22</v>
      </c>
    </row>
    <row r="402" spans="1:19" x14ac:dyDescent="0.3">
      <c r="A402" s="2" t="s">
        <v>118</v>
      </c>
      <c r="B402" s="4" t="s">
        <v>360</v>
      </c>
      <c r="C402" s="3" t="s">
        <v>28</v>
      </c>
      <c r="D402" t="s">
        <v>557</v>
      </c>
      <c r="G402">
        <f t="shared" si="15"/>
        <v>269</v>
      </c>
      <c r="H402" s="16" t="s">
        <v>514</v>
      </c>
      <c r="K402">
        <v>2012.2082504975799</v>
      </c>
      <c r="L402" t="s">
        <v>550</v>
      </c>
      <c r="M402" t="s">
        <v>535</v>
      </c>
      <c r="Q402" t="s">
        <v>468</v>
      </c>
      <c r="R402" t="s">
        <v>4</v>
      </c>
      <c r="S402" t="s">
        <v>22</v>
      </c>
    </row>
    <row r="403" spans="1:19" x14ac:dyDescent="0.3">
      <c r="A403" s="2" t="s">
        <v>118</v>
      </c>
      <c r="B403" s="4" t="s">
        <v>360</v>
      </c>
      <c r="C403" s="3" t="s">
        <v>28</v>
      </c>
      <c r="D403" t="s">
        <v>557</v>
      </c>
      <c r="G403">
        <f t="shared" si="15"/>
        <v>288</v>
      </c>
      <c r="H403" s="16" t="s">
        <v>514</v>
      </c>
      <c r="K403">
        <v>530.43744115284699</v>
      </c>
      <c r="L403" t="s">
        <v>550</v>
      </c>
      <c r="M403" t="s">
        <v>535</v>
      </c>
      <c r="Q403" t="s">
        <v>468</v>
      </c>
      <c r="R403" t="s">
        <v>4</v>
      </c>
      <c r="S403" t="s">
        <v>22</v>
      </c>
    </row>
    <row r="404" spans="1:19" x14ac:dyDescent="0.3">
      <c r="A404" s="2" t="s">
        <v>118</v>
      </c>
      <c r="B404" s="4" t="s">
        <v>360</v>
      </c>
      <c r="C404" s="3" t="s">
        <v>28</v>
      </c>
      <c r="D404" t="s">
        <v>557</v>
      </c>
      <c r="G404">
        <f t="shared" si="15"/>
        <v>293</v>
      </c>
      <c r="H404" s="16" t="s">
        <v>514</v>
      </c>
      <c r="K404">
        <v>1933.93745545563</v>
      </c>
      <c r="L404" t="s">
        <v>550</v>
      </c>
      <c r="M404" t="s">
        <v>535</v>
      </c>
      <c r="Q404" t="s">
        <v>468</v>
      </c>
      <c r="R404" t="s">
        <v>4</v>
      </c>
      <c r="S404" t="s">
        <v>22</v>
      </c>
    </row>
    <row r="405" spans="1:19" x14ac:dyDescent="0.3">
      <c r="A405" s="2" t="s">
        <v>118</v>
      </c>
      <c r="B405" s="4" t="s">
        <v>360</v>
      </c>
      <c r="C405" s="3" t="s">
        <v>28</v>
      </c>
      <c r="D405" t="s">
        <v>557</v>
      </c>
      <c r="G405">
        <f t="shared" si="15"/>
        <v>312</v>
      </c>
      <c r="H405" s="16" t="s">
        <v>514</v>
      </c>
      <c r="K405">
        <v>530.60860451043902</v>
      </c>
      <c r="L405" t="s">
        <v>550</v>
      </c>
      <c r="M405" t="s">
        <v>535</v>
      </c>
      <c r="Q405" t="s">
        <v>468</v>
      </c>
      <c r="R405" t="s">
        <v>4</v>
      </c>
      <c r="S405" t="s">
        <v>22</v>
      </c>
    </row>
    <row r="406" spans="1:19" x14ac:dyDescent="0.3">
      <c r="A406" s="2" t="s">
        <v>118</v>
      </c>
      <c r="B406" s="4" t="s">
        <v>360</v>
      </c>
      <c r="C406" s="3" t="s">
        <v>28</v>
      </c>
      <c r="D406" t="s">
        <v>557</v>
      </c>
      <c r="G406">
        <v>314</v>
      </c>
      <c r="H406" s="16" t="s">
        <v>514</v>
      </c>
      <c r="K406">
        <v>1583.7878923688099</v>
      </c>
      <c r="L406" t="s">
        <v>550</v>
      </c>
      <c r="M406" t="s">
        <v>535</v>
      </c>
      <c r="Q406" t="s">
        <v>468</v>
      </c>
      <c r="R406" t="s">
        <v>4</v>
      </c>
      <c r="S406" t="s">
        <v>22</v>
      </c>
    </row>
    <row r="407" spans="1:19" x14ac:dyDescent="0.3">
      <c r="A407" s="2" t="s">
        <v>118</v>
      </c>
      <c r="B407" s="4" t="s">
        <v>360</v>
      </c>
      <c r="C407" s="3" t="s">
        <v>28</v>
      </c>
      <c r="D407" t="s">
        <v>557</v>
      </c>
      <c r="G407">
        <v>318</v>
      </c>
      <c r="H407" s="16" t="s">
        <v>514</v>
      </c>
      <c r="K407">
        <v>1947.52116198057</v>
      </c>
      <c r="L407" t="s">
        <v>550</v>
      </c>
      <c r="M407" t="s">
        <v>535</v>
      </c>
      <c r="Q407" t="s">
        <v>468</v>
      </c>
      <c r="R407" t="s">
        <v>4</v>
      </c>
      <c r="S407" t="s">
        <v>22</v>
      </c>
    </row>
    <row r="408" spans="1:19" x14ac:dyDescent="0.3">
      <c r="A408" s="2" t="s">
        <v>118</v>
      </c>
      <c r="B408" s="4" t="s">
        <v>360</v>
      </c>
      <c r="C408" s="3" t="s">
        <v>28</v>
      </c>
      <c r="D408" t="s">
        <v>557</v>
      </c>
      <c r="G408">
        <v>320</v>
      </c>
      <c r="H408" s="16" t="s">
        <v>514</v>
      </c>
      <c r="K408">
        <v>1404.77226273258</v>
      </c>
      <c r="L408" t="s">
        <v>550</v>
      </c>
      <c r="M408" t="s">
        <v>535</v>
      </c>
      <c r="Q408" t="s">
        <v>468</v>
      </c>
      <c r="R408" t="s">
        <v>4</v>
      </c>
      <c r="S408" t="s">
        <v>22</v>
      </c>
    </row>
    <row r="409" spans="1:19" x14ac:dyDescent="0.3">
      <c r="A409" s="2" t="s">
        <v>118</v>
      </c>
      <c r="B409" s="4" t="s">
        <v>360</v>
      </c>
      <c r="C409" s="3" t="s">
        <v>28</v>
      </c>
      <c r="D409" t="s">
        <v>557</v>
      </c>
      <c r="G409">
        <v>324</v>
      </c>
      <c r="H409" s="16" t="s">
        <v>514</v>
      </c>
      <c r="K409">
        <v>869.23349965159798</v>
      </c>
      <c r="L409" t="s">
        <v>550</v>
      </c>
      <c r="M409" t="s">
        <v>535</v>
      </c>
      <c r="Q409" t="s">
        <v>468</v>
      </c>
      <c r="R409" t="s">
        <v>4</v>
      </c>
      <c r="S409" t="s">
        <v>22</v>
      </c>
    </row>
    <row r="410" spans="1:19" x14ac:dyDescent="0.3">
      <c r="A410" s="2" t="s">
        <v>118</v>
      </c>
      <c r="B410" s="4" t="s">
        <v>360</v>
      </c>
      <c r="C410" s="3" t="s">
        <v>28</v>
      </c>
      <c r="D410" t="s">
        <v>557</v>
      </c>
      <c r="G410">
        <v>336</v>
      </c>
      <c r="H410" s="16" t="s">
        <v>514</v>
      </c>
      <c r="K410">
        <v>639.720490946773</v>
      </c>
      <c r="L410" t="s">
        <v>550</v>
      </c>
      <c r="M410" t="s">
        <v>535</v>
      </c>
      <c r="Q410" t="s">
        <v>468</v>
      </c>
      <c r="R410" t="s">
        <v>4</v>
      </c>
      <c r="S410" t="s">
        <v>22</v>
      </c>
    </row>
    <row r="411" spans="1:19" x14ac:dyDescent="0.3">
      <c r="A411" s="2" t="s">
        <v>118</v>
      </c>
      <c r="B411" s="4" t="s">
        <v>360</v>
      </c>
      <c r="C411" s="3" t="s">
        <v>28</v>
      </c>
      <c r="D411" t="s">
        <v>557</v>
      </c>
      <c r="G411">
        <v>384</v>
      </c>
      <c r="H411" s="16" t="s">
        <v>514</v>
      </c>
      <c r="K411">
        <v>337.50455267713301</v>
      </c>
      <c r="L411" t="s">
        <v>550</v>
      </c>
      <c r="M411" t="s">
        <v>535</v>
      </c>
      <c r="Q411" t="s">
        <v>468</v>
      </c>
      <c r="R411" t="s">
        <v>4</v>
      </c>
      <c r="S411" t="s">
        <v>22</v>
      </c>
    </row>
    <row r="412" spans="1:19" x14ac:dyDescent="0.3">
      <c r="A412" s="2" t="s">
        <v>118</v>
      </c>
      <c r="B412" s="4" t="s">
        <v>360</v>
      </c>
      <c r="C412" s="3" t="s">
        <v>28</v>
      </c>
      <c r="D412" t="s">
        <v>557</v>
      </c>
      <c r="G412">
        <v>432</v>
      </c>
      <c r="H412" s="16" t="s">
        <v>514</v>
      </c>
      <c r="K412">
        <v>253.533914554522</v>
      </c>
      <c r="L412" t="s">
        <v>550</v>
      </c>
      <c r="M412" t="s">
        <v>535</v>
      </c>
      <c r="Q412" t="s">
        <v>468</v>
      </c>
      <c r="R412" t="s">
        <v>4</v>
      </c>
      <c r="S412" t="s">
        <v>22</v>
      </c>
    </row>
    <row r="413" spans="1:19" x14ac:dyDescent="0.3">
      <c r="A413" s="2" t="s">
        <v>118</v>
      </c>
      <c r="B413" s="4" t="s">
        <v>360</v>
      </c>
      <c r="C413" s="3" t="s">
        <v>28</v>
      </c>
      <c r="D413" t="s">
        <v>557</v>
      </c>
      <c r="G413">
        <v>480</v>
      </c>
      <c r="H413" s="16" t="s">
        <v>514</v>
      </c>
      <c r="K413">
        <v>242.13001517849699</v>
      </c>
      <c r="L413" t="s">
        <v>550</v>
      </c>
      <c r="M413" t="s">
        <v>535</v>
      </c>
      <c r="Q413" t="s">
        <v>468</v>
      </c>
      <c r="R413" t="s">
        <v>4</v>
      </c>
      <c r="S413" t="s">
        <v>22</v>
      </c>
    </row>
    <row r="414" spans="1:19" x14ac:dyDescent="0.3">
      <c r="A414" s="2" t="s">
        <v>119</v>
      </c>
      <c r="B414" s="4" t="s">
        <v>357</v>
      </c>
      <c r="C414" s="3" t="s">
        <v>28</v>
      </c>
      <c r="D414" t="s">
        <v>557</v>
      </c>
      <c r="G414">
        <v>4</v>
      </c>
      <c r="H414" t="s">
        <v>514</v>
      </c>
      <c r="K414">
        <v>1900.99595874075</v>
      </c>
      <c r="L414" t="s">
        <v>550</v>
      </c>
      <c r="M414" t="s">
        <v>535</v>
      </c>
      <c r="Q414" t="s">
        <v>468</v>
      </c>
      <c r="R414" t="s">
        <v>4</v>
      </c>
      <c r="S414" t="s">
        <v>22</v>
      </c>
    </row>
    <row r="415" spans="1:19" x14ac:dyDescent="0.3">
      <c r="A415" s="2" t="s">
        <v>119</v>
      </c>
      <c r="B415" s="4" t="s">
        <v>357</v>
      </c>
      <c r="C415" s="3" t="s">
        <v>28</v>
      </c>
      <c r="D415" t="s">
        <v>557</v>
      </c>
      <c r="G415">
        <v>5</v>
      </c>
      <c r="H415" t="s">
        <v>514</v>
      </c>
      <c r="K415">
        <v>2515.4051871287502</v>
      </c>
      <c r="L415" t="s">
        <v>550</v>
      </c>
      <c r="M415" t="s">
        <v>535</v>
      </c>
      <c r="Q415" t="s">
        <v>468</v>
      </c>
      <c r="R415" t="s">
        <v>4</v>
      </c>
      <c r="S415" t="s">
        <v>22</v>
      </c>
    </row>
    <row r="416" spans="1:19" x14ac:dyDescent="0.3">
      <c r="A416" s="2" t="s">
        <v>119</v>
      </c>
      <c r="B416" s="4" t="s">
        <v>357</v>
      </c>
      <c r="C416" s="3" t="s">
        <v>28</v>
      </c>
      <c r="D416" t="s">
        <v>557</v>
      </c>
      <c r="G416">
        <v>7</v>
      </c>
      <c r="H416" t="s">
        <v>514</v>
      </c>
      <c r="K416">
        <v>2087.0650613420999</v>
      </c>
      <c r="L416" t="s">
        <v>550</v>
      </c>
      <c r="M416" t="s">
        <v>535</v>
      </c>
      <c r="Q416" t="s">
        <v>468</v>
      </c>
      <c r="R416" t="s">
        <v>4</v>
      </c>
      <c r="S416" t="s">
        <v>22</v>
      </c>
    </row>
    <row r="417" spans="1:19" x14ac:dyDescent="0.3">
      <c r="A417" s="2" t="s">
        <v>119</v>
      </c>
      <c r="B417" s="4" t="s">
        <v>357</v>
      </c>
      <c r="C417" s="3" t="s">
        <v>28</v>
      </c>
      <c r="D417" t="s">
        <v>557</v>
      </c>
      <c r="G417">
        <v>8</v>
      </c>
      <c r="H417" t="s">
        <v>514</v>
      </c>
      <c r="K417">
        <v>1505.4001034769999</v>
      </c>
      <c r="L417" t="s">
        <v>550</v>
      </c>
      <c r="M417" t="s">
        <v>535</v>
      </c>
      <c r="Q417" t="s">
        <v>468</v>
      </c>
      <c r="R417" t="s">
        <v>4</v>
      </c>
      <c r="S417" t="s">
        <v>22</v>
      </c>
    </row>
    <row r="418" spans="1:19" x14ac:dyDescent="0.3">
      <c r="A418" s="2" t="s">
        <v>119</v>
      </c>
      <c r="B418" s="4" t="s">
        <v>357</v>
      </c>
      <c r="C418" s="3" t="s">
        <v>28</v>
      </c>
      <c r="D418" t="s">
        <v>557</v>
      </c>
      <c r="G418">
        <v>12</v>
      </c>
      <c r="H418" t="s">
        <v>514</v>
      </c>
      <c r="K418">
        <v>826.14266582528205</v>
      </c>
      <c r="L418" t="s">
        <v>550</v>
      </c>
      <c r="M418" t="s">
        <v>535</v>
      </c>
      <c r="Q418" t="s">
        <v>468</v>
      </c>
      <c r="R418" t="s">
        <v>4</v>
      </c>
      <c r="S418" t="s">
        <v>22</v>
      </c>
    </row>
    <row r="419" spans="1:19" x14ac:dyDescent="0.3">
      <c r="A419" s="2" t="s">
        <v>119</v>
      </c>
      <c r="B419" s="4" t="s">
        <v>357</v>
      </c>
      <c r="C419" s="3" t="s">
        <v>28</v>
      </c>
      <c r="D419" t="s">
        <v>557</v>
      </c>
      <c r="G419">
        <v>24</v>
      </c>
      <c r="H419" t="s">
        <v>514</v>
      </c>
      <c r="K419">
        <v>484.69102584732201</v>
      </c>
      <c r="L419" t="s">
        <v>550</v>
      </c>
      <c r="M419" t="s">
        <v>535</v>
      </c>
      <c r="Q419" t="s">
        <v>468</v>
      </c>
      <c r="R419" t="s">
        <v>4</v>
      </c>
      <c r="S419" t="s">
        <v>22</v>
      </c>
    </row>
    <row r="420" spans="1:19" x14ac:dyDescent="0.3">
      <c r="A420" s="2" t="s">
        <v>119</v>
      </c>
      <c r="B420" s="4" t="s">
        <v>357</v>
      </c>
      <c r="C420" s="3" t="s">
        <v>28</v>
      </c>
      <c r="D420" t="s">
        <v>557</v>
      </c>
      <c r="G420">
        <v>29</v>
      </c>
      <c r="H420" t="s">
        <v>514</v>
      </c>
      <c r="K420">
        <v>2516.2093498775798</v>
      </c>
      <c r="L420" t="s">
        <v>550</v>
      </c>
      <c r="M420" t="s">
        <v>535</v>
      </c>
      <c r="Q420" t="s">
        <v>468</v>
      </c>
      <c r="R420" t="s">
        <v>4</v>
      </c>
      <c r="S420" t="s">
        <v>22</v>
      </c>
    </row>
    <row r="421" spans="1:19" x14ac:dyDescent="0.3">
      <c r="A421" s="2" t="s">
        <v>119</v>
      </c>
      <c r="B421" s="4" t="s">
        <v>357</v>
      </c>
      <c r="C421" s="3" t="s">
        <v>28</v>
      </c>
      <c r="D421" t="s">
        <v>557</v>
      </c>
      <c r="G421">
        <v>48</v>
      </c>
      <c r="H421" t="s">
        <v>514</v>
      </c>
      <c r="K421">
        <v>637.27901200381302</v>
      </c>
      <c r="L421" t="s">
        <v>550</v>
      </c>
      <c r="M421" t="s">
        <v>535</v>
      </c>
      <c r="Q421" t="s">
        <v>468</v>
      </c>
      <c r="R421" t="s">
        <v>4</v>
      </c>
      <c r="S421" t="s">
        <v>22</v>
      </c>
    </row>
    <row r="422" spans="1:19" x14ac:dyDescent="0.3">
      <c r="A422" s="2" t="s">
        <v>119</v>
      </c>
      <c r="B422" s="4" t="s">
        <v>357</v>
      </c>
      <c r="C422" s="3" t="s">
        <v>28</v>
      </c>
      <c r="D422" t="s">
        <v>557</v>
      </c>
      <c r="G422">
        <v>53</v>
      </c>
      <c r="H422" t="s">
        <v>514</v>
      </c>
      <c r="K422">
        <v>2402.2197607210701</v>
      </c>
      <c r="L422" t="s">
        <v>550</v>
      </c>
      <c r="M422" t="s">
        <v>535</v>
      </c>
      <c r="Q422" t="s">
        <v>468</v>
      </c>
      <c r="R422" t="s">
        <v>4</v>
      </c>
      <c r="S422" t="s">
        <v>22</v>
      </c>
    </row>
    <row r="423" spans="1:19" x14ac:dyDescent="0.3">
      <c r="A423" s="2" t="s">
        <v>119</v>
      </c>
      <c r="B423" s="4" t="s">
        <v>357</v>
      </c>
      <c r="C423" s="3" t="s">
        <v>28</v>
      </c>
      <c r="D423" t="s">
        <v>557</v>
      </c>
      <c r="G423">
        <v>72</v>
      </c>
      <c r="H423" t="s">
        <v>514</v>
      </c>
      <c r="K423">
        <v>659.101626139225</v>
      </c>
      <c r="L423" t="s">
        <v>550</v>
      </c>
      <c r="M423" t="s">
        <v>535</v>
      </c>
      <c r="Q423" t="s">
        <v>468</v>
      </c>
      <c r="R423" t="s">
        <v>4</v>
      </c>
      <c r="S423" t="s">
        <v>22</v>
      </c>
    </row>
    <row r="424" spans="1:19" x14ac:dyDescent="0.3">
      <c r="A424" s="2" t="s">
        <v>119</v>
      </c>
      <c r="B424" s="4" t="s">
        <v>357</v>
      </c>
      <c r="C424" s="3" t="s">
        <v>28</v>
      </c>
      <c r="D424" t="s">
        <v>557</v>
      </c>
      <c r="G424">
        <v>77</v>
      </c>
      <c r="H424" t="s">
        <v>514</v>
      </c>
      <c r="K424">
        <v>2994.45537884852</v>
      </c>
      <c r="L424" t="s">
        <v>550</v>
      </c>
      <c r="M424" t="s">
        <v>535</v>
      </c>
      <c r="Q424" t="s">
        <v>468</v>
      </c>
      <c r="R424" t="s">
        <v>4</v>
      </c>
      <c r="S424" t="s">
        <v>22</v>
      </c>
    </row>
    <row r="425" spans="1:19" x14ac:dyDescent="0.3">
      <c r="A425" s="2" t="s">
        <v>119</v>
      </c>
      <c r="B425" s="4" t="s">
        <v>357</v>
      </c>
      <c r="C425" s="3" t="s">
        <v>28</v>
      </c>
      <c r="D425" t="s">
        <v>557</v>
      </c>
      <c r="G425">
        <v>96</v>
      </c>
      <c r="H425" t="s">
        <v>514</v>
      </c>
      <c r="K425">
        <v>778.901246934499</v>
      </c>
      <c r="L425" t="s">
        <v>550</v>
      </c>
      <c r="M425" t="s">
        <v>535</v>
      </c>
      <c r="Q425" t="s">
        <v>468</v>
      </c>
      <c r="R425" t="s">
        <v>4</v>
      </c>
      <c r="S425" t="s">
        <v>22</v>
      </c>
    </row>
    <row r="426" spans="1:19" x14ac:dyDescent="0.3">
      <c r="A426" s="2" t="s">
        <v>119</v>
      </c>
      <c r="B426" s="4" t="s">
        <v>357</v>
      </c>
      <c r="C426" s="3" t="s">
        <v>28</v>
      </c>
      <c r="D426" t="s">
        <v>557</v>
      </c>
      <c r="G426">
        <v>101</v>
      </c>
      <c r="H426" t="s">
        <v>514</v>
      </c>
      <c r="K426">
        <v>3266.62169578675</v>
      </c>
      <c r="L426" t="s">
        <v>550</v>
      </c>
      <c r="M426" t="s">
        <v>535</v>
      </c>
      <c r="Q426" t="s">
        <v>468</v>
      </c>
      <c r="R426" t="s">
        <v>4</v>
      </c>
      <c r="S426" t="s">
        <v>22</v>
      </c>
    </row>
    <row r="427" spans="1:19" x14ac:dyDescent="0.3">
      <c r="A427" s="2" t="s">
        <v>119</v>
      </c>
      <c r="B427" s="4" t="s">
        <v>357</v>
      </c>
      <c r="C427" s="3" t="s">
        <v>28</v>
      </c>
      <c r="D427" t="s">
        <v>557</v>
      </c>
      <c r="G427">
        <v>120</v>
      </c>
      <c r="H427" t="s">
        <v>514</v>
      </c>
      <c r="K427">
        <v>844.04644749931094</v>
      </c>
      <c r="L427" t="s">
        <v>550</v>
      </c>
      <c r="M427" t="s">
        <v>535</v>
      </c>
      <c r="Q427" t="s">
        <v>468</v>
      </c>
      <c r="R427" t="s">
        <v>4</v>
      </c>
      <c r="S427" t="s">
        <v>22</v>
      </c>
    </row>
    <row r="428" spans="1:19" x14ac:dyDescent="0.3">
      <c r="A428" s="2" t="s">
        <v>119</v>
      </c>
      <c r="B428" s="4" t="s">
        <v>357</v>
      </c>
      <c r="C428" s="3" t="s">
        <v>28</v>
      </c>
      <c r="D428" t="s">
        <v>557</v>
      </c>
      <c r="G428">
        <v>125</v>
      </c>
      <c r="H428" t="s">
        <v>514</v>
      </c>
      <c r="K428">
        <v>2711.1691606745098</v>
      </c>
      <c r="L428" t="s">
        <v>550</v>
      </c>
      <c r="M428" t="s">
        <v>535</v>
      </c>
      <c r="Q428" t="s">
        <v>468</v>
      </c>
      <c r="R428" t="s">
        <v>4</v>
      </c>
      <c r="S428" t="s">
        <v>22</v>
      </c>
    </row>
    <row r="429" spans="1:19" x14ac:dyDescent="0.3">
      <c r="A429" s="2" t="s">
        <v>119</v>
      </c>
      <c r="B429" s="4" t="s">
        <v>357</v>
      </c>
      <c r="C429" s="3" t="s">
        <v>28</v>
      </c>
      <c r="D429" t="s">
        <v>557</v>
      </c>
      <c r="G429">
        <v>144</v>
      </c>
      <c r="H429" t="s">
        <v>514</v>
      </c>
      <c r="K429">
        <v>945.65830560703102</v>
      </c>
      <c r="L429" t="s">
        <v>550</v>
      </c>
      <c r="M429" t="s">
        <v>535</v>
      </c>
      <c r="Q429" t="s">
        <v>468</v>
      </c>
      <c r="R429" t="s">
        <v>4</v>
      </c>
      <c r="S429" t="s">
        <v>22</v>
      </c>
    </row>
    <row r="430" spans="1:19" x14ac:dyDescent="0.3">
      <c r="A430" s="2" t="s">
        <v>119</v>
      </c>
      <c r="B430" s="4" t="s">
        <v>357</v>
      </c>
      <c r="C430" s="3" t="s">
        <v>28</v>
      </c>
      <c r="D430" t="s">
        <v>557</v>
      </c>
      <c r="G430">
        <v>149</v>
      </c>
      <c r="H430" t="s">
        <v>514</v>
      </c>
      <c r="K430">
        <v>3447.7725088707298</v>
      </c>
      <c r="L430" t="s">
        <v>550</v>
      </c>
      <c r="M430" t="s">
        <v>535</v>
      </c>
      <c r="Q430" t="s">
        <v>468</v>
      </c>
      <c r="R430" t="s">
        <v>4</v>
      </c>
      <c r="S430" t="s">
        <v>22</v>
      </c>
    </row>
    <row r="431" spans="1:19" x14ac:dyDescent="0.3">
      <c r="A431" s="2" t="s">
        <v>119</v>
      </c>
      <c r="B431" s="4" t="s">
        <v>357</v>
      </c>
      <c r="C431" s="3" t="s">
        <v>28</v>
      </c>
      <c r="D431" t="s">
        <v>557</v>
      </c>
      <c r="G431">
        <v>168</v>
      </c>
      <c r="H431" t="s">
        <v>514</v>
      </c>
      <c r="K431">
        <v>908.87684223924396</v>
      </c>
      <c r="L431" t="s">
        <v>550</v>
      </c>
      <c r="M431" t="s">
        <v>535</v>
      </c>
      <c r="Q431" t="s">
        <v>468</v>
      </c>
      <c r="R431" t="s">
        <v>4</v>
      </c>
      <c r="S431" t="s">
        <v>22</v>
      </c>
    </row>
    <row r="432" spans="1:19" x14ac:dyDescent="0.3">
      <c r="A432" s="2" t="s">
        <v>119</v>
      </c>
      <c r="B432" s="4" t="s">
        <v>357</v>
      </c>
      <c r="C432" s="3" t="s">
        <v>28</v>
      </c>
      <c r="D432" t="s">
        <v>557</v>
      </c>
      <c r="G432">
        <v>173</v>
      </c>
      <c r="H432" t="s">
        <v>514</v>
      </c>
      <c r="K432">
        <v>3313.61169885752</v>
      </c>
      <c r="L432" t="s">
        <v>550</v>
      </c>
      <c r="M432" t="s">
        <v>535</v>
      </c>
      <c r="Q432" t="s">
        <v>468</v>
      </c>
      <c r="R432" t="s">
        <v>4</v>
      </c>
      <c r="S432" t="s">
        <v>22</v>
      </c>
    </row>
    <row r="433" spans="1:19" x14ac:dyDescent="0.3">
      <c r="A433" s="2" t="s">
        <v>119</v>
      </c>
      <c r="B433" s="4" t="s">
        <v>357</v>
      </c>
      <c r="C433" s="3" t="s">
        <v>28</v>
      </c>
      <c r="D433" t="s">
        <v>557</v>
      </c>
      <c r="G433">
        <v>192</v>
      </c>
      <c r="H433" t="s">
        <v>514</v>
      </c>
      <c r="K433">
        <v>998.114784168553</v>
      </c>
      <c r="L433" t="s">
        <v>550</v>
      </c>
      <c r="M433" t="s">
        <v>535</v>
      </c>
      <c r="Q433" t="s">
        <v>468</v>
      </c>
      <c r="R433" t="s">
        <v>4</v>
      </c>
      <c r="S433" t="s">
        <v>22</v>
      </c>
    </row>
    <row r="434" spans="1:19" x14ac:dyDescent="0.3">
      <c r="A434" s="2" t="s">
        <v>119</v>
      </c>
      <c r="B434" s="4" t="s">
        <v>357</v>
      </c>
      <c r="C434" s="3" t="s">
        <v>28</v>
      </c>
      <c r="D434" t="s">
        <v>557</v>
      </c>
      <c r="G434">
        <v>197</v>
      </c>
      <c r="H434" t="s">
        <v>514</v>
      </c>
      <c r="K434">
        <v>2939.8291673913</v>
      </c>
      <c r="L434" t="s">
        <v>550</v>
      </c>
      <c r="M434" t="s">
        <v>535</v>
      </c>
      <c r="Q434" t="s">
        <v>468</v>
      </c>
      <c r="R434" t="s">
        <v>4</v>
      </c>
      <c r="S434" t="s">
        <v>22</v>
      </c>
    </row>
    <row r="435" spans="1:19" x14ac:dyDescent="0.3">
      <c r="A435" s="2" t="s">
        <v>119</v>
      </c>
      <c r="B435" s="4" t="s">
        <v>357</v>
      </c>
      <c r="C435" s="3" t="s">
        <v>28</v>
      </c>
      <c r="D435" t="s">
        <v>557</v>
      </c>
      <c r="G435">
        <v>216</v>
      </c>
      <c r="H435" t="s">
        <v>514</v>
      </c>
      <c r="K435">
        <v>1032.2720635529899</v>
      </c>
      <c r="L435" t="s">
        <v>550</v>
      </c>
      <c r="M435" t="s">
        <v>535</v>
      </c>
      <c r="Q435" t="s">
        <v>468</v>
      </c>
      <c r="R435" t="s">
        <v>4</v>
      </c>
      <c r="S435" t="s">
        <v>22</v>
      </c>
    </row>
    <row r="436" spans="1:19" x14ac:dyDescent="0.3">
      <c r="A436" s="2" t="s">
        <v>119</v>
      </c>
      <c r="B436" s="4" t="s">
        <v>357</v>
      </c>
      <c r="C436" s="3" t="s">
        <v>28</v>
      </c>
      <c r="D436" t="s">
        <v>557</v>
      </c>
      <c r="G436">
        <f>G434+24</f>
        <v>221</v>
      </c>
      <c r="H436" t="s">
        <v>514</v>
      </c>
      <c r="K436">
        <v>3185.7275874509401</v>
      </c>
      <c r="L436" t="s">
        <v>550</v>
      </c>
      <c r="M436" t="s">
        <v>535</v>
      </c>
      <c r="Q436" t="s">
        <v>468</v>
      </c>
      <c r="R436" t="s">
        <v>4</v>
      </c>
      <c r="S436" t="s">
        <v>22</v>
      </c>
    </row>
    <row r="437" spans="1:19" x14ac:dyDescent="0.3">
      <c r="A437" s="2" t="s">
        <v>119</v>
      </c>
      <c r="B437" s="4" t="s">
        <v>357</v>
      </c>
      <c r="C437" s="3" t="s">
        <v>28</v>
      </c>
      <c r="D437" t="s">
        <v>557</v>
      </c>
      <c r="G437">
        <f>G435+24</f>
        <v>240</v>
      </c>
      <c r="H437" t="s">
        <v>514</v>
      </c>
      <c r="K437">
        <v>1039.5132821827101</v>
      </c>
      <c r="L437" t="s">
        <v>550</v>
      </c>
      <c r="M437" t="s">
        <v>535</v>
      </c>
      <c r="Q437" t="s">
        <v>468</v>
      </c>
      <c r="R437" t="s">
        <v>4</v>
      </c>
      <c r="S437" t="s">
        <v>22</v>
      </c>
    </row>
    <row r="438" spans="1:19" x14ac:dyDescent="0.3">
      <c r="A438" s="2" t="s">
        <v>119</v>
      </c>
      <c r="B438" s="4" t="s">
        <v>357</v>
      </c>
      <c r="C438" s="3" t="s">
        <v>28</v>
      </c>
      <c r="D438" t="s">
        <v>557</v>
      </c>
      <c r="G438">
        <f t="shared" ref="G438:G443" si="16">G436+24</f>
        <v>245</v>
      </c>
      <c r="H438" t="s">
        <v>514</v>
      </c>
      <c r="K438">
        <v>3165.5495044826198</v>
      </c>
      <c r="L438" t="s">
        <v>550</v>
      </c>
      <c r="M438" t="s">
        <v>535</v>
      </c>
      <c r="Q438" t="s">
        <v>468</v>
      </c>
      <c r="R438" t="s">
        <v>4</v>
      </c>
      <c r="S438" t="s">
        <v>22</v>
      </c>
    </row>
    <row r="439" spans="1:19" x14ac:dyDescent="0.3">
      <c r="A439" s="2" t="s">
        <v>119</v>
      </c>
      <c r="B439" s="4" t="s">
        <v>357</v>
      </c>
      <c r="C439" s="3" t="s">
        <v>28</v>
      </c>
      <c r="D439" t="s">
        <v>557</v>
      </c>
      <c r="G439">
        <f t="shared" si="16"/>
        <v>264</v>
      </c>
      <c r="H439" t="s">
        <v>514</v>
      </c>
      <c r="K439">
        <v>1039.8611414122399</v>
      </c>
      <c r="L439" t="s">
        <v>550</v>
      </c>
      <c r="M439" t="s">
        <v>535</v>
      </c>
      <c r="Q439" t="s">
        <v>468</v>
      </c>
      <c r="R439" t="s">
        <v>4</v>
      </c>
      <c r="S439" t="s">
        <v>22</v>
      </c>
    </row>
    <row r="440" spans="1:19" x14ac:dyDescent="0.3">
      <c r="A440" s="2" t="s">
        <v>119</v>
      </c>
      <c r="B440" s="4" t="s">
        <v>357</v>
      </c>
      <c r="C440" s="3" t="s">
        <v>28</v>
      </c>
      <c r="D440" t="s">
        <v>557</v>
      </c>
      <c r="G440">
        <f t="shared" si="16"/>
        <v>269</v>
      </c>
      <c r="H440" t="s">
        <v>514</v>
      </c>
      <c r="K440">
        <v>3618.2757770129301</v>
      </c>
      <c r="L440" t="s">
        <v>550</v>
      </c>
      <c r="M440" t="s">
        <v>535</v>
      </c>
      <c r="Q440" t="s">
        <v>468</v>
      </c>
      <c r="R440" t="s">
        <v>4</v>
      </c>
      <c r="S440" t="s">
        <v>22</v>
      </c>
    </row>
    <row r="441" spans="1:19" x14ac:dyDescent="0.3">
      <c r="A441" s="2" t="s">
        <v>119</v>
      </c>
      <c r="B441" s="4" t="s">
        <v>357</v>
      </c>
      <c r="C441" s="3" t="s">
        <v>28</v>
      </c>
      <c r="D441" t="s">
        <v>557</v>
      </c>
      <c r="G441">
        <f t="shared" si="16"/>
        <v>288</v>
      </c>
      <c r="H441" t="s">
        <v>514</v>
      </c>
      <c r="K441">
        <v>1097.1759769191899</v>
      </c>
      <c r="L441" t="s">
        <v>550</v>
      </c>
      <c r="M441" t="s">
        <v>535</v>
      </c>
      <c r="Q441" t="s">
        <v>468</v>
      </c>
      <c r="R441" t="s">
        <v>4</v>
      </c>
      <c r="S441" t="s">
        <v>22</v>
      </c>
    </row>
    <row r="442" spans="1:19" x14ac:dyDescent="0.3">
      <c r="A442" s="2" t="s">
        <v>119</v>
      </c>
      <c r="B442" s="4" t="s">
        <v>357</v>
      </c>
      <c r="C442" s="3" t="s">
        <v>28</v>
      </c>
      <c r="D442" t="s">
        <v>557</v>
      </c>
      <c r="G442">
        <f t="shared" si="16"/>
        <v>293</v>
      </c>
      <c r="H442" t="s">
        <v>514</v>
      </c>
      <c r="K442">
        <v>3692.6166723389301</v>
      </c>
      <c r="L442" t="s">
        <v>550</v>
      </c>
      <c r="M442" t="s">
        <v>535</v>
      </c>
      <c r="Q442" t="s">
        <v>468</v>
      </c>
      <c r="R442" t="s">
        <v>4</v>
      </c>
      <c r="S442" t="s">
        <v>22</v>
      </c>
    </row>
    <row r="443" spans="1:19" x14ac:dyDescent="0.3">
      <c r="A443" s="2" t="s">
        <v>119</v>
      </c>
      <c r="B443" s="4" t="s">
        <v>357</v>
      </c>
      <c r="C443" s="3" t="s">
        <v>28</v>
      </c>
      <c r="D443" t="s">
        <v>557</v>
      </c>
      <c r="G443">
        <f t="shared" si="16"/>
        <v>312</v>
      </c>
      <c r="H443" t="s">
        <v>514</v>
      </c>
      <c r="K443">
        <v>1104.8658846071901</v>
      </c>
      <c r="L443" t="s">
        <v>550</v>
      </c>
      <c r="M443" t="s">
        <v>535</v>
      </c>
      <c r="Q443" t="s">
        <v>468</v>
      </c>
      <c r="R443" t="s">
        <v>4</v>
      </c>
      <c r="S443" t="s">
        <v>22</v>
      </c>
    </row>
    <row r="444" spans="1:19" x14ac:dyDescent="0.3">
      <c r="A444" s="2" t="s">
        <v>119</v>
      </c>
      <c r="B444" s="4" t="s">
        <v>357</v>
      </c>
      <c r="C444" s="3" t="s">
        <v>28</v>
      </c>
      <c r="D444" t="s">
        <v>557</v>
      </c>
      <c r="G444">
        <v>314</v>
      </c>
      <c r="H444" t="s">
        <v>514</v>
      </c>
      <c r="K444">
        <v>3126.5097982909801</v>
      </c>
      <c r="L444" t="s">
        <v>550</v>
      </c>
      <c r="M444" t="s">
        <v>535</v>
      </c>
      <c r="Q444" t="s">
        <v>468</v>
      </c>
      <c r="R444" t="s">
        <v>4</v>
      </c>
      <c r="S444" t="s">
        <v>22</v>
      </c>
    </row>
    <row r="445" spans="1:19" x14ac:dyDescent="0.3">
      <c r="A445" s="2" t="s">
        <v>119</v>
      </c>
      <c r="B445" s="4" t="s">
        <v>357</v>
      </c>
      <c r="C445" s="3" t="s">
        <v>28</v>
      </c>
      <c r="D445" t="s">
        <v>557</v>
      </c>
      <c r="G445">
        <v>318</v>
      </c>
      <c r="H445" t="s">
        <v>514</v>
      </c>
      <c r="K445">
        <v>3596.62558037283</v>
      </c>
      <c r="L445" t="s">
        <v>550</v>
      </c>
      <c r="M445" t="s">
        <v>535</v>
      </c>
      <c r="Q445" t="s">
        <v>468</v>
      </c>
      <c r="R445" t="s">
        <v>4</v>
      </c>
      <c r="S445" t="s">
        <v>22</v>
      </c>
    </row>
    <row r="446" spans="1:19" x14ac:dyDescent="0.3">
      <c r="A446" s="2" t="s">
        <v>119</v>
      </c>
      <c r="B446" s="4" t="s">
        <v>357</v>
      </c>
      <c r="C446" s="3" t="s">
        <v>28</v>
      </c>
      <c r="D446" t="s">
        <v>557</v>
      </c>
      <c r="G446">
        <v>320</v>
      </c>
      <c r="H446" t="s">
        <v>514</v>
      </c>
      <c r="K446">
        <v>2509.22098660847</v>
      </c>
      <c r="L446" t="s">
        <v>550</v>
      </c>
      <c r="M446" t="s">
        <v>535</v>
      </c>
      <c r="Q446" t="s">
        <v>468</v>
      </c>
      <c r="R446" t="s">
        <v>4</v>
      </c>
      <c r="S446" t="s">
        <v>22</v>
      </c>
    </row>
    <row r="447" spans="1:19" x14ac:dyDescent="0.3">
      <c r="A447" s="2" t="s">
        <v>119</v>
      </c>
      <c r="B447" s="4" t="s">
        <v>357</v>
      </c>
      <c r="C447" s="3" t="s">
        <v>28</v>
      </c>
      <c r="D447" t="s">
        <v>557</v>
      </c>
      <c r="G447">
        <v>324</v>
      </c>
      <c r="H447" t="s">
        <v>514</v>
      </c>
      <c r="K447">
        <v>1762.3413113771401</v>
      </c>
      <c r="L447" t="s">
        <v>550</v>
      </c>
      <c r="M447" t="s">
        <v>535</v>
      </c>
      <c r="Q447" t="s">
        <v>468</v>
      </c>
      <c r="R447" t="s">
        <v>4</v>
      </c>
      <c r="S447" t="s">
        <v>22</v>
      </c>
    </row>
    <row r="448" spans="1:19" x14ac:dyDescent="0.3">
      <c r="A448" s="2" t="s">
        <v>119</v>
      </c>
      <c r="B448" s="4" t="s">
        <v>357</v>
      </c>
      <c r="C448" s="3" t="s">
        <v>28</v>
      </c>
      <c r="D448" t="s">
        <v>557</v>
      </c>
      <c r="G448">
        <v>336</v>
      </c>
      <c r="H448" t="s">
        <v>514</v>
      </c>
      <c r="K448">
        <v>1262.883870224</v>
      </c>
      <c r="L448" t="s">
        <v>550</v>
      </c>
      <c r="M448" t="s">
        <v>535</v>
      </c>
      <c r="Q448" t="s">
        <v>468</v>
      </c>
      <c r="R448" t="s">
        <v>4</v>
      </c>
      <c r="S448" t="s">
        <v>22</v>
      </c>
    </row>
    <row r="449" spans="1:19" x14ac:dyDescent="0.3">
      <c r="A449" s="2" t="s">
        <v>119</v>
      </c>
      <c r="B449" s="4" t="s">
        <v>357</v>
      </c>
      <c r="C449" s="3" t="s">
        <v>28</v>
      </c>
      <c r="D449" t="s">
        <v>557</v>
      </c>
      <c r="G449">
        <v>384</v>
      </c>
      <c r="H449" t="s">
        <v>514</v>
      </c>
      <c r="K449">
        <v>726.60145639083203</v>
      </c>
      <c r="L449" t="s">
        <v>550</v>
      </c>
      <c r="M449" t="s">
        <v>535</v>
      </c>
      <c r="Q449" t="s">
        <v>468</v>
      </c>
      <c r="R449" t="s">
        <v>4</v>
      </c>
      <c r="S449" t="s">
        <v>22</v>
      </c>
    </row>
    <row r="450" spans="1:19" x14ac:dyDescent="0.3">
      <c r="A450" s="2" t="s">
        <v>119</v>
      </c>
      <c r="B450" s="4" t="s">
        <v>357</v>
      </c>
      <c r="C450" s="3" t="s">
        <v>28</v>
      </c>
      <c r="D450" t="s">
        <v>557</v>
      </c>
      <c r="G450">
        <v>432</v>
      </c>
      <c r="H450" t="s">
        <v>514</v>
      </c>
      <c r="K450">
        <v>653.48855345959805</v>
      </c>
      <c r="L450" t="s">
        <v>550</v>
      </c>
      <c r="M450" t="s">
        <v>535</v>
      </c>
      <c r="Q450" t="s">
        <v>468</v>
      </c>
      <c r="R450" t="s">
        <v>4</v>
      </c>
      <c r="S450" t="s">
        <v>22</v>
      </c>
    </row>
    <row r="451" spans="1:19" x14ac:dyDescent="0.3">
      <c r="A451" s="2" t="s">
        <v>119</v>
      </c>
      <c r="B451" s="4" t="s">
        <v>357</v>
      </c>
      <c r="C451" s="3" t="s">
        <v>28</v>
      </c>
      <c r="D451" t="s">
        <v>557</v>
      </c>
      <c r="G451">
        <v>480</v>
      </c>
      <c r="H451" t="s">
        <v>514</v>
      </c>
      <c r="K451">
        <v>676.07826955130304</v>
      </c>
      <c r="L451" t="s">
        <v>550</v>
      </c>
      <c r="M451" t="s">
        <v>535</v>
      </c>
      <c r="Q451" t="s">
        <v>468</v>
      </c>
      <c r="R451" t="s">
        <v>4</v>
      </c>
      <c r="S451" t="s">
        <v>22</v>
      </c>
    </row>
    <row r="452" spans="1:19" x14ac:dyDescent="0.3">
      <c r="A452" s="2" t="s">
        <v>120</v>
      </c>
      <c r="B452" s="4" t="s">
        <v>358</v>
      </c>
      <c r="C452" s="3" t="s">
        <v>28</v>
      </c>
      <c r="D452" t="s">
        <v>543</v>
      </c>
      <c r="E452">
        <v>12</v>
      </c>
      <c r="F452">
        <f>14*24</f>
        <v>336</v>
      </c>
      <c r="G452">
        <f t="shared" ref="G452:G465" si="17">F452+E452</f>
        <v>348</v>
      </c>
      <c r="H452" t="s">
        <v>514</v>
      </c>
      <c r="K452">
        <v>1684.0787524207401</v>
      </c>
      <c r="L452" t="s">
        <v>550</v>
      </c>
      <c r="M452" t="s">
        <v>535</v>
      </c>
      <c r="Q452" t="s">
        <v>468</v>
      </c>
      <c r="R452" t="s">
        <v>4</v>
      </c>
      <c r="S452" t="s">
        <v>22</v>
      </c>
    </row>
    <row r="453" spans="1:19" x14ac:dyDescent="0.3">
      <c r="A453" s="2" t="s">
        <v>120</v>
      </c>
      <c r="B453" s="4" t="s">
        <v>358</v>
      </c>
      <c r="C453" s="3" t="s">
        <v>28</v>
      </c>
      <c r="D453" t="s">
        <v>543</v>
      </c>
      <c r="E453">
        <v>24</v>
      </c>
      <c r="F453">
        <f t="shared" ref="F453:F465" si="18">14*24</f>
        <v>336</v>
      </c>
      <c r="G453">
        <f t="shared" si="17"/>
        <v>360</v>
      </c>
      <c r="H453" t="s">
        <v>514</v>
      </c>
      <c r="K453">
        <v>988.57473827295303</v>
      </c>
      <c r="L453" t="s">
        <v>550</v>
      </c>
      <c r="M453" t="s">
        <v>535</v>
      </c>
      <c r="Q453" t="s">
        <v>468</v>
      </c>
      <c r="R453" t="s">
        <v>4</v>
      </c>
      <c r="S453" t="s">
        <v>22</v>
      </c>
    </row>
    <row r="454" spans="1:19" x14ac:dyDescent="0.3">
      <c r="A454" s="2" t="s">
        <v>120</v>
      </c>
      <c r="B454" s="4" t="s">
        <v>358</v>
      </c>
      <c r="C454" s="3" t="s">
        <v>28</v>
      </c>
      <c r="D454" t="s">
        <v>543</v>
      </c>
      <c r="E454">
        <v>48</v>
      </c>
      <c r="F454">
        <f t="shared" si="18"/>
        <v>336</v>
      </c>
      <c r="G454">
        <f t="shared" si="17"/>
        <v>384</v>
      </c>
      <c r="H454" t="s">
        <v>514</v>
      </c>
      <c r="K454">
        <v>643.32557801222197</v>
      </c>
      <c r="L454" t="s">
        <v>550</v>
      </c>
      <c r="M454" t="s">
        <v>535</v>
      </c>
      <c r="Q454" t="s">
        <v>468</v>
      </c>
      <c r="R454" t="s">
        <v>4</v>
      </c>
      <c r="S454" t="s">
        <v>22</v>
      </c>
    </row>
    <row r="455" spans="1:19" x14ac:dyDescent="0.3">
      <c r="A455" s="2" t="s">
        <v>120</v>
      </c>
      <c r="B455" s="4" t="s">
        <v>358</v>
      </c>
      <c r="C455" s="3" t="s">
        <v>28</v>
      </c>
      <c r="D455" t="s">
        <v>543</v>
      </c>
      <c r="E455">
        <v>72</v>
      </c>
      <c r="F455">
        <f t="shared" si="18"/>
        <v>336</v>
      </c>
      <c r="G455">
        <f t="shared" si="17"/>
        <v>408</v>
      </c>
      <c r="H455" t="s">
        <v>514</v>
      </c>
      <c r="K455">
        <v>563.90174984166003</v>
      </c>
      <c r="L455" t="s">
        <v>550</v>
      </c>
      <c r="M455" t="s">
        <v>535</v>
      </c>
      <c r="Q455" t="s">
        <v>468</v>
      </c>
      <c r="R455" t="s">
        <v>4</v>
      </c>
      <c r="S455" t="s">
        <v>22</v>
      </c>
    </row>
    <row r="456" spans="1:19" x14ac:dyDescent="0.3">
      <c r="A456" s="2" t="s">
        <v>120</v>
      </c>
      <c r="B456" s="4" t="s">
        <v>358</v>
      </c>
      <c r="C456" s="3" t="s">
        <v>28</v>
      </c>
      <c r="D456" t="s">
        <v>543</v>
      </c>
      <c r="E456">
        <v>96</v>
      </c>
      <c r="F456">
        <f t="shared" si="18"/>
        <v>336</v>
      </c>
      <c r="G456">
        <f t="shared" si="17"/>
        <v>432</v>
      </c>
      <c r="H456" t="s">
        <v>514</v>
      </c>
      <c r="K456">
        <v>544.83211862521603</v>
      </c>
      <c r="L456" t="s">
        <v>550</v>
      </c>
      <c r="M456" t="s">
        <v>535</v>
      </c>
      <c r="Q456" t="s">
        <v>468</v>
      </c>
      <c r="R456" t="s">
        <v>4</v>
      </c>
      <c r="S456" t="s">
        <v>22</v>
      </c>
    </row>
    <row r="457" spans="1:19" x14ac:dyDescent="0.3">
      <c r="A457" s="2" t="s">
        <v>120</v>
      </c>
      <c r="B457" s="4" t="s">
        <v>358</v>
      </c>
      <c r="C457" s="3" t="s">
        <v>28</v>
      </c>
      <c r="D457" t="s">
        <v>543</v>
      </c>
      <c r="E457">
        <v>120</v>
      </c>
      <c r="F457">
        <f t="shared" si="18"/>
        <v>336</v>
      </c>
      <c r="G457">
        <f t="shared" si="17"/>
        <v>456</v>
      </c>
      <c r="H457" t="s">
        <v>514</v>
      </c>
      <c r="K457">
        <v>621.53430898464296</v>
      </c>
      <c r="L457" t="s">
        <v>550</v>
      </c>
      <c r="M457" t="s">
        <v>535</v>
      </c>
      <c r="Q457" t="s">
        <v>468</v>
      </c>
      <c r="R457" t="s">
        <v>4</v>
      </c>
      <c r="S457" t="s">
        <v>22</v>
      </c>
    </row>
    <row r="458" spans="1:19" x14ac:dyDescent="0.3">
      <c r="A458" s="2" t="s">
        <v>120</v>
      </c>
      <c r="B458" s="4" t="s">
        <v>358</v>
      </c>
      <c r="C458" s="3" t="s">
        <v>28</v>
      </c>
      <c r="D458" t="s">
        <v>543</v>
      </c>
      <c r="E458">
        <v>360</v>
      </c>
      <c r="F458">
        <f t="shared" si="18"/>
        <v>336</v>
      </c>
      <c r="G458">
        <f t="shared" si="17"/>
        <v>696</v>
      </c>
      <c r="H458" t="s">
        <v>514</v>
      </c>
      <c r="K458">
        <v>443.16008105063798</v>
      </c>
      <c r="L458" t="s">
        <v>550</v>
      </c>
      <c r="M458" t="s">
        <v>535</v>
      </c>
      <c r="Q458" t="s">
        <v>468</v>
      </c>
      <c r="R458" t="s">
        <v>4</v>
      </c>
      <c r="S458" t="s">
        <v>22</v>
      </c>
    </row>
    <row r="459" spans="1:19" x14ac:dyDescent="0.3">
      <c r="A459" s="2" t="s">
        <v>120</v>
      </c>
      <c r="B459" s="4" t="s">
        <v>358</v>
      </c>
      <c r="C459" s="3" t="s">
        <v>28</v>
      </c>
      <c r="D459" t="s">
        <v>543</v>
      </c>
      <c r="E459">
        <v>720</v>
      </c>
      <c r="F459">
        <f t="shared" si="18"/>
        <v>336</v>
      </c>
      <c r="G459">
        <f t="shared" si="17"/>
        <v>1056</v>
      </c>
      <c r="H459" t="s">
        <v>514</v>
      </c>
      <c r="K459">
        <v>366.66007586712698</v>
      </c>
      <c r="L459" t="s">
        <v>550</v>
      </c>
      <c r="M459" t="s">
        <v>535</v>
      </c>
      <c r="Q459" t="s">
        <v>468</v>
      </c>
      <c r="R459" t="s">
        <v>4</v>
      </c>
      <c r="S459" t="s">
        <v>22</v>
      </c>
    </row>
    <row r="460" spans="1:19" x14ac:dyDescent="0.3">
      <c r="A460" s="2" t="s">
        <v>120</v>
      </c>
      <c r="B460" s="4" t="s">
        <v>358</v>
      </c>
      <c r="C460" s="3" t="s">
        <v>28</v>
      </c>
      <c r="D460" t="s">
        <v>543</v>
      </c>
      <c r="E460">
        <v>1080</v>
      </c>
      <c r="F460">
        <f t="shared" si="18"/>
        <v>336</v>
      </c>
      <c r="G460">
        <f t="shared" si="17"/>
        <v>1416</v>
      </c>
      <c r="H460" t="s">
        <v>514</v>
      </c>
      <c r="K460">
        <v>298.198770944074</v>
      </c>
      <c r="L460" t="s">
        <v>550</v>
      </c>
      <c r="M460" t="s">
        <v>535</v>
      </c>
      <c r="Q460" t="s">
        <v>468</v>
      </c>
      <c r="R460" t="s">
        <v>4</v>
      </c>
      <c r="S460" t="s">
        <v>22</v>
      </c>
    </row>
    <row r="461" spans="1:19" x14ac:dyDescent="0.3">
      <c r="A461" s="2" t="s">
        <v>120</v>
      </c>
      <c r="B461" s="4" t="s">
        <v>358</v>
      </c>
      <c r="C461" s="3" t="s">
        <v>28</v>
      </c>
      <c r="D461" t="s">
        <v>543</v>
      </c>
      <c r="E461">
        <v>1440</v>
      </c>
      <c r="F461">
        <f t="shared" si="18"/>
        <v>336</v>
      </c>
      <c r="G461">
        <f t="shared" si="17"/>
        <v>1776</v>
      </c>
      <c r="H461" t="s">
        <v>514</v>
      </c>
      <c r="K461">
        <v>243.91122911279601</v>
      </c>
      <c r="L461" t="s">
        <v>550</v>
      </c>
      <c r="M461" t="s">
        <v>535</v>
      </c>
      <c r="Q461" t="s">
        <v>468</v>
      </c>
      <c r="R461" t="s">
        <v>4</v>
      </c>
      <c r="S461" t="s">
        <v>22</v>
      </c>
    </row>
    <row r="462" spans="1:19" x14ac:dyDescent="0.3">
      <c r="A462" s="2" t="s">
        <v>120</v>
      </c>
      <c r="B462" s="4" t="s">
        <v>358</v>
      </c>
      <c r="C462" s="3" t="s">
        <v>28</v>
      </c>
      <c r="D462" t="s">
        <v>543</v>
      </c>
      <c r="E462">
        <v>2160</v>
      </c>
      <c r="F462">
        <f t="shared" si="18"/>
        <v>336</v>
      </c>
      <c r="G462">
        <f t="shared" si="17"/>
        <v>2496</v>
      </c>
      <c r="H462" t="s">
        <v>514</v>
      </c>
      <c r="K462">
        <v>219.80661663244501</v>
      </c>
      <c r="L462" t="s">
        <v>550</v>
      </c>
      <c r="M462" t="s">
        <v>535</v>
      </c>
      <c r="Q462" t="s">
        <v>468</v>
      </c>
      <c r="R462" t="s">
        <v>4</v>
      </c>
      <c r="S462" t="s">
        <v>22</v>
      </c>
    </row>
    <row r="463" spans="1:19" x14ac:dyDescent="0.3">
      <c r="A463" s="2" t="s">
        <v>120</v>
      </c>
      <c r="B463" s="4" t="s">
        <v>358</v>
      </c>
      <c r="C463" s="3" t="s">
        <v>28</v>
      </c>
      <c r="D463" t="s">
        <v>543</v>
      </c>
      <c r="E463">
        <v>2880</v>
      </c>
      <c r="F463">
        <f t="shared" si="18"/>
        <v>336</v>
      </c>
      <c r="G463">
        <f t="shared" si="17"/>
        <v>3216</v>
      </c>
      <c r="H463" t="s">
        <v>514</v>
      </c>
      <c r="K463">
        <v>191.39309963935801</v>
      </c>
      <c r="L463" t="s">
        <v>550</v>
      </c>
      <c r="M463" t="s">
        <v>535</v>
      </c>
      <c r="Q463" t="s">
        <v>468</v>
      </c>
      <c r="R463" t="s">
        <v>4</v>
      </c>
      <c r="S463" t="s">
        <v>22</v>
      </c>
    </row>
    <row r="464" spans="1:19" x14ac:dyDescent="0.3">
      <c r="A464" s="2" t="s">
        <v>120</v>
      </c>
      <c r="B464" s="4" t="s">
        <v>358</v>
      </c>
      <c r="C464" s="3" t="s">
        <v>28</v>
      </c>
      <c r="D464" t="s">
        <v>543</v>
      </c>
      <c r="E464">
        <v>3600</v>
      </c>
      <c r="F464">
        <f t="shared" si="18"/>
        <v>336</v>
      </c>
      <c r="G464">
        <f t="shared" si="17"/>
        <v>3936</v>
      </c>
      <c r="H464" t="s">
        <v>514</v>
      </c>
      <c r="K464">
        <v>155.58191877838399</v>
      </c>
      <c r="L464" t="s">
        <v>550</v>
      </c>
      <c r="M464" t="s">
        <v>535</v>
      </c>
      <c r="Q464" t="s">
        <v>468</v>
      </c>
      <c r="R464" t="s">
        <v>4</v>
      </c>
      <c r="S464" t="s">
        <v>22</v>
      </c>
    </row>
    <row r="465" spans="1:19" x14ac:dyDescent="0.3">
      <c r="A465" s="2" t="s">
        <v>120</v>
      </c>
      <c r="B465" s="4" t="s">
        <v>358</v>
      </c>
      <c r="C465" s="3" t="s">
        <v>28</v>
      </c>
      <c r="D465" t="s">
        <v>543</v>
      </c>
      <c r="E465">
        <v>4320</v>
      </c>
      <c r="F465">
        <f t="shared" si="18"/>
        <v>336</v>
      </c>
      <c r="G465">
        <f t="shared" si="17"/>
        <v>4656</v>
      </c>
      <c r="H465" t="s">
        <v>514</v>
      </c>
      <c r="K465">
        <v>156.326200188038</v>
      </c>
      <c r="L465" t="s">
        <v>550</v>
      </c>
      <c r="M465" t="s">
        <v>535</v>
      </c>
      <c r="Q465" t="s">
        <v>468</v>
      </c>
      <c r="R465" t="s">
        <v>4</v>
      </c>
      <c r="S465" t="s">
        <v>22</v>
      </c>
    </row>
    <row r="466" spans="1:19" x14ac:dyDescent="0.3">
      <c r="A466" s="2" t="s">
        <v>121</v>
      </c>
      <c r="B466" s="4" t="s">
        <v>361</v>
      </c>
      <c r="C466" s="3" t="s">
        <v>30</v>
      </c>
      <c r="D466" t="s">
        <v>559</v>
      </c>
      <c r="G466">
        <v>0.25</v>
      </c>
      <c r="H466" t="s">
        <v>514</v>
      </c>
      <c r="K466">
        <v>5.4380910726961096</v>
      </c>
      <c r="L466" t="s">
        <v>458</v>
      </c>
      <c r="M466" t="s">
        <v>535</v>
      </c>
      <c r="Q466" t="s">
        <v>468</v>
      </c>
      <c r="R466" t="s">
        <v>4</v>
      </c>
      <c r="S466" t="s">
        <v>31</v>
      </c>
    </row>
    <row r="467" spans="1:19" x14ac:dyDescent="0.3">
      <c r="A467" s="2" t="s">
        <v>121</v>
      </c>
      <c r="B467" s="4" t="s">
        <v>361</v>
      </c>
      <c r="C467" s="3" t="s">
        <v>30</v>
      </c>
      <c r="D467" t="s">
        <v>559</v>
      </c>
      <c r="G467">
        <v>0.5</v>
      </c>
      <c r="H467" t="s">
        <v>514</v>
      </c>
      <c r="K467">
        <v>11.105104286912599</v>
      </c>
      <c r="L467" t="s">
        <v>458</v>
      </c>
      <c r="M467" t="s">
        <v>535</v>
      </c>
      <c r="Q467" t="s">
        <v>468</v>
      </c>
      <c r="R467" t="s">
        <v>4</v>
      </c>
      <c r="S467" t="s">
        <v>31</v>
      </c>
    </row>
    <row r="468" spans="1:19" x14ac:dyDescent="0.3">
      <c r="A468" s="2" t="s">
        <v>121</v>
      </c>
      <c r="B468" s="4" t="s">
        <v>361</v>
      </c>
      <c r="C468" s="3" t="s">
        <v>30</v>
      </c>
      <c r="D468" t="s">
        <v>559</v>
      </c>
      <c r="G468">
        <v>1</v>
      </c>
      <c r="H468" t="s">
        <v>514</v>
      </c>
      <c r="K468">
        <v>14.911372256598099</v>
      </c>
      <c r="L468" t="s">
        <v>458</v>
      </c>
      <c r="M468" t="s">
        <v>535</v>
      </c>
      <c r="Q468" t="s">
        <v>468</v>
      </c>
      <c r="R468" t="s">
        <v>4</v>
      </c>
      <c r="S468" t="s">
        <v>31</v>
      </c>
    </row>
    <row r="469" spans="1:19" x14ac:dyDescent="0.3">
      <c r="A469" s="2" t="s">
        <v>121</v>
      </c>
      <c r="B469" s="4" t="s">
        <v>361</v>
      </c>
      <c r="C469" s="3" t="s">
        <v>30</v>
      </c>
      <c r="D469" t="s">
        <v>559</v>
      </c>
      <c r="G469">
        <v>1.5</v>
      </c>
      <c r="H469" t="s">
        <v>514</v>
      </c>
      <c r="K469">
        <v>14.8249313477353</v>
      </c>
      <c r="L469" t="s">
        <v>458</v>
      </c>
      <c r="M469" t="s">
        <v>535</v>
      </c>
      <c r="Q469" t="s">
        <v>468</v>
      </c>
      <c r="R469" t="s">
        <v>4</v>
      </c>
      <c r="S469" t="s">
        <v>31</v>
      </c>
    </row>
    <row r="470" spans="1:19" x14ac:dyDescent="0.3">
      <c r="A470" s="2" t="s">
        <v>121</v>
      </c>
      <c r="B470" s="4" t="s">
        <v>361</v>
      </c>
      <c r="C470" s="3" t="s">
        <v>30</v>
      </c>
      <c r="D470" t="s">
        <v>559</v>
      </c>
      <c r="G470">
        <v>2</v>
      </c>
      <c r="H470" t="s">
        <v>514</v>
      </c>
      <c r="K470">
        <v>13.736877200278199</v>
      </c>
      <c r="L470" t="s">
        <v>458</v>
      </c>
      <c r="M470" t="s">
        <v>535</v>
      </c>
      <c r="Q470" t="s">
        <v>468</v>
      </c>
      <c r="R470" t="s">
        <v>4</v>
      </c>
      <c r="S470" t="s">
        <v>31</v>
      </c>
    </row>
    <row r="471" spans="1:19" x14ac:dyDescent="0.3">
      <c r="A471" s="2" t="s">
        <v>121</v>
      </c>
      <c r="B471" s="4" t="s">
        <v>361</v>
      </c>
      <c r="C471" s="3" t="s">
        <v>30</v>
      </c>
      <c r="D471" t="s">
        <v>559</v>
      </c>
      <c r="G471">
        <v>3</v>
      </c>
      <c r="H471" t="s">
        <v>514</v>
      </c>
      <c r="K471">
        <v>11.818256124929199</v>
      </c>
      <c r="L471" t="s">
        <v>458</v>
      </c>
      <c r="M471" t="s">
        <v>535</v>
      </c>
      <c r="Q471" t="s">
        <v>468</v>
      </c>
      <c r="R471" t="s">
        <v>4</v>
      </c>
      <c r="S471" t="s">
        <v>31</v>
      </c>
    </row>
    <row r="472" spans="1:19" x14ac:dyDescent="0.3">
      <c r="A472" s="2" t="s">
        <v>121</v>
      </c>
      <c r="B472" s="4" t="s">
        <v>361</v>
      </c>
      <c r="C472" s="3" t="s">
        <v>30</v>
      </c>
      <c r="D472" t="s">
        <v>559</v>
      </c>
      <c r="G472">
        <v>4</v>
      </c>
      <c r="H472" t="s">
        <v>514</v>
      </c>
      <c r="K472">
        <v>10.7296283815273</v>
      </c>
      <c r="L472" t="s">
        <v>458</v>
      </c>
      <c r="M472" t="s">
        <v>535</v>
      </c>
      <c r="Q472" t="s">
        <v>468</v>
      </c>
      <c r="R472" t="s">
        <v>4</v>
      </c>
      <c r="S472" t="s">
        <v>31</v>
      </c>
    </row>
    <row r="473" spans="1:19" x14ac:dyDescent="0.3">
      <c r="A473" s="2" t="s">
        <v>121</v>
      </c>
      <c r="B473" s="4" t="s">
        <v>361</v>
      </c>
      <c r="C473" s="3" t="s">
        <v>30</v>
      </c>
      <c r="D473" t="s">
        <v>559</v>
      </c>
      <c r="G473">
        <v>6</v>
      </c>
      <c r="H473" t="s">
        <v>514</v>
      </c>
      <c r="K473">
        <v>8.4665055818055404</v>
      </c>
      <c r="L473" t="s">
        <v>458</v>
      </c>
      <c r="M473" t="s">
        <v>535</v>
      </c>
      <c r="Q473" t="s">
        <v>468</v>
      </c>
      <c r="R473" t="s">
        <v>4</v>
      </c>
      <c r="S473" t="s">
        <v>31</v>
      </c>
    </row>
    <row r="474" spans="1:19" x14ac:dyDescent="0.3">
      <c r="A474" s="2" t="s">
        <v>121</v>
      </c>
      <c r="B474" s="4" t="s">
        <v>361</v>
      </c>
      <c r="C474" s="3" t="s">
        <v>30</v>
      </c>
      <c r="D474" t="s">
        <v>559</v>
      </c>
      <c r="G474">
        <v>10</v>
      </c>
      <c r="H474" t="s">
        <v>514</v>
      </c>
      <c r="K474">
        <v>5.1710821604491199</v>
      </c>
      <c r="L474" t="s">
        <v>458</v>
      </c>
      <c r="M474" t="s">
        <v>535</v>
      </c>
      <c r="Q474" t="s">
        <v>468</v>
      </c>
      <c r="R474" t="s">
        <v>4</v>
      </c>
      <c r="S474" t="s">
        <v>31</v>
      </c>
    </row>
    <row r="475" spans="1:19" x14ac:dyDescent="0.3">
      <c r="A475" s="2" t="s">
        <v>121</v>
      </c>
      <c r="B475" s="4" t="s">
        <v>361</v>
      </c>
      <c r="C475" s="3" t="s">
        <v>30</v>
      </c>
      <c r="D475" t="s">
        <v>559</v>
      </c>
      <c r="G475">
        <v>12</v>
      </c>
      <c r="H475" t="s">
        <v>514</v>
      </c>
      <c r="K475">
        <v>3.9956693506176801</v>
      </c>
      <c r="L475" t="s">
        <v>458</v>
      </c>
      <c r="M475" t="s">
        <v>535</v>
      </c>
      <c r="Q475" t="s">
        <v>468</v>
      </c>
      <c r="R475" t="s">
        <v>4</v>
      </c>
      <c r="S475" t="s">
        <v>31</v>
      </c>
    </row>
    <row r="476" spans="1:19" x14ac:dyDescent="0.3">
      <c r="A476" s="2" t="s">
        <v>121</v>
      </c>
      <c r="B476" s="4" t="s">
        <v>361</v>
      </c>
      <c r="C476" s="3" t="s">
        <v>30</v>
      </c>
      <c r="D476" t="s">
        <v>559</v>
      </c>
      <c r="G476">
        <v>14</v>
      </c>
      <c r="H476" t="s">
        <v>514</v>
      </c>
      <c r="K476">
        <v>3.0491786823067102</v>
      </c>
      <c r="L476" t="s">
        <v>458</v>
      </c>
      <c r="M476" t="s">
        <v>535</v>
      </c>
      <c r="Q476" t="s">
        <v>468</v>
      </c>
      <c r="R476" t="s">
        <v>4</v>
      </c>
      <c r="S476" t="s">
        <v>31</v>
      </c>
    </row>
    <row r="477" spans="1:19" x14ac:dyDescent="0.3">
      <c r="A477" s="2" t="s">
        <v>121</v>
      </c>
      <c r="B477" s="4" t="s">
        <v>361</v>
      </c>
      <c r="C477" s="3" t="s">
        <v>30</v>
      </c>
      <c r="D477" t="s">
        <v>559</v>
      </c>
      <c r="G477">
        <v>16</v>
      </c>
      <c r="H477" t="s">
        <v>514</v>
      </c>
      <c r="K477">
        <v>2.3603473123445</v>
      </c>
      <c r="L477" t="s">
        <v>458</v>
      </c>
      <c r="M477" t="s">
        <v>535</v>
      </c>
      <c r="Q477" t="s">
        <v>468</v>
      </c>
      <c r="R477" t="s">
        <v>4</v>
      </c>
      <c r="S477" t="s">
        <v>31</v>
      </c>
    </row>
    <row r="478" spans="1:19" x14ac:dyDescent="0.3">
      <c r="A478" s="2" t="s">
        <v>121</v>
      </c>
      <c r="B478" s="4" t="s">
        <v>361</v>
      </c>
      <c r="C478" s="3" t="s">
        <v>30</v>
      </c>
      <c r="D478" t="s">
        <v>559</v>
      </c>
      <c r="G478">
        <v>24</v>
      </c>
      <c r="H478" t="s">
        <v>514</v>
      </c>
      <c r="K478">
        <v>0.97884147959074097</v>
      </c>
      <c r="L478" t="s">
        <v>458</v>
      </c>
      <c r="M478" t="s">
        <v>535</v>
      </c>
      <c r="Q478" t="s">
        <v>468</v>
      </c>
      <c r="R478" t="s">
        <v>4</v>
      </c>
      <c r="S478" t="s">
        <v>31</v>
      </c>
    </row>
    <row r="479" spans="1:19" x14ac:dyDescent="0.3">
      <c r="A479" s="2" t="s">
        <v>121</v>
      </c>
      <c r="B479" s="4" t="s">
        <v>361</v>
      </c>
      <c r="C479" s="3" t="s">
        <v>30</v>
      </c>
      <c r="D479" t="s">
        <v>559</v>
      </c>
      <c r="G479">
        <v>36</v>
      </c>
      <c r="H479" t="s">
        <v>514</v>
      </c>
      <c r="K479">
        <v>0.28048841694688698</v>
      </c>
      <c r="L479" t="s">
        <v>458</v>
      </c>
      <c r="M479" t="s">
        <v>535</v>
      </c>
      <c r="Q479" t="s">
        <v>468</v>
      </c>
      <c r="R479" t="s">
        <v>4</v>
      </c>
      <c r="S479" t="s">
        <v>31</v>
      </c>
    </row>
    <row r="480" spans="1:19" x14ac:dyDescent="0.3">
      <c r="A480" s="2" t="s">
        <v>121</v>
      </c>
      <c r="B480" s="4" t="s">
        <v>361</v>
      </c>
      <c r="C480" s="3" t="s">
        <v>30</v>
      </c>
      <c r="D480" t="s">
        <v>559</v>
      </c>
      <c r="G480">
        <v>48</v>
      </c>
      <c r="H480" t="s">
        <v>514</v>
      </c>
      <c r="K480">
        <v>4.0094356532897203E-2</v>
      </c>
      <c r="L480" t="s">
        <v>458</v>
      </c>
      <c r="M480" t="s">
        <v>535</v>
      </c>
      <c r="Q480" t="s">
        <v>468</v>
      </c>
      <c r="R480" t="s">
        <v>4</v>
      </c>
      <c r="S480" t="s">
        <v>31</v>
      </c>
    </row>
    <row r="481" spans="1:19" x14ac:dyDescent="0.3">
      <c r="A481" s="2" t="s">
        <v>122</v>
      </c>
      <c r="B481" s="4" t="s">
        <v>362</v>
      </c>
      <c r="C481" s="3" t="s">
        <v>30</v>
      </c>
      <c r="D481" t="s">
        <v>559</v>
      </c>
      <c r="G481">
        <v>0.25</v>
      </c>
      <c r="H481" t="s">
        <v>514</v>
      </c>
      <c r="K481">
        <v>4.4458556563816902</v>
      </c>
      <c r="L481" t="s">
        <v>458</v>
      </c>
      <c r="M481" t="s">
        <v>535</v>
      </c>
      <c r="Q481" t="s">
        <v>468</v>
      </c>
      <c r="R481" t="s">
        <v>4</v>
      </c>
      <c r="S481" t="s">
        <v>31</v>
      </c>
    </row>
    <row r="482" spans="1:19" x14ac:dyDescent="0.3">
      <c r="A482" s="2" t="s">
        <v>122</v>
      </c>
      <c r="B482" s="4" t="s">
        <v>362</v>
      </c>
      <c r="C482" s="3" t="s">
        <v>30</v>
      </c>
      <c r="D482" t="s">
        <v>559</v>
      </c>
      <c r="G482">
        <v>1</v>
      </c>
      <c r="H482" t="s">
        <v>514</v>
      </c>
      <c r="K482">
        <v>9.9676778188987907</v>
      </c>
      <c r="L482" t="s">
        <v>458</v>
      </c>
      <c r="M482" t="s">
        <v>535</v>
      </c>
      <c r="Q482" t="s">
        <v>468</v>
      </c>
      <c r="R482" t="s">
        <v>4</v>
      </c>
      <c r="S482" t="s">
        <v>31</v>
      </c>
    </row>
    <row r="483" spans="1:19" x14ac:dyDescent="0.3">
      <c r="A483" s="2" t="s">
        <v>122</v>
      </c>
      <c r="B483" s="4" t="s">
        <v>362</v>
      </c>
      <c r="C483" s="3" t="s">
        <v>30</v>
      </c>
      <c r="D483" t="s">
        <v>559</v>
      </c>
      <c r="G483">
        <v>1.5</v>
      </c>
      <c r="H483" t="s">
        <v>514</v>
      </c>
      <c r="K483">
        <v>9.7975111460374205</v>
      </c>
      <c r="L483" t="s">
        <v>458</v>
      </c>
      <c r="M483" t="s">
        <v>535</v>
      </c>
      <c r="Q483" t="s">
        <v>468</v>
      </c>
      <c r="R483" t="s">
        <v>4</v>
      </c>
      <c r="S483" t="s">
        <v>31</v>
      </c>
    </row>
    <row r="484" spans="1:19" x14ac:dyDescent="0.3">
      <c r="A484" s="2" t="s">
        <v>122</v>
      </c>
      <c r="B484" s="4" t="s">
        <v>362</v>
      </c>
      <c r="C484" s="3" t="s">
        <v>30</v>
      </c>
      <c r="D484" t="s">
        <v>559</v>
      </c>
      <c r="G484">
        <v>2</v>
      </c>
      <c r="H484" t="s">
        <v>514</v>
      </c>
      <c r="K484">
        <v>8.9476972525615004</v>
      </c>
      <c r="L484" t="s">
        <v>458</v>
      </c>
      <c r="M484" t="s">
        <v>535</v>
      </c>
      <c r="Q484" t="s">
        <v>468</v>
      </c>
      <c r="R484" t="s">
        <v>4</v>
      </c>
      <c r="S484" t="s">
        <v>31</v>
      </c>
    </row>
    <row r="485" spans="1:19" x14ac:dyDescent="0.3">
      <c r="A485" s="2" t="s">
        <v>122</v>
      </c>
      <c r="B485" s="4" t="s">
        <v>362</v>
      </c>
      <c r="C485" s="3" t="s">
        <v>30</v>
      </c>
      <c r="D485" t="s">
        <v>559</v>
      </c>
      <c r="G485">
        <v>3</v>
      </c>
      <c r="H485" t="s">
        <v>514</v>
      </c>
      <c r="K485">
        <v>7.67290561576214</v>
      </c>
      <c r="L485" t="s">
        <v>458</v>
      </c>
      <c r="M485" t="s">
        <v>535</v>
      </c>
      <c r="Q485" t="s">
        <v>468</v>
      </c>
      <c r="R485" t="s">
        <v>4</v>
      </c>
      <c r="S485" t="s">
        <v>31</v>
      </c>
    </row>
    <row r="486" spans="1:19" x14ac:dyDescent="0.3">
      <c r="A486" s="2" t="s">
        <v>122</v>
      </c>
      <c r="B486" s="4" t="s">
        <v>362</v>
      </c>
      <c r="C486" s="3" t="s">
        <v>30</v>
      </c>
      <c r="D486" t="s">
        <v>559</v>
      </c>
      <c r="G486">
        <v>4</v>
      </c>
      <c r="H486" t="s">
        <v>514</v>
      </c>
      <c r="K486">
        <v>6.8228651732126897</v>
      </c>
      <c r="L486" t="s">
        <v>458</v>
      </c>
      <c r="M486" t="s">
        <v>535</v>
      </c>
      <c r="Q486" t="s">
        <v>468</v>
      </c>
      <c r="R486" t="s">
        <v>4</v>
      </c>
      <c r="S486" t="s">
        <v>31</v>
      </c>
    </row>
    <row r="487" spans="1:19" x14ac:dyDescent="0.3">
      <c r="A487" s="2" t="s">
        <v>122</v>
      </c>
      <c r="B487" s="4" t="s">
        <v>362</v>
      </c>
      <c r="C487" s="3" t="s">
        <v>30</v>
      </c>
      <c r="D487" t="s">
        <v>559</v>
      </c>
      <c r="G487">
        <v>6</v>
      </c>
      <c r="H487" t="s">
        <v>514</v>
      </c>
      <c r="K487">
        <v>4.7829606778064999</v>
      </c>
      <c r="L487" t="s">
        <v>458</v>
      </c>
      <c r="M487" t="s">
        <v>535</v>
      </c>
      <c r="Q487" t="s">
        <v>468</v>
      </c>
      <c r="R487" t="s">
        <v>4</v>
      </c>
      <c r="S487" t="s">
        <v>31</v>
      </c>
    </row>
    <row r="488" spans="1:19" x14ac:dyDescent="0.3">
      <c r="A488" s="2" t="s">
        <v>122</v>
      </c>
      <c r="B488" s="4" t="s">
        <v>362</v>
      </c>
      <c r="C488" s="3" t="s">
        <v>30</v>
      </c>
      <c r="D488" t="s">
        <v>559</v>
      </c>
      <c r="G488">
        <v>10</v>
      </c>
      <c r="H488" t="s">
        <v>514</v>
      </c>
      <c r="K488">
        <v>2.3456891074143398</v>
      </c>
      <c r="L488" t="s">
        <v>458</v>
      </c>
      <c r="M488" t="s">
        <v>535</v>
      </c>
      <c r="Q488" t="s">
        <v>468</v>
      </c>
      <c r="R488" t="s">
        <v>4</v>
      </c>
      <c r="S488" t="s">
        <v>31</v>
      </c>
    </row>
    <row r="489" spans="1:19" x14ac:dyDescent="0.3">
      <c r="A489" s="2" t="s">
        <v>122</v>
      </c>
      <c r="B489" s="4" t="s">
        <v>362</v>
      </c>
      <c r="C489" s="3" t="s">
        <v>30</v>
      </c>
      <c r="D489" t="s">
        <v>559</v>
      </c>
      <c r="G489">
        <v>12</v>
      </c>
      <c r="H489" t="s">
        <v>514</v>
      </c>
      <c r="K489">
        <v>1.6084701034869</v>
      </c>
      <c r="L489" t="s">
        <v>458</v>
      </c>
      <c r="M489" t="s">
        <v>535</v>
      </c>
      <c r="Q489" t="s">
        <v>468</v>
      </c>
      <c r="R489" t="s">
        <v>4</v>
      </c>
      <c r="S489" t="s">
        <v>31</v>
      </c>
    </row>
    <row r="490" spans="1:19" x14ac:dyDescent="0.3">
      <c r="A490" s="2" t="s">
        <v>122</v>
      </c>
      <c r="B490" s="4" t="s">
        <v>362</v>
      </c>
      <c r="C490" s="3" t="s">
        <v>30</v>
      </c>
      <c r="D490" t="s">
        <v>559</v>
      </c>
      <c r="G490">
        <v>14</v>
      </c>
      <c r="H490" t="s">
        <v>514</v>
      </c>
      <c r="K490">
        <v>1.09777185446345</v>
      </c>
      <c r="L490" t="s">
        <v>458</v>
      </c>
      <c r="M490" t="s">
        <v>535</v>
      </c>
      <c r="Q490" t="s">
        <v>468</v>
      </c>
      <c r="R490" t="s">
        <v>4</v>
      </c>
      <c r="S490" t="s">
        <v>31</v>
      </c>
    </row>
    <row r="491" spans="1:19" x14ac:dyDescent="0.3">
      <c r="A491" s="2" t="s">
        <v>122</v>
      </c>
      <c r="B491" s="4" t="s">
        <v>362</v>
      </c>
      <c r="C491" s="3" t="s">
        <v>30</v>
      </c>
      <c r="D491" t="s">
        <v>559</v>
      </c>
      <c r="G491">
        <v>16</v>
      </c>
      <c r="H491" t="s">
        <v>514</v>
      </c>
      <c r="K491">
        <v>0.78533236342011303</v>
      </c>
      <c r="L491" t="s">
        <v>458</v>
      </c>
      <c r="M491" t="s">
        <v>535</v>
      </c>
      <c r="Q491" t="s">
        <v>468</v>
      </c>
      <c r="R491" t="s">
        <v>4</v>
      </c>
      <c r="S491" t="s">
        <v>31</v>
      </c>
    </row>
    <row r="492" spans="1:19" x14ac:dyDescent="0.3">
      <c r="A492" s="2" t="s">
        <v>122</v>
      </c>
      <c r="B492" s="4" t="s">
        <v>362</v>
      </c>
      <c r="C492" s="3" t="s">
        <v>30</v>
      </c>
      <c r="D492" t="s">
        <v>559</v>
      </c>
      <c r="G492">
        <v>24</v>
      </c>
      <c r="H492" t="s">
        <v>514</v>
      </c>
      <c r="K492">
        <v>0.24354025405354501</v>
      </c>
      <c r="L492" t="s">
        <v>458</v>
      </c>
      <c r="M492" t="s">
        <v>535</v>
      </c>
      <c r="Q492" t="s">
        <v>468</v>
      </c>
      <c r="R492" t="s">
        <v>4</v>
      </c>
      <c r="S492" t="s">
        <v>31</v>
      </c>
    </row>
    <row r="493" spans="1:19" x14ac:dyDescent="0.3">
      <c r="A493" s="2" t="s">
        <v>122</v>
      </c>
      <c r="B493" s="4" t="s">
        <v>362</v>
      </c>
      <c r="C493" s="3" t="s">
        <v>30</v>
      </c>
      <c r="D493" t="s">
        <v>559</v>
      </c>
      <c r="G493">
        <v>36</v>
      </c>
      <c r="H493" t="s">
        <v>514</v>
      </c>
      <c r="K493">
        <v>6.79364034272609E-2</v>
      </c>
      <c r="L493" t="s">
        <v>458</v>
      </c>
      <c r="M493" t="s">
        <v>535</v>
      </c>
      <c r="Q493" t="s">
        <v>468</v>
      </c>
      <c r="R493" t="s">
        <v>4</v>
      </c>
      <c r="S493" t="s">
        <v>31</v>
      </c>
    </row>
    <row r="494" spans="1:19" x14ac:dyDescent="0.3">
      <c r="A494" s="2" t="s">
        <v>122</v>
      </c>
      <c r="B494" s="4" t="s">
        <v>362</v>
      </c>
      <c r="C494" s="3" t="s">
        <v>30</v>
      </c>
      <c r="D494" t="s">
        <v>559</v>
      </c>
      <c r="G494">
        <v>48</v>
      </c>
      <c r="H494" t="s">
        <v>514</v>
      </c>
      <c r="K494">
        <v>9.0619629415272102E-2</v>
      </c>
      <c r="L494" t="s">
        <v>458</v>
      </c>
      <c r="M494" t="s">
        <v>535</v>
      </c>
      <c r="Q494" t="s">
        <v>468</v>
      </c>
      <c r="R494" t="s">
        <v>4</v>
      </c>
      <c r="S494" t="s">
        <v>31</v>
      </c>
    </row>
    <row r="495" spans="1:19" ht="14.4" customHeight="1" x14ac:dyDescent="0.3">
      <c r="A495" s="2" t="s">
        <v>123</v>
      </c>
      <c r="B495" s="4" t="s">
        <v>363</v>
      </c>
      <c r="C495" s="8" t="s">
        <v>32</v>
      </c>
      <c r="D495" t="s">
        <v>528</v>
      </c>
      <c r="E495">
        <v>0</v>
      </c>
      <c r="F495">
        <f>15*24</f>
        <v>360</v>
      </c>
      <c r="G495">
        <f>F495+E495</f>
        <v>360</v>
      </c>
      <c r="H495" t="s">
        <v>514</v>
      </c>
      <c r="K495">
        <v>3.9749019607843099</v>
      </c>
      <c r="L495" t="s">
        <v>530</v>
      </c>
      <c r="M495" t="s">
        <v>535</v>
      </c>
      <c r="Q495" t="s">
        <v>468</v>
      </c>
      <c r="R495" t="s">
        <v>4</v>
      </c>
      <c r="S495" t="s">
        <v>31</v>
      </c>
    </row>
    <row r="496" spans="1:19" ht="14.4" customHeight="1" x14ac:dyDescent="0.3">
      <c r="A496" s="2" t="s">
        <v>123</v>
      </c>
      <c r="B496" s="4" t="s">
        <v>363</v>
      </c>
      <c r="C496" s="8" t="s">
        <v>32</v>
      </c>
      <c r="D496" t="s">
        <v>528</v>
      </c>
      <c r="E496">
        <v>0.25</v>
      </c>
      <c r="F496">
        <f t="shared" ref="F496:F536" si="19">15*24</f>
        <v>360</v>
      </c>
      <c r="G496">
        <f t="shared" ref="G496:G522" si="20">F496+E496</f>
        <v>360.25</v>
      </c>
      <c r="H496" t="s">
        <v>514</v>
      </c>
      <c r="K496">
        <v>5.09490196078431</v>
      </c>
      <c r="L496" t="s">
        <v>530</v>
      </c>
      <c r="M496" t="s">
        <v>535</v>
      </c>
      <c r="Q496" t="s">
        <v>468</v>
      </c>
      <c r="R496" t="s">
        <v>4</v>
      </c>
      <c r="S496" t="s">
        <v>31</v>
      </c>
    </row>
    <row r="497" spans="1:19" ht="14.4" customHeight="1" x14ac:dyDescent="0.3">
      <c r="A497" s="2" t="s">
        <v>123</v>
      </c>
      <c r="B497" s="4" t="s">
        <v>363</v>
      </c>
      <c r="C497" s="8" t="s">
        <v>32</v>
      </c>
      <c r="D497" t="s">
        <v>528</v>
      </c>
      <c r="E497">
        <v>0.5</v>
      </c>
      <c r="F497">
        <f t="shared" si="19"/>
        <v>360</v>
      </c>
      <c r="G497">
        <f t="shared" si="20"/>
        <v>360.5</v>
      </c>
      <c r="H497" t="s">
        <v>514</v>
      </c>
      <c r="K497">
        <v>9.7725490196078404</v>
      </c>
      <c r="L497" t="s">
        <v>530</v>
      </c>
      <c r="M497" t="s">
        <v>535</v>
      </c>
      <c r="Q497" t="s">
        <v>468</v>
      </c>
      <c r="R497" t="s">
        <v>4</v>
      </c>
      <c r="S497" t="s">
        <v>31</v>
      </c>
    </row>
    <row r="498" spans="1:19" ht="14.4" customHeight="1" x14ac:dyDescent="0.3">
      <c r="A498" s="2" t="s">
        <v>123</v>
      </c>
      <c r="B498" s="4" t="s">
        <v>363</v>
      </c>
      <c r="C498" s="8" t="s">
        <v>32</v>
      </c>
      <c r="D498" t="s">
        <v>528</v>
      </c>
      <c r="E498">
        <v>1</v>
      </c>
      <c r="F498">
        <f t="shared" si="19"/>
        <v>360</v>
      </c>
      <c r="G498">
        <f t="shared" si="20"/>
        <v>361</v>
      </c>
      <c r="H498" t="s">
        <v>514</v>
      </c>
      <c r="K498">
        <v>12.385882352941101</v>
      </c>
      <c r="L498" t="s">
        <v>530</v>
      </c>
      <c r="M498" t="s">
        <v>535</v>
      </c>
      <c r="Q498" t="s">
        <v>468</v>
      </c>
      <c r="R498" t="s">
        <v>4</v>
      </c>
      <c r="S498" t="s">
        <v>31</v>
      </c>
    </row>
    <row r="499" spans="1:19" ht="14.4" customHeight="1" x14ac:dyDescent="0.3">
      <c r="A499" s="2" t="s">
        <v>123</v>
      </c>
      <c r="B499" s="4" t="s">
        <v>363</v>
      </c>
      <c r="C499" s="8" t="s">
        <v>32</v>
      </c>
      <c r="D499" t="s">
        <v>528</v>
      </c>
      <c r="E499">
        <v>1.5</v>
      </c>
      <c r="F499">
        <f t="shared" si="19"/>
        <v>360</v>
      </c>
      <c r="G499">
        <f t="shared" si="20"/>
        <v>361.5</v>
      </c>
      <c r="H499" t="s">
        <v>514</v>
      </c>
      <c r="K499">
        <v>11.4635294117647</v>
      </c>
      <c r="L499" t="s">
        <v>530</v>
      </c>
      <c r="M499" t="s">
        <v>535</v>
      </c>
      <c r="Q499" t="s">
        <v>468</v>
      </c>
      <c r="R499" t="s">
        <v>4</v>
      </c>
      <c r="S499" t="s">
        <v>31</v>
      </c>
    </row>
    <row r="500" spans="1:19" ht="14.4" customHeight="1" x14ac:dyDescent="0.3">
      <c r="A500" s="2" t="s">
        <v>123</v>
      </c>
      <c r="B500" s="4" t="s">
        <v>363</v>
      </c>
      <c r="C500" s="8" t="s">
        <v>32</v>
      </c>
      <c r="D500" t="s">
        <v>528</v>
      </c>
      <c r="E500">
        <v>2</v>
      </c>
      <c r="F500">
        <f t="shared" si="19"/>
        <v>360</v>
      </c>
      <c r="G500">
        <f t="shared" si="20"/>
        <v>362</v>
      </c>
      <c r="H500" t="s">
        <v>514</v>
      </c>
      <c r="K500">
        <v>11.2</v>
      </c>
      <c r="L500" t="s">
        <v>530</v>
      </c>
      <c r="M500" t="s">
        <v>535</v>
      </c>
      <c r="Q500" t="s">
        <v>468</v>
      </c>
      <c r="R500" t="s">
        <v>4</v>
      </c>
      <c r="S500" t="s">
        <v>31</v>
      </c>
    </row>
    <row r="501" spans="1:19" ht="14.4" customHeight="1" x14ac:dyDescent="0.3">
      <c r="A501" s="2" t="s">
        <v>123</v>
      </c>
      <c r="B501" s="4" t="s">
        <v>363</v>
      </c>
      <c r="C501" s="8" t="s">
        <v>32</v>
      </c>
      <c r="D501" t="s">
        <v>528</v>
      </c>
      <c r="E501">
        <v>3</v>
      </c>
      <c r="F501">
        <f t="shared" si="19"/>
        <v>360</v>
      </c>
      <c r="G501">
        <f t="shared" si="20"/>
        <v>363</v>
      </c>
      <c r="H501" t="s">
        <v>514</v>
      </c>
      <c r="K501">
        <v>9.9482352941176497</v>
      </c>
      <c r="L501" t="s">
        <v>530</v>
      </c>
      <c r="M501" t="s">
        <v>535</v>
      </c>
      <c r="Q501" t="s">
        <v>468</v>
      </c>
      <c r="R501" t="s">
        <v>4</v>
      </c>
      <c r="S501" t="s">
        <v>31</v>
      </c>
    </row>
    <row r="502" spans="1:19" ht="14.4" customHeight="1" x14ac:dyDescent="0.3">
      <c r="A502" s="2" t="s">
        <v>123</v>
      </c>
      <c r="B502" s="4" t="s">
        <v>363</v>
      </c>
      <c r="C502" s="8" t="s">
        <v>32</v>
      </c>
      <c r="D502" t="s">
        <v>528</v>
      </c>
      <c r="E502">
        <v>4</v>
      </c>
      <c r="F502">
        <f t="shared" si="19"/>
        <v>360</v>
      </c>
      <c r="G502">
        <f t="shared" si="20"/>
        <v>364</v>
      </c>
      <c r="H502" t="s">
        <v>514</v>
      </c>
      <c r="K502">
        <v>9.0698039215686208</v>
      </c>
      <c r="L502" t="s">
        <v>530</v>
      </c>
      <c r="M502" t="s">
        <v>535</v>
      </c>
      <c r="Q502" t="s">
        <v>468</v>
      </c>
      <c r="R502" t="s">
        <v>4</v>
      </c>
      <c r="S502" t="s">
        <v>31</v>
      </c>
    </row>
    <row r="503" spans="1:19" ht="14.4" customHeight="1" x14ac:dyDescent="0.3">
      <c r="A503" s="2" t="s">
        <v>123</v>
      </c>
      <c r="B503" s="4" t="s">
        <v>363</v>
      </c>
      <c r="C503" s="8" t="s">
        <v>32</v>
      </c>
      <c r="D503" t="s">
        <v>528</v>
      </c>
      <c r="E503">
        <v>6</v>
      </c>
      <c r="F503">
        <f t="shared" si="19"/>
        <v>360</v>
      </c>
      <c r="G503">
        <f t="shared" si="20"/>
        <v>366</v>
      </c>
      <c r="H503" t="s">
        <v>514</v>
      </c>
      <c r="K503">
        <v>6.8298039215686304</v>
      </c>
      <c r="L503" t="s">
        <v>530</v>
      </c>
      <c r="M503" t="s">
        <v>535</v>
      </c>
      <c r="Q503" t="s">
        <v>468</v>
      </c>
      <c r="R503" t="s">
        <v>4</v>
      </c>
      <c r="S503" t="s">
        <v>31</v>
      </c>
    </row>
    <row r="504" spans="1:19" ht="14.4" customHeight="1" x14ac:dyDescent="0.3">
      <c r="A504" s="2" t="s">
        <v>123</v>
      </c>
      <c r="B504" s="4" t="s">
        <v>363</v>
      </c>
      <c r="C504" s="8" t="s">
        <v>32</v>
      </c>
      <c r="D504" t="s">
        <v>528</v>
      </c>
      <c r="E504">
        <v>8</v>
      </c>
      <c r="F504">
        <f t="shared" si="19"/>
        <v>360</v>
      </c>
      <c r="G504">
        <f t="shared" si="20"/>
        <v>368</v>
      </c>
      <c r="H504" t="s">
        <v>514</v>
      </c>
      <c r="K504">
        <v>5.1388235294117699</v>
      </c>
      <c r="L504" t="s">
        <v>530</v>
      </c>
      <c r="M504" t="s">
        <v>535</v>
      </c>
      <c r="Q504" t="s">
        <v>468</v>
      </c>
      <c r="R504" t="s">
        <v>4</v>
      </c>
      <c r="S504" t="s">
        <v>31</v>
      </c>
    </row>
    <row r="505" spans="1:19" ht="14.4" customHeight="1" x14ac:dyDescent="0.3">
      <c r="A505" s="2" t="s">
        <v>123</v>
      </c>
      <c r="B505" s="4" t="s">
        <v>363</v>
      </c>
      <c r="C505" s="8" t="s">
        <v>32</v>
      </c>
      <c r="D505" t="s">
        <v>528</v>
      </c>
      <c r="E505">
        <v>10</v>
      </c>
      <c r="F505">
        <f t="shared" si="19"/>
        <v>360</v>
      </c>
      <c r="G505">
        <f t="shared" si="20"/>
        <v>370</v>
      </c>
      <c r="H505" t="s">
        <v>514</v>
      </c>
      <c r="K505">
        <v>3.6454901960784301</v>
      </c>
      <c r="L505" t="s">
        <v>530</v>
      </c>
      <c r="M505" t="s">
        <v>535</v>
      </c>
      <c r="Q505" t="s">
        <v>468</v>
      </c>
      <c r="R505" t="s">
        <v>4</v>
      </c>
      <c r="S505" t="s">
        <v>31</v>
      </c>
    </row>
    <row r="506" spans="1:19" ht="14.4" customHeight="1" x14ac:dyDescent="0.3">
      <c r="A506" s="2" t="s">
        <v>123</v>
      </c>
      <c r="B506" s="4" t="s">
        <v>363</v>
      </c>
      <c r="C506" s="8" t="s">
        <v>32</v>
      </c>
      <c r="D506" t="s">
        <v>528</v>
      </c>
      <c r="E506">
        <v>12</v>
      </c>
      <c r="F506">
        <f t="shared" si="19"/>
        <v>360</v>
      </c>
      <c r="G506">
        <f t="shared" si="20"/>
        <v>372</v>
      </c>
      <c r="H506" t="s">
        <v>514</v>
      </c>
      <c r="K506">
        <v>2.5694117647058801</v>
      </c>
      <c r="L506" t="s">
        <v>530</v>
      </c>
      <c r="M506" t="s">
        <v>535</v>
      </c>
      <c r="Q506" t="s">
        <v>468</v>
      </c>
      <c r="R506" t="s">
        <v>4</v>
      </c>
      <c r="S506" t="s">
        <v>31</v>
      </c>
    </row>
    <row r="507" spans="1:19" ht="14.4" customHeight="1" x14ac:dyDescent="0.3">
      <c r="A507" s="2" t="s">
        <v>123</v>
      </c>
      <c r="B507" s="4" t="s">
        <v>363</v>
      </c>
      <c r="C507" s="8" t="s">
        <v>32</v>
      </c>
      <c r="D507" t="s">
        <v>528</v>
      </c>
      <c r="E507">
        <v>16</v>
      </c>
      <c r="F507">
        <f t="shared" si="19"/>
        <v>360</v>
      </c>
      <c r="G507">
        <f t="shared" si="20"/>
        <v>376</v>
      </c>
      <c r="H507" t="s">
        <v>514</v>
      </c>
      <c r="K507">
        <v>1.5811764705882201</v>
      </c>
      <c r="L507" t="s">
        <v>530</v>
      </c>
      <c r="M507" t="s">
        <v>535</v>
      </c>
      <c r="Q507" t="s">
        <v>468</v>
      </c>
      <c r="R507" t="s">
        <v>4</v>
      </c>
      <c r="S507" t="s">
        <v>31</v>
      </c>
    </row>
    <row r="508" spans="1:19" ht="14.4" customHeight="1" x14ac:dyDescent="0.3">
      <c r="A508" s="2" t="s">
        <v>123</v>
      </c>
      <c r="B508" s="4" t="s">
        <v>363</v>
      </c>
      <c r="C508" s="8" t="s">
        <v>32</v>
      </c>
      <c r="D508" t="s">
        <v>528</v>
      </c>
      <c r="E508">
        <v>24</v>
      </c>
      <c r="F508">
        <f t="shared" si="19"/>
        <v>360</v>
      </c>
      <c r="G508">
        <f t="shared" si="20"/>
        <v>384</v>
      </c>
      <c r="H508" t="s">
        <v>514</v>
      </c>
      <c r="K508">
        <v>0.65882352941176203</v>
      </c>
      <c r="L508" t="s">
        <v>530</v>
      </c>
      <c r="M508" t="s">
        <v>535</v>
      </c>
      <c r="Q508" t="s">
        <v>468</v>
      </c>
      <c r="R508" t="s">
        <v>4</v>
      </c>
      <c r="S508" t="s">
        <v>31</v>
      </c>
    </row>
    <row r="509" spans="1:19" ht="14.4" customHeight="1" x14ac:dyDescent="0.3">
      <c r="A509" s="2" t="s">
        <v>124</v>
      </c>
      <c r="B509" s="4" t="s">
        <v>363</v>
      </c>
      <c r="C509" s="8" t="s">
        <v>32</v>
      </c>
      <c r="D509" t="s">
        <v>528</v>
      </c>
      <c r="E509">
        <v>0</v>
      </c>
      <c r="F509">
        <f t="shared" si="19"/>
        <v>360</v>
      </c>
      <c r="G509">
        <f t="shared" si="20"/>
        <v>360</v>
      </c>
      <c r="H509" t="s">
        <v>514</v>
      </c>
      <c r="K509">
        <v>5.0949019607843198</v>
      </c>
      <c r="L509" t="s">
        <v>530</v>
      </c>
      <c r="M509" t="s">
        <v>535</v>
      </c>
      <c r="Q509" t="s">
        <v>468</v>
      </c>
      <c r="R509" t="s">
        <v>4</v>
      </c>
      <c r="S509" t="s">
        <v>31</v>
      </c>
    </row>
    <row r="510" spans="1:19" ht="14.4" customHeight="1" x14ac:dyDescent="0.3">
      <c r="A510" s="2" t="s">
        <v>124</v>
      </c>
      <c r="B510" s="4" t="s">
        <v>363</v>
      </c>
      <c r="C510" s="8" t="s">
        <v>32</v>
      </c>
      <c r="D510" t="s">
        <v>528</v>
      </c>
      <c r="E510">
        <v>0.25</v>
      </c>
      <c r="F510">
        <f t="shared" si="19"/>
        <v>360</v>
      </c>
      <c r="G510">
        <f t="shared" si="20"/>
        <v>360.25</v>
      </c>
      <c r="H510" t="s">
        <v>514</v>
      </c>
      <c r="K510">
        <v>7.9498039215686296</v>
      </c>
      <c r="L510" t="s">
        <v>530</v>
      </c>
      <c r="M510" t="s">
        <v>535</v>
      </c>
      <c r="Q510" t="s">
        <v>468</v>
      </c>
      <c r="R510" t="s">
        <v>4</v>
      </c>
      <c r="S510" t="s">
        <v>31</v>
      </c>
    </row>
    <row r="511" spans="1:19" ht="14.4" customHeight="1" x14ac:dyDescent="0.3">
      <c r="A511" s="2" t="s">
        <v>124</v>
      </c>
      <c r="B511" s="4" t="s">
        <v>364</v>
      </c>
      <c r="C511" s="8" t="s">
        <v>32</v>
      </c>
      <c r="D511" t="s">
        <v>528</v>
      </c>
      <c r="E511">
        <v>0.5</v>
      </c>
      <c r="F511">
        <f t="shared" si="19"/>
        <v>360</v>
      </c>
      <c r="G511">
        <f t="shared" si="20"/>
        <v>360.5</v>
      </c>
      <c r="H511" t="s">
        <v>514</v>
      </c>
      <c r="K511">
        <v>11.705098039215599</v>
      </c>
      <c r="L511" t="s">
        <v>530</v>
      </c>
      <c r="M511" t="s">
        <v>535</v>
      </c>
      <c r="Q511" t="s">
        <v>468</v>
      </c>
      <c r="R511" t="s">
        <v>4</v>
      </c>
      <c r="S511" t="s">
        <v>31</v>
      </c>
    </row>
    <row r="512" spans="1:19" ht="14.4" customHeight="1" x14ac:dyDescent="0.3">
      <c r="A512" s="2" t="s">
        <v>124</v>
      </c>
      <c r="B512" s="4" t="s">
        <v>364</v>
      </c>
      <c r="C512" s="8" t="s">
        <v>32</v>
      </c>
      <c r="D512" t="s">
        <v>528</v>
      </c>
      <c r="E512">
        <v>1</v>
      </c>
      <c r="F512">
        <f t="shared" si="19"/>
        <v>360</v>
      </c>
      <c r="G512">
        <f t="shared" si="20"/>
        <v>361</v>
      </c>
      <c r="H512" t="s">
        <v>514</v>
      </c>
      <c r="K512">
        <v>12.1882352941176</v>
      </c>
      <c r="L512" t="s">
        <v>530</v>
      </c>
      <c r="M512" t="s">
        <v>535</v>
      </c>
      <c r="Q512" t="s">
        <v>468</v>
      </c>
      <c r="R512" t="s">
        <v>4</v>
      </c>
      <c r="S512" t="s">
        <v>31</v>
      </c>
    </row>
    <row r="513" spans="1:19" ht="14.4" customHeight="1" x14ac:dyDescent="0.3">
      <c r="A513" s="2" t="s">
        <v>124</v>
      </c>
      <c r="B513" s="4" t="s">
        <v>364</v>
      </c>
      <c r="C513" s="8" t="s">
        <v>32</v>
      </c>
      <c r="D513" t="s">
        <v>528</v>
      </c>
      <c r="E513">
        <v>1.5</v>
      </c>
      <c r="F513">
        <f t="shared" si="19"/>
        <v>360</v>
      </c>
      <c r="G513">
        <f t="shared" si="20"/>
        <v>361.5</v>
      </c>
      <c r="H513" t="s">
        <v>514</v>
      </c>
      <c r="K513">
        <v>12.2321568627451</v>
      </c>
      <c r="L513" t="s">
        <v>530</v>
      </c>
      <c r="M513" t="s">
        <v>535</v>
      </c>
      <c r="Q513" t="s">
        <v>468</v>
      </c>
      <c r="R513" t="s">
        <v>4</v>
      </c>
      <c r="S513" t="s">
        <v>31</v>
      </c>
    </row>
    <row r="514" spans="1:19" ht="14.4" customHeight="1" x14ac:dyDescent="0.3">
      <c r="A514" s="2" t="s">
        <v>124</v>
      </c>
      <c r="B514" s="4" t="s">
        <v>364</v>
      </c>
      <c r="C514" s="8" t="s">
        <v>32</v>
      </c>
      <c r="D514" t="s">
        <v>528</v>
      </c>
      <c r="E514">
        <v>2</v>
      </c>
      <c r="F514">
        <f t="shared" si="19"/>
        <v>360</v>
      </c>
      <c r="G514">
        <f t="shared" si="20"/>
        <v>362</v>
      </c>
      <c r="H514" t="s">
        <v>514</v>
      </c>
      <c r="K514">
        <v>12.1003921568627</v>
      </c>
      <c r="L514" t="s">
        <v>530</v>
      </c>
      <c r="M514" t="s">
        <v>535</v>
      </c>
      <c r="Q514" t="s">
        <v>468</v>
      </c>
      <c r="R514" t="s">
        <v>4</v>
      </c>
      <c r="S514" t="s">
        <v>31</v>
      </c>
    </row>
    <row r="515" spans="1:19" ht="14.4" customHeight="1" x14ac:dyDescent="0.3">
      <c r="A515" s="2" t="s">
        <v>124</v>
      </c>
      <c r="B515" s="4" t="s">
        <v>364</v>
      </c>
      <c r="C515" s="8" t="s">
        <v>32</v>
      </c>
      <c r="D515" t="s">
        <v>528</v>
      </c>
      <c r="E515">
        <v>3</v>
      </c>
      <c r="F515">
        <f t="shared" si="19"/>
        <v>360</v>
      </c>
      <c r="G515">
        <f t="shared" si="20"/>
        <v>363</v>
      </c>
      <c r="H515" t="s">
        <v>514</v>
      </c>
      <c r="K515">
        <v>11.9686274509803</v>
      </c>
      <c r="L515" t="s">
        <v>530</v>
      </c>
      <c r="M515" t="s">
        <v>535</v>
      </c>
      <c r="Q515" t="s">
        <v>468</v>
      </c>
      <c r="R515" t="s">
        <v>4</v>
      </c>
      <c r="S515" t="s">
        <v>31</v>
      </c>
    </row>
    <row r="516" spans="1:19" ht="14.4" customHeight="1" x14ac:dyDescent="0.3">
      <c r="A516" s="2" t="s">
        <v>124</v>
      </c>
      <c r="B516" s="4" t="s">
        <v>364</v>
      </c>
      <c r="C516" s="8" t="s">
        <v>32</v>
      </c>
      <c r="D516" t="s">
        <v>528</v>
      </c>
      <c r="E516">
        <v>4</v>
      </c>
      <c r="F516">
        <f t="shared" si="19"/>
        <v>360</v>
      </c>
      <c r="G516">
        <f t="shared" si="20"/>
        <v>364</v>
      </c>
      <c r="H516" t="s">
        <v>514</v>
      </c>
      <c r="K516">
        <v>10.7827450980392</v>
      </c>
      <c r="L516" t="s">
        <v>530</v>
      </c>
      <c r="M516" t="s">
        <v>535</v>
      </c>
      <c r="Q516" t="s">
        <v>468</v>
      </c>
      <c r="R516" t="s">
        <v>4</v>
      </c>
      <c r="S516" t="s">
        <v>31</v>
      </c>
    </row>
    <row r="517" spans="1:19" ht="14.4" customHeight="1" x14ac:dyDescent="0.3">
      <c r="A517" s="2" t="s">
        <v>124</v>
      </c>
      <c r="B517" s="4" t="s">
        <v>364</v>
      </c>
      <c r="C517" s="8" t="s">
        <v>32</v>
      </c>
      <c r="D517" t="s">
        <v>528</v>
      </c>
      <c r="E517">
        <v>6</v>
      </c>
      <c r="F517">
        <f t="shared" si="19"/>
        <v>360</v>
      </c>
      <c r="G517">
        <f t="shared" si="20"/>
        <v>366</v>
      </c>
      <c r="H517" t="s">
        <v>514</v>
      </c>
      <c r="K517">
        <v>8.2133333333333294</v>
      </c>
      <c r="L517" t="s">
        <v>530</v>
      </c>
      <c r="M517" t="s">
        <v>535</v>
      </c>
      <c r="Q517" t="s">
        <v>468</v>
      </c>
      <c r="R517" t="s">
        <v>4</v>
      </c>
      <c r="S517" t="s">
        <v>31</v>
      </c>
    </row>
    <row r="518" spans="1:19" ht="14.4" customHeight="1" x14ac:dyDescent="0.3">
      <c r="A518" s="2" t="s">
        <v>124</v>
      </c>
      <c r="B518" s="4" t="s">
        <v>364</v>
      </c>
      <c r="C518" s="8" t="s">
        <v>32</v>
      </c>
      <c r="D518" t="s">
        <v>528</v>
      </c>
      <c r="E518">
        <v>8</v>
      </c>
      <c r="F518">
        <f t="shared" si="19"/>
        <v>360</v>
      </c>
      <c r="G518">
        <f t="shared" si="20"/>
        <v>368</v>
      </c>
      <c r="H518" t="s">
        <v>514</v>
      </c>
      <c r="K518">
        <v>6.2807843137254897</v>
      </c>
      <c r="L518" t="s">
        <v>530</v>
      </c>
      <c r="M518" t="s">
        <v>535</v>
      </c>
      <c r="Q518" t="s">
        <v>468</v>
      </c>
      <c r="R518" t="s">
        <v>4</v>
      </c>
      <c r="S518" t="s">
        <v>31</v>
      </c>
    </row>
    <row r="519" spans="1:19" ht="14.4" customHeight="1" x14ac:dyDescent="0.3">
      <c r="A519" s="2" t="s">
        <v>124</v>
      </c>
      <c r="B519" s="4" t="s">
        <v>364</v>
      </c>
      <c r="C519" s="8" t="s">
        <v>32</v>
      </c>
      <c r="D519" t="s">
        <v>528</v>
      </c>
      <c r="E519">
        <v>10</v>
      </c>
      <c r="F519">
        <f t="shared" si="19"/>
        <v>360</v>
      </c>
      <c r="G519">
        <f t="shared" si="20"/>
        <v>370</v>
      </c>
      <c r="H519" t="s">
        <v>514</v>
      </c>
      <c r="K519">
        <v>5.0070588235294098</v>
      </c>
      <c r="L519" t="s">
        <v>530</v>
      </c>
      <c r="M519" t="s">
        <v>535</v>
      </c>
      <c r="Q519" t="s">
        <v>468</v>
      </c>
      <c r="R519" t="s">
        <v>4</v>
      </c>
      <c r="S519" t="s">
        <v>31</v>
      </c>
    </row>
    <row r="520" spans="1:19" ht="14.4" customHeight="1" x14ac:dyDescent="0.3">
      <c r="A520" s="2" t="s">
        <v>124</v>
      </c>
      <c r="B520" s="4" t="s">
        <v>364</v>
      </c>
      <c r="C520" s="8" t="s">
        <v>32</v>
      </c>
      <c r="D520" t="s">
        <v>528</v>
      </c>
      <c r="E520">
        <v>12</v>
      </c>
      <c r="F520">
        <f t="shared" si="19"/>
        <v>360</v>
      </c>
      <c r="G520">
        <f t="shared" si="20"/>
        <v>372</v>
      </c>
      <c r="H520" t="s">
        <v>514</v>
      </c>
      <c r="K520">
        <v>3.8211764705882301</v>
      </c>
      <c r="L520" t="s">
        <v>530</v>
      </c>
      <c r="M520" t="s">
        <v>535</v>
      </c>
      <c r="Q520" t="s">
        <v>468</v>
      </c>
      <c r="R520" t="s">
        <v>4</v>
      </c>
      <c r="S520" t="s">
        <v>31</v>
      </c>
    </row>
    <row r="521" spans="1:19" ht="14.4" customHeight="1" x14ac:dyDescent="0.3">
      <c r="A521" s="2" t="s">
        <v>124</v>
      </c>
      <c r="B521" s="4" t="s">
        <v>364</v>
      </c>
      <c r="C521" s="8" t="s">
        <v>32</v>
      </c>
      <c r="D521" t="s">
        <v>528</v>
      </c>
      <c r="E521">
        <v>16</v>
      </c>
      <c r="F521">
        <f t="shared" si="19"/>
        <v>360</v>
      </c>
      <c r="G521">
        <f t="shared" si="20"/>
        <v>376</v>
      </c>
      <c r="H521" t="s">
        <v>514</v>
      </c>
      <c r="K521">
        <v>2.3717647058823399</v>
      </c>
      <c r="L521" t="s">
        <v>530</v>
      </c>
      <c r="M521" t="s">
        <v>535</v>
      </c>
      <c r="Q521" t="s">
        <v>468</v>
      </c>
      <c r="R521" t="s">
        <v>4</v>
      </c>
      <c r="S521" t="s">
        <v>31</v>
      </c>
    </row>
    <row r="522" spans="1:19" ht="14.4" customHeight="1" x14ac:dyDescent="0.3">
      <c r="A522" s="2" t="s">
        <v>124</v>
      </c>
      <c r="B522" s="4" t="s">
        <v>364</v>
      </c>
      <c r="C522" s="8" t="s">
        <v>32</v>
      </c>
      <c r="D522" t="s">
        <v>528</v>
      </c>
      <c r="E522">
        <v>24</v>
      </c>
      <c r="F522">
        <f t="shared" si="19"/>
        <v>360</v>
      </c>
      <c r="G522">
        <f t="shared" si="20"/>
        <v>384</v>
      </c>
      <c r="H522" t="s">
        <v>514</v>
      </c>
      <c r="K522">
        <v>1.1858823529411699</v>
      </c>
      <c r="L522" t="s">
        <v>530</v>
      </c>
      <c r="M522" t="s">
        <v>535</v>
      </c>
      <c r="Q522" t="s">
        <v>468</v>
      </c>
      <c r="R522" t="s">
        <v>4</v>
      </c>
      <c r="S522" t="s">
        <v>31</v>
      </c>
    </row>
    <row r="523" spans="1:19" ht="14.4" customHeight="1" x14ac:dyDescent="0.3">
      <c r="A523" s="2" t="s">
        <v>125</v>
      </c>
      <c r="B523" s="4" t="s">
        <v>365</v>
      </c>
      <c r="C523" s="8" t="s">
        <v>32</v>
      </c>
      <c r="D523" t="s">
        <v>528</v>
      </c>
      <c r="E523">
        <v>0</v>
      </c>
      <c r="F523">
        <f t="shared" si="19"/>
        <v>360</v>
      </c>
      <c r="G523">
        <f t="shared" ref="G523:G567" si="21">F523+E523</f>
        <v>360</v>
      </c>
      <c r="H523" t="s">
        <v>514</v>
      </c>
      <c r="K523">
        <v>7.9717647058823502</v>
      </c>
      <c r="L523" t="s">
        <v>530</v>
      </c>
      <c r="M523" t="s">
        <v>535</v>
      </c>
      <c r="Q523" t="s">
        <v>468</v>
      </c>
      <c r="R523" t="s">
        <v>4</v>
      </c>
      <c r="S523" t="s">
        <v>31</v>
      </c>
    </row>
    <row r="524" spans="1:19" ht="14.4" customHeight="1" x14ac:dyDescent="0.3">
      <c r="A524" s="2" t="s">
        <v>125</v>
      </c>
      <c r="B524" s="4" t="s">
        <v>365</v>
      </c>
      <c r="C524" s="8" t="s">
        <v>32</v>
      </c>
      <c r="D524" t="s">
        <v>528</v>
      </c>
      <c r="E524">
        <v>0.25</v>
      </c>
      <c r="F524">
        <f t="shared" si="19"/>
        <v>360</v>
      </c>
      <c r="G524">
        <f t="shared" si="21"/>
        <v>360.25</v>
      </c>
      <c r="H524" t="s">
        <v>514</v>
      </c>
      <c r="K524">
        <v>10.145882352941101</v>
      </c>
      <c r="L524" t="s">
        <v>530</v>
      </c>
      <c r="M524" t="s">
        <v>535</v>
      </c>
      <c r="Q524" t="s">
        <v>468</v>
      </c>
      <c r="R524" t="s">
        <v>4</v>
      </c>
      <c r="S524" t="s">
        <v>31</v>
      </c>
    </row>
    <row r="525" spans="1:19" ht="14.4" customHeight="1" x14ac:dyDescent="0.3">
      <c r="A525" s="2" t="s">
        <v>125</v>
      </c>
      <c r="B525" s="4" t="s">
        <v>364</v>
      </c>
      <c r="C525" s="8" t="s">
        <v>32</v>
      </c>
      <c r="D525" t="s">
        <v>528</v>
      </c>
      <c r="E525">
        <v>0.5</v>
      </c>
      <c r="F525">
        <f t="shared" si="19"/>
        <v>360</v>
      </c>
      <c r="G525">
        <f t="shared" si="21"/>
        <v>360.5</v>
      </c>
      <c r="H525" t="s">
        <v>514</v>
      </c>
      <c r="K525">
        <v>13.681568627450901</v>
      </c>
      <c r="L525" t="s">
        <v>530</v>
      </c>
      <c r="M525" t="s">
        <v>535</v>
      </c>
      <c r="Q525" t="s">
        <v>468</v>
      </c>
      <c r="R525" t="s">
        <v>4</v>
      </c>
      <c r="S525" t="s">
        <v>31</v>
      </c>
    </row>
    <row r="526" spans="1:19" ht="14.4" customHeight="1" x14ac:dyDescent="0.3">
      <c r="A526" s="2" t="s">
        <v>125</v>
      </c>
      <c r="B526" s="4" t="s">
        <v>365</v>
      </c>
      <c r="C526" s="8" t="s">
        <v>32</v>
      </c>
      <c r="D526" t="s">
        <v>528</v>
      </c>
      <c r="E526">
        <v>1</v>
      </c>
      <c r="F526">
        <f t="shared" si="19"/>
        <v>360</v>
      </c>
      <c r="G526">
        <f t="shared" si="21"/>
        <v>361</v>
      </c>
      <c r="H526" t="s">
        <v>514</v>
      </c>
      <c r="K526">
        <v>16.668235294117601</v>
      </c>
      <c r="L526" t="s">
        <v>530</v>
      </c>
      <c r="M526" t="s">
        <v>535</v>
      </c>
      <c r="Q526" t="s">
        <v>468</v>
      </c>
      <c r="R526" t="s">
        <v>4</v>
      </c>
      <c r="S526" t="s">
        <v>31</v>
      </c>
    </row>
    <row r="527" spans="1:19" ht="14.4" customHeight="1" x14ac:dyDescent="0.3">
      <c r="A527" s="2" t="s">
        <v>125</v>
      </c>
      <c r="B527" s="4" t="s">
        <v>365</v>
      </c>
      <c r="C527" s="8" t="s">
        <v>32</v>
      </c>
      <c r="D527" t="s">
        <v>528</v>
      </c>
      <c r="E527">
        <v>1.5</v>
      </c>
      <c r="F527">
        <f t="shared" si="19"/>
        <v>360</v>
      </c>
      <c r="G527">
        <f t="shared" si="21"/>
        <v>361.5</v>
      </c>
      <c r="H527" t="s">
        <v>514</v>
      </c>
      <c r="K527">
        <v>17.2611764705882</v>
      </c>
      <c r="L527" t="s">
        <v>530</v>
      </c>
      <c r="M527" t="s">
        <v>535</v>
      </c>
      <c r="Q527" t="s">
        <v>468</v>
      </c>
      <c r="R527" t="s">
        <v>4</v>
      </c>
      <c r="S527" t="s">
        <v>31</v>
      </c>
    </row>
    <row r="528" spans="1:19" ht="14.4" customHeight="1" x14ac:dyDescent="0.3">
      <c r="A528" s="2" t="s">
        <v>125</v>
      </c>
      <c r="B528" s="4" t="s">
        <v>365</v>
      </c>
      <c r="C528" s="8" t="s">
        <v>32</v>
      </c>
      <c r="D528" t="s">
        <v>528</v>
      </c>
      <c r="E528">
        <v>2</v>
      </c>
      <c r="F528">
        <f t="shared" si="19"/>
        <v>360</v>
      </c>
      <c r="G528">
        <f t="shared" si="21"/>
        <v>362</v>
      </c>
      <c r="H528" t="s">
        <v>514</v>
      </c>
      <c r="K528">
        <v>16.975686274509801</v>
      </c>
      <c r="L528" t="s">
        <v>530</v>
      </c>
      <c r="M528" t="s">
        <v>535</v>
      </c>
      <c r="Q528" t="s">
        <v>468</v>
      </c>
      <c r="R528" t="s">
        <v>4</v>
      </c>
      <c r="S528" t="s">
        <v>31</v>
      </c>
    </row>
    <row r="529" spans="1:19" ht="14.4" customHeight="1" x14ac:dyDescent="0.3">
      <c r="A529" s="2" t="s">
        <v>125</v>
      </c>
      <c r="B529" s="4" t="s">
        <v>365</v>
      </c>
      <c r="C529" s="8" t="s">
        <v>32</v>
      </c>
      <c r="D529" t="s">
        <v>528</v>
      </c>
      <c r="E529">
        <v>3</v>
      </c>
      <c r="F529">
        <f t="shared" si="19"/>
        <v>360</v>
      </c>
      <c r="G529">
        <f t="shared" si="21"/>
        <v>363</v>
      </c>
      <c r="H529" t="s">
        <v>514</v>
      </c>
      <c r="K529">
        <v>16.909803921568599</v>
      </c>
      <c r="L529" t="s">
        <v>530</v>
      </c>
      <c r="M529" t="s">
        <v>535</v>
      </c>
      <c r="Q529" t="s">
        <v>468</v>
      </c>
      <c r="R529" t="s">
        <v>4</v>
      </c>
      <c r="S529" t="s">
        <v>31</v>
      </c>
    </row>
    <row r="530" spans="1:19" ht="14.4" customHeight="1" x14ac:dyDescent="0.3">
      <c r="A530" s="2" t="s">
        <v>125</v>
      </c>
      <c r="B530" s="4" t="s">
        <v>365</v>
      </c>
      <c r="C530" s="8" t="s">
        <v>32</v>
      </c>
      <c r="D530" t="s">
        <v>528</v>
      </c>
      <c r="E530">
        <v>4</v>
      </c>
      <c r="F530">
        <f t="shared" si="19"/>
        <v>360</v>
      </c>
      <c r="G530">
        <f t="shared" si="21"/>
        <v>364</v>
      </c>
      <c r="H530" t="s">
        <v>514</v>
      </c>
      <c r="K530">
        <v>15.438431372548999</v>
      </c>
      <c r="L530" t="s">
        <v>530</v>
      </c>
      <c r="M530" t="s">
        <v>535</v>
      </c>
      <c r="Q530" t="s">
        <v>468</v>
      </c>
      <c r="R530" t="s">
        <v>4</v>
      </c>
      <c r="S530" t="s">
        <v>31</v>
      </c>
    </row>
    <row r="531" spans="1:19" ht="14.4" customHeight="1" x14ac:dyDescent="0.3">
      <c r="A531" s="2" t="s">
        <v>125</v>
      </c>
      <c r="B531" s="4" t="s">
        <v>365</v>
      </c>
      <c r="C531" s="8" t="s">
        <v>32</v>
      </c>
      <c r="D531" t="s">
        <v>528</v>
      </c>
      <c r="E531">
        <v>6</v>
      </c>
      <c r="F531">
        <f t="shared" si="19"/>
        <v>360</v>
      </c>
      <c r="G531">
        <f t="shared" si="21"/>
        <v>366</v>
      </c>
      <c r="H531" t="s">
        <v>514</v>
      </c>
      <c r="K531">
        <v>12.583529411764699</v>
      </c>
      <c r="L531" t="s">
        <v>530</v>
      </c>
      <c r="M531" t="s">
        <v>535</v>
      </c>
      <c r="Q531" t="s">
        <v>468</v>
      </c>
      <c r="R531" t="s">
        <v>4</v>
      </c>
      <c r="S531" t="s">
        <v>31</v>
      </c>
    </row>
    <row r="532" spans="1:19" ht="14.4" customHeight="1" x14ac:dyDescent="0.3">
      <c r="A532" s="2" t="s">
        <v>125</v>
      </c>
      <c r="B532" s="4" t="s">
        <v>365</v>
      </c>
      <c r="C532" s="8" t="s">
        <v>32</v>
      </c>
      <c r="D532" t="s">
        <v>528</v>
      </c>
      <c r="E532">
        <v>8</v>
      </c>
      <c r="F532">
        <f t="shared" si="19"/>
        <v>360</v>
      </c>
      <c r="G532">
        <f t="shared" si="21"/>
        <v>368</v>
      </c>
      <c r="H532" t="s">
        <v>514</v>
      </c>
      <c r="K532">
        <v>9.9482352941176497</v>
      </c>
      <c r="L532" t="s">
        <v>530</v>
      </c>
      <c r="M532" t="s">
        <v>535</v>
      </c>
      <c r="Q532" t="s">
        <v>468</v>
      </c>
      <c r="R532" t="s">
        <v>4</v>
      </c>
      <c r="S532" t="s">
        <v>31</v>
      </c>
    </row>
    <row r="533" spans="1:19" ht="14.4" customHeight="1" x14ac:dyDescent="0.3">
      <c r="A533" s="2" t="s">
        <v>125</v>
      </c>
      <c r="B533" s="4" t="s">
        <v>365</v>
      </c>
      <c r="C533" s="8" t="s">
        <v>32</v>
      </c>
      <c r="D533" t="s">
        <v>528</v>
      </c>
      <c r="E533">
        <v>10</v>
      </c>
      <c r="F533">
        <f t="shared" si="19"/>
        <v>360</v>
      </c>
      <c r="G533">
        <f t="shared" si="21"/>
        <v>370</v>
      </c>
      <c r="H533" t="s">
        <v>514</v>
      </c>
      <c r="K533">
        <v>8.2792156862745099</v>
      </c>
      <c r="L533" t="s">
        <v>530</v>
      </c>
      <c r="M533" t="s">
        <v>535</v>
      </c>
      <c r="Q533" t="s">
        <v>468</v>
      </c>
      <c r="R533" t="s">
        <v>4</v>
      </c>
      <c r="S533" t="s">
        <v>31</v>
      </c>
    </row>
    <row r="534" spans="1:19" ht="14.4" customHeight="1" x14ac:dyDescent="0.3">
      <c r="A534" s="2" t="s">
        <v>125</v>
      </c>
      <c r="B534" s="4" t="s">
        <v>365</v>
      </c>
      <c r="C534" s="8" t="s">
        <v>32</v>
      </c>
      <c r="D534" t="s">
        <v>528</v>
      </c>
      <c r="E534">
        <v>12</v>
      </c>
      <c r="F534">
        <f t="shared" si="19"/>
        <v>360</v>
      </c>
      <c r="G534">
        <f t="shared" si="21"/>
        <v>372</v>
      </c>
      <c r="H534" t="s">
        <v>514</v>
      </c>
      <c r="K534">
        <v>6.6980392156862703</v>
      </c>
      <c r="L534" t="s">
        <v>530</v>
      </c>
      <c r="M534" t="s">
        <v>535</v>
      </c>
      <c r="Q534" t="s">
        <v>468</v>
      </c>
      <c r="R534" t="s">
        <v>4</v>
      </c>
      <c r="S534" t="s">
        <v>31</v>
      </c>
    </row>
    <row r="535" spans="1:19" ht="14.4" customHeight="1" x14ac:dyDescent="0.3">
      <c r="A535" s="2" t="s">
        <v>125</v>
      </c>
      <c r="B535" s="4" t="s">
        <v>365</v>
      </c>
      <c r="C535" s="8" t="s">
        <v>32</v>
      </c>
      <c r="D535" t="s">
        <v>528</v>
      </c>
      <c r="E535">
        <v>16</v>
      </c>
      <c r="F535">
        <f t="shared" si="19"/>
        <v>360</v>
      </c>
      <c r="G535">
        <f t="shared" si="21"/>
        <v>376</v>
      </c>
      <c r="H535" t="s">
        <v>514</v>
      </c>
      <c r="K535">
        <v>3.9968627450980301</v>
      </c>
      <c r="L535" t="s">
        <v>530</v>
      </c>
      <c r="M535" t="s">
        <v>535</v>
      </c>
      <c r="Q535" t="s">
        <v>468</v>
      </c>
      <c r="R535" t="s">
        <v>4</v>
      </c>
      <c r="S535" t="s">
        <v>31</v>
      </c>
    </row>
    <row r="536" spans="1:19" ht="14.4" customHeight="1" x14ac:dyDescent="0.3">
      <c r="A536" s="2" t="s">
        <v>125</v>
      </c>
      <c r="B536" s="4" t="s">
        <v>365</v>
      </c>
      <c r="C536" s="8" t="s">
        <v>32</v>
      </c>
      <c r="D536" t="s">
        <v>528</v>
      </c>
      <c r="E536">
        <v>24</v>
      </c>
      <c r="F536">
        <f t="shared" si="19"/>
        <v>360</v>
      </c>
      <c r="G536">
        <f t="shared" si="21"/>
        <v>384</v>
      </c>
      <c r="H536" t="s">
        <v>514</v>
      </c>
      <c r="K536">
        <v>1.60313725490195</v>
      </c>
      <c r="L536" t="s">
        <v>530</v>
      </c>
      <c r="M536" t="s">
        <v>535</v>
      </c>
      <c r="Q536" t="s">
        <v>468</v>
      </c>
      <c r="R536" t="s">
        <v>4</v>
      </c>
      <c r="S536" t="s">
        <v>31</v>
      </c>
    </row>
    <row r="537" spans="1:19" ht="14.4" customHeight="1" x14ac:dyDescent="0.3">
      <c r="A537" s="2" t="s">
        <v>126</v>
      </c>
      <c r="B537" s="4" t="s">
        <v>366</v>
      </c>
      <c r="C537" s="8" t="s">
        <v>32</v>
      </c>
      <c r="D537" t="s">
        <v>529</v>
      </c>
      <c r="E537">
        <v>0</v>
      </c>
      <c r="F537">
        <f>8*24</f>
        <v>192</v>
      </c>
      <c r="G537">
        <f t="shared" si="21"/>
        <v>192</v>
      </c>
      <c r="H537" t="s">
        <v>514</v>
      </c>
      <c r="K537">
        <v>3.3715236544723299</v>
      </c>
      <c r="L537" t="s">
        <v>530</v>
      </c>
      <c r="M537" t="s">
        <v>535</v>
      </c>
      <c r="Q537" t="s">
        <v>468</v>
      </c>
      <c r="R537" t="s">
        <v>4</v>
      </c>
      <c r="S537" t="s">
        <v>31</v>
      </c>
    </row>
    <row r="538" spans="1:19" ht="14.4" customHeight="1" x14ac:dyDescent="0.3">
      <c r="A538" s="2" t="s">
        <v>126</v>
      </c>
      <c r="B538" s="4" t="s">
        <v>366</v>
      </c>
      <c r="C538" s="8" t="s">
        <v>32</v>
      </c>
      <c r="D538" t="s">
        <v>529</v>
      </c>
      <c r="E538">
        <v>0.25</v>
      </c>
      <c r="F538">
        <f t="shared" ref="F538:F567" si="22">8*24</f>
        <v>192</v>
      </c>
      <c r="G538">
        <f t="shared" si="21"/>
        <v>192.25</v>
      </c>
      <c r="H538" t="s">
        <v>514</v>
      </c>
      <c r="K538">
        <v>9.9703967949945707</v>
      </c>
      <c r="L538" t="s">
        <v>530</v>
      </c>
      <c r="M538" t="s">
        <v>535</v>
      </c>
      <c r="Q538" t="s">
        <v>468</v>
      </c>
      <c r="R538" t="s">
        <v>4</v>
      </c>
      <c r="S538" t="s">
        <v>31</v>
      </c>
    </row>
    <row r="539" spans="1:19" ht="14.4" customHeight="1" x14ac:dyDescent="0.3">
      <c r="A539" s="2" t="s">
        <v>126</v>
      </c>
      <c r="B539" s="4" t="s">
        <v>366</v>
      </c>
      <c r="C539" s="8" t="s">
        <v>32</v>
      </c>
      <c r="D539" t="s">
        <v>529</v>
      </c>
      <c r="E539">
        <v>0.5</v>
      </c>
      <c r="F539">
        <f t="shared" si="22"/>
        <v>192</v>
      </c>
      <c r="G539">
        <f t="shared" si="21"/>
        <v>192.5</v>
      </c>
      <c r="H539" t="s">
        <v>514</v>
      </c>
      <c r="K539">
        <v>14.3284811338824</v>
      </c>
      <c r="L539" t="s">
        <v>530</v>
      </c>
      <c r="M539" t="s">
        <v>535</v>
      </c>
      <c r="Q539" t="s">
        <v>468</v>
      </c>
      <c r="R539" t="s">
        <v>4</v>
      </c>
      <c r="S539" t="s">
        <v>31</v>
      </c>
    </row>
    <row r="540" spans="1:19" ht="14.4" customHeight="1" x14ac:dyDescent="0.3">
      <c r="A540" s="2" t="s">
        <v>126</v>
      </c>
      <c r="B540" s="4" t="s">
        <v>366</v>
      </c>
      <c r="C540" s="8" t="s">
        <v>32</v>
      </c>
      <c r="D540" t="s">
        <v>529</v>
      </c>
      <c r="E540">
        <f>35/60</f>
        <v>0.58333333333333337</v>
      </c>
      <c r="F540">
        <f t="shared" si="22"/>
        <v>192</v>
      </c>
      <c r="G540">
        <f t="shared" si="21"/>
        <v>192.58333333333334</v>
      </c>
      <c r="H540" t="s">
        <v>514</v>
      </c>
      <c r="K540">
        <v>13.15658558386</v>
      </c>
      <c r="L540" t="s">
        <v>530</v>
      </c>
      <c r="M540" t="s">
        <v>535</v>
      </c>
      <c r="Q540" t="s">
        <v>468</v>
      </c>
      <c r="R540" t="s">
        <v>4</v>
      </c>
      <c r="S540" t="s">
        <v>31</v>
      </c>
    </row>
    <row r="541" spans="1:19" ht="14.4" customHeight="1" x14ac:dyDescent="0.3">
      <c r="A541" s="2" t="s">
        <v>126</v>
      </c>
      <c r="B541" s="4" t="s">
        <v>366</v>
      </c>
      <c r="C541" s="8" t="s">
        <v>32</v>
      </c>
      <c r="D541" t="s">
        <v>529</v>
      </c>
      <c r="E541">
        <v>0.75</v>
      </c>
      <c r="F541">
        <f t="shared" si="22"/>
        <v>192</v>
      </c>
      <c r="G541">
        <f t="shared" si="21"/>
        <v>192.75</v>
      </c>
      <c r="H541" t="s">
        <v>514</v>
      </c>
      <c r="K541">
        <v>12.395760709953301</v>
      </c>
      <c r="L541" t="s">
        <v>530</v>
      </c>
      <c r="M541" t="s">
        <v>535</v>
      </c>
      <c r="Q541" t="s">
        <v>468</v>
      </c>
      <c r="R541" t="s">
        <v>4</v>
      </c>
      <c r="S541" t="s">
        <v>31</v>
      </c>
    </row>
    <row r="542" spans="1:19" ht="14.4" customHeight="1" x14ac:dyDescent="0.3">
      <c r="A542" s="2" t="s">
        <v>126</v>
      </c>
      <c r="B542" s="4" t="s">
        <v>366</v>
      </c>
      <c r="C542" s="8" t="s">
        <v>32</v>
      </c>
      <c r="D542" t="s">
        <v>529</v>
      </c>
      <c r="E542">
        <v>1</v>
      </c>
      <c r="F542">
        <f t="shared" si="22"/>
        <v>192</v>
      </c>
      <c r="G542">
        <f t="shared" si="21"/>
        <v>193</v>
      </c>
      <c r="H542" t="s">
        <v>514</v>
      </c>
      <c r="K542">
        <v>11.8199578624784</v>
      </c>
      <c r="L542" t="s">
        <v>530</v>
      </c>
      <c r="M542" t="s">
        <v>535</v>
      </c>
      <c r="Q542" t="s">
        <v>468</v>
      </c>
      <c r="R542" t="s">
        <v>4</v>
      </c>
      <c r="S542" t="s">
        <v>31</v>
      </c>
    </row>
    <row r="543" spans="1:19" ht="14.4" customHeight="1" x14ac:dyDescent="0.3">
      <c r="A543" s="2" t="s">
        <v>126</v>
      </c>
      <c r="B543" s="4" t="s">
        <v>366</v>
      </c>
      <c r="C543" s="8" t="s">
        <v>32</v>
      </c>
      <c r="D543" t="s">
        <v>529</v>
      </c>
      <c r="E543">
        <v>1.5</v>
      </c>
      <c r="F543">
        <f t="shared" si="22"/>
        <v>192</v>
      </c>
      <c r="G543">
        <f t="shared" si="21"/>
        <v>193.5</v>
      </c>
      <c r="H543" t="s">
        <v>514</v>
      </c>
      <c r="K543">
        <v>11.1411303709378</v>
      </c>
      <c r="L543" t="s">
        <v>530</v>
      </c>
      <c r="M543" t="s">
        <v>535</v>
      </c>
      <c r="Q543" t="s">
        <v>468</v>
      </c>
      <c r="R543" t="s">
        <v>4</v>
      </c>
      <c r="S543" t="s">
        <v>31</v>
      </c>
    </row>
    <row r="544" spans="1:19" ht="14.4" customHeight="1" x14ac:dyDescent="0.3">
      <c r="A544" s="2" t="s">
        <v>126</v>
      </c>
      <c r="B544" s="4" t="s">
        <v>366</v>
      </c>
      <c r="C544" s="8" t="s">
        <v>32</v>
      </c>
      <c r="D544" t="s">
        <v>529</v>
      </c>
      <c r="E544">
        <v>2</v>
      </c>
      <c r="F544">
        <f t="shared" si="22"/>
        <v>192</v>
      </c>
      <c r="G544">
        <f t="shared" si="21"/>
        <v>194</v>
      </c>
      <c r="H544" t="s">
        <v>514</v>
      </c>
      <c r="K544">
        <v>10.6061753814722</v>
      </c>
      <c r="L544" t="s">
        <v>530</v>
      </c>
      <c r="M544" t="s">
        <v>535</v>
      </c>
      <c r="Q544" t="s">
        <v>468</v>
      </c>
      <c r="R544" t="s">
        <v>4</v>
      </c>
      <c r="S544" t="s">
        <v>31</v>
      </c>
    </row>
    <row r="545" spans="1:19" ht="14.4" customHeight="1" x14ac:dyDescent="0.3">
      <c r="A545" s="2" t="s">
        <v>126</v>
      </c>
      <c r="B545" s="4" t="s">
        <v>366</v>
      </c>
      <c r="C545" s="8" t="s">
        <v>32</v>
      </c>
      <c r="D545" t="s">
        <v>529</v>
      </c>
      <c r="E545">
        <v>3</v>
      </c>
      <c r="F545">
        <f t="shared" si="22"/>
        <v>192</v>
      </c>
      <c r="G545">
        <f t="shared" si="21"/>
        <v>195</v>
      </c>
      <c r="H545" t="s">
        <v>514</v>
      </c>
      <c r="K545">
        <v>9.3923929004660707</v>
      </c>
      <c r="L545" t="s">
        <v>530</v>
      </c>
      <c r="M545" t="s">
        <v>535</v>
      </c>
      <c r="Q545" t="s">
        <v>468</v>
      </c>
      <c r="R545" t="s">
        <v>4</v>
      </c>
      <c r="S545" t="s">
        <v>31</v>
      </c>
    </row>
    <row r="546" spans="1:19" ht="14.4" customHeight="1" x14ac:dyDescent="0.3">
      <c r="A546" s="2" t="s">
        <v>126</v>
      </c>
      <c r="B546" s="4" t="s">
        <v>366</v>
      </c>
      <c r="C546" s="8" t="s">
        <v>32</v>
      </c>
      <c r="D546" t="s">
        <v>529</v>
      </c>
      <c r="E546">
        <v>4</v>
      </c>
      <c r="F546">
        <f t="shared" si="22"/>
        <v>192</v>
      </c>
      <c r="G546">
        <f t="shared" si="21"/>
        <v>196</v>
      </c>
      <c r="H546" t="s">
        <v>514</v>
      </c>
      <c r="K546">
        <v>8.1580524165230095</v>
      </c>
      <c r="L546" t="s">
        <v>530</v>
      </c>
      <c r="M546" t="s">
        <v>535</v>
      </c>
      <c r="Q546" t="s">
        <v>468</v>
      </c>
      <c r="R546" t="s">
        <v>4</v>
      </c>
      <c r="S546" t="s">
        <v>31</v>
      </c>
    </row>
    <row r="547" spans="1:19" ht="14.4" customHeight="1" x14ac:dyDescent="0.3">
      <c r="A547" s="2" t="s">
        <v>126</v>
      </c>
      <c r="B547" s="4" t="s">
        <v>366</v>
      </c>
      <c r="C547" s="8" t="s">
        <v>32</v>
      </c>
      <c r="D547" t="s">
        <v>529</v>
      </c>
      <c r="E547">
        <v>6</v>
      </c>
      <c r="F547">
        <f t="shared" si="22"/>
        <v>192</v>
      </c>
      <c r="G547">
        <f t="shared" si="21"/>
        <v>198</v>
      </c>
      <c r="H547" t="s">
        <v>514</v>
      </c>
      <c r="K547">
        <v>5.9977638383451497</v>
      </c>
      <c r="L547" t="s">
        <v>530</v>
      </c>
      <c r="M547" t="s">
        <v>535</v>
      </c>
      <c r="Q547" t="s">
        <v>468</v>
      </c>
      <c r="R547" t="s">
        <v>4</v>
      </c>
      <c r="S547" t="s">
        <v>31</v>
      </c>
    </row>
    <row r="548" spans="1:19" ht="14.4" customHeight="1" x14ac:dyDescent="0.3">
      <c r="A548" s="2" t="s">
        <v>126</v>
      </c>
      <c r="B548" s="4" t="s">
        <v>366</v>
      </c>
      <c r="C548" s="8" t="s">
        <v>32</v>
      </c>
      <c r="D548" t="s">
        <v>529</v>
      </c>
      <c r="E548">
        <v>8</v>
      </c>
      <c r="F548">
        <f t="shared" si="22"/>
        <v>192</v>
      </c>
      <c r="G548">
        <f t="shared" si="21"/>
        <v>200</v>
      </c>
      <c r="H548" t="s">
        <v>514</v>
      </c>
      <c r="K548">
        <v>4.7214470407967903</v>
      </c>
      <c r="L548" t="s">
        <v>530</v>
      </c>
      <c r="M548" t="s">
        <v>535</v>
      </c>
      <c r="Q548" t="s">
        <v>468</v>
      </c>
      <c r="R548" t="s">
        <v>4</v>
      </c>
      <c r="S548" t="s">
        <v>31</v>
      </c>
    </row>
    <row r="549" spans="1:19" ht="14.4" customHeight="1" x14ac:dyDescent="0.3">
      <c r="A549" s="2" t="s">
        <v>126</v>
      </c>
      <c r="B549" s="4" t="s">
        <v>366</v>
      </c>
      <c r="C549" s="8" t="s">
        <v>32</v>
      </c>
      <c r="D549" t="s">
        <v>529</v>
      </c>
      <c r="E549">
        <v>10</v>
      </c>
      <c r="F549">
        <f t="shared" si="22"/>
        <v>192</v>
      </c>
      <c r="G549">
        <f t="shared" si="21"/>
        <v>202</v>
      </c>
      <c r="H549" t="s">
        <v>514</v>
      </c>
      <c r="K549">
        <v>3.4451861073868502</v>
      </c>
      <c r="L549" t="s">
        <v>530</v>
      </c>
      <c r="M549" t="s">
        <v>535</v>
      </c>
      <c r="Q549" t="s">
        <v>468</v>
      </c>
      <c r="R549" t="s">
        <v>4</v>
      </c>
      <c r="S549" t="s">
        <v>31</v>
      </c>
    </row>
    <row r="550" spans="1:19" ht="14.4" customHeight="1" x14ac:dyDescent="0.3">
      <c r="A550" s="2" t="s">
        <v>126</v>
      </c>
      <c r="B550" s="4" t="s">
        <v>366</v>
      </c>
      <c r="C550" s="8" t="s">
        <v>32</v>
      </c>
      <c r="D550" t="s">
        <v>529</v>
      </c>
      <c r="E550">
        <v>12</v>
      </c>
      <c r="F550">
        <f t="shared" si="22"/>
        <v>192</v>
      </c>
      <c r="G550">
        <f t="shared" si="21"/>
        <v>204</v>
      </c>
      <c r="H550" t="s">
        <v>514</v>
      </c>
      <c r="K550">
        <v>2.3950296877992701</v>
      </c>
      <c r="L550" t="s">
        <v>530</v>
      </c>
      <c r="M550" t="s">
        <v>535</v>
      </c>
      <c r="Q550" t="s">
        <v>468</v>
      </c>
      <c r="R550" t="s">
        <v>4</v>
      </c>
      <c r="S550" t="s">
        <v>31</v>
      </c>
    </row>
    <row r="551" spans="1:19" ht="14.4" customHeight="1" x14ac:dyDescent="0.3">
      <c r="A551" s="2" t="s">
        <v>126</v>
      </c>
      <c r="B551" s="4" t="s">
        <v>366</v>
      </c>
      <c r="C551" s="8" t="s">
        <v>32</v>
      </c>
      <c r="D551" t="s">
        <v>529</v>
      </c>
      <c r="E551">
        <v>18</v>
      </c>
      <c r="F551">
        <f t="shared" si="22"/>
        <v>192</v>
      </c>
      <c r="G551">
        <f t="shared" si="21"/>
        <v>210</v>
      </c>
      <c r="H551" t="s">
        <v>514</v>
      </c>
      <c r="K551">
        <v>1.07420034476154</v>
      </c>
      <c r="L551" t="s">
        <v>530</v>
      </c>
      <c r="M551" t="s">
        <v>535</v>
      </c>
      <c r="Q551" t="s">
        <v>468</v>
      </c>
      <c r="R551" t="s">
        <v>4</v>
      </c>
      <c r="S551" t="s">
        <v>31</v>
      </c>
    </row>
    <row r="552" spans="1:19" ht="14.4" customHeight="1" x14ac:dyDescent="0.3">
      <c r="A552" s="2" t="s">
        <v>126</v>
      </c>
      <c r="B552" s="4" t="s">
        <v>366</v>
      </c>
      <c r="C552" s="8" t="s">
        <v>32</v>
      </c>
      <c r="D552" t="s">
        <v>529</v>
      </c>
      <c r="E552">
        <v>24</v>
      </c>
      <c r="F552">
        <f t="shared" si="22"/>
        <v>192</v>
      </c>
      <c r="G552">
        <f t="shared" si="21"/>
        <v>216</v>
      </c>
      <c r="H552" t="s">
        <v>514</v>
      </c>
      <c r="K552">
        <v>0.47284524037541997</v>
      </c>
      <c r="L552" t="s">
        <v>530</v>
      </c>
      <c r="M552" t="s">
        <v>535</v>
      </c>
      <c r="Q552" t="s">
        <v>468</v>
      </c>
      <c r="R552" t="s">
        <v>4</v>
      </c>
      <c r="S552" t="s">
        <v>31</v>
      </c>
    </row>
    <row r="553" spans="1:19" ht="14.4" customHeight="1" x14ac:dyDescent="0.3">
      <c r="A553" s="2" t="s">
        <v>127</v>
      </c>
      <c r="B553" s="4" t="s">
        <v>367</v>
      </c>
      <c r="C553" s="8" t="s">
        <v>32</v>
      </c>
      <c r="D553" t="s">
        <v>529</v>
      </c>
      <c r="E553">
        <v>0</v>
      </c>
      <c r="F553">
        <f t="shared" si="22"/>
        <v>192</v>
      </c>
      <c r="G553">
        <f t="shared" si="21"/>
        <v>192</v>
      </c>
      <c r="H553" t="s">
        <v>514</v>
      </c>
      <c r="K553">
        <v>3.8443465491923599</v>
      </c>
      <c r="L553" t="s">
        <v>530</v>
      </c>
      <c r="M553" t="s">
        <v>535</v>
      </c>
      <c r="Q553" t="s">
        <v>468</v>
      </c>
      <c r="R553" t="s">
        <v>4</v>
      </c>
      <c r="S553" t="s">
        <v>31</v>
      </c>
    </row>
    <row r="554" spans="1:19" ht="14.4" customHeight="1" x14ac:dyDescent="0.3">
      <c r="A554" s="2" t="s">
        <v>127</v>
      </c>
      <c r="B554" s="4" t="s">
        <v>367</v>
      </c>
      <c r="C554" s="8" t="s">
        <v>32</v>
      </c>
      <c r="D554" t="s">
        <v>529</v>
      </c>
      <c r="E554">
        <v>0.25</v>
      </c>
      <c r="F554">
        <f t="shared" si="22"/>
        <v>192</v>
      </c>
      <c r="G554">
        <f t="shared" si="21"/>
        <v>192.25</v>
      </c>
      <c r="H554" t="s">
        <v>514</v>
      </c>
      <c r="K554">
        <v>10.3609988507948</v>
      </c>
      <c r="L554" t="s">
        <v>530</v>
      </c>
      <c r="M554" t="s">
        <v>535</v>
      </c>
      <c r="Q554" t="s">
        <v>468</v>
      </c>
      <c r="R554" t="s">
        <v>4</v>
      </c>
      <c r="S554" t="s">
        <v>31</v>
      </c>
    </row>
    <row r="555" spans="1:19" ht="14.4" customHeight="1" x14ac:dyDescent="0.3">
      <c r="A555" s="2" t="s">
        <v>127</v>
      </c>
      <c r="B555" s="4" t="s">
        <v>367</v>
      </c>
      <c r="C555" s="8" t="s">
        <v>32</v>
      </c>
      <c r="D555" t="s">
        <v>529</v>
      </c>
      <c r="E555">
        <v>0.5</v>
      </c>
      <c r="F555">
        <f t="shared" si="22"/>
        <v>192</v>
      </c>
      <c r="G555">
        <f t="shared" si="21"/>
        <v>192.5</v>
      </c>
      <c r="H555" t="s">
        <v>514</v>
      </c>
      <c r="K555">
        <v>15.4591601225818</v>
      </c>
      <c r="L555" t="s">
        <v>530</v>
      </c>
      <c r="M555" t="s">
        <v>535</v>
      </c>
      <c r="Q555" t="s">
        <v>468</v>
      </c>
      <c r="R555" t="s">
        <v>4</v>
      </c>
      <c r="S555" t="s">
        <v>31</v>
      </c>
    </row>
    <row r="556" spans="1:19" ht="14.4" customHeight="1" x14ac:dyDescent="0.3">
      <c r="A556" s="2" t="s">
        <v>127</v>
      </c>
      <c r="B556" s="4" t="s">
        <v>367</v>
      </c>
      <c r="C556" s="8" t="s">
        <v>32</v>
      </c>
      <c r="D556" t="s">
        <v>529</v>
      </c>
      <c r="E556">
        <v>0.75</v>
      </c>
      <c r="F556">
        <f t="shared" si="22"/>
        <v>192</v>
      </c>
      <c r="G556">
        <f t="shared" si="21"/>
        <v>192.75</v>
      </c>
      <c r="H556" t="s">
        <v>514</v>
      </c>
      <c r="K556">
        <v>14.081561642086401</v>
      </c>
      <c r="L556" t="s">
        <v>530</v>
      </c>
      <c r="M556" t="s">
        <v>535</v>
      </c>
      <c r="Q556" t="s">
        <v>468</v>
      </c>
      <c r="R556" t="s">
        <v>4</v>
      </c>
      <c r="S556" t="s">
        <v>31</v>
      </c>
    </row>
    <row r="557" spans="1:19" ht="14.4" customHeight="1" x14ac:dyDescent="0.3">
      <c r="A557" s="2" t="s">
        <v>127</v>
      </c>
      <c r="B557" s="4" t="s">
        <v>367</v>
      </c>
      <c r="C557" s="8" t="s">
        <v>32</v>
      </c>
      <c r="D557" t="s">
        <v>529</v>
      </c>
      <c r="E557">
        <v>1</v>
      </c>
      <c r="F557">
        <f t="shared" si="22"/>
        <v>192</v>
      </c>
      <c r="G557">
        <f t="shared" si="21"/>
        <v>193</v>
      </c>
      <c r="H557" t="s">
        <v>514</v>
      </c>
      <c r="K557">
        <v>13.629062120921899</v>
      </c>
      <c r="L557" t="s">
        <v>530</v>
      </c>
      <c r="M557" t="s">
        <v>535</v>
      </c>
      <c r="Q557" t="s">
        <v>468</v>
      </c>
      <c r="R557" t="s">
        <v>4</v>
      </c>
      <c r="S557" t="s">
        <v>31</v>
      </c>
    </row>
    <row r="558" spans="1:19" ht="14.4" customHeight="1" x14ac:dyDescent="0.3">
      <c r="A558" s="2" t="s">
        <v>127</v>
      </c>
      <c r="B558" s="4" t="s">
        <v>367</v>
      </c>
      <c r="C558" s="8" t="s">
        <v>32</v>
      </c>
      <c r="D558" t="s">
        <v>529</v>
      </c>
      <c r="E558">
        <v>1.5</v>
      </c>
      <c r="F558">
        <f t="shared" si="22"/>
        <v>192</v>
      </c>
      <c r="G558">
        <f t="shared" si="21"/>
        <v>193.5</v>
      </c>
      <c r="H558" t="s">
        <v>514</v>
      </c>
      <c r="K558">
        <v>13.032477813956399</v>
      </c>
      <c r="L558" t="s">
        <v>530</v>
      </c>
      <c r="M558" t="s">
        <v>535</v>
      </c>
      <c r="Q558" t="s">
        <v>468</v>
      </c>
      <c r="R558" t="s">
        <v>4</v>
      </c>
      <c r="S558" t="s">
        <v>31</v>
      </c>
    </row>
    <row r="559" spans="1:19" ht="14.4" customHeight="1" x14ac:dyDescent="0.3">
      <c r="A559" s="2" t="s">
        <v>127</v>
      </c>
      <c r="B559" s="4" t="s">
        <v>367</v>
      </c>
      <c r="C559" s="8" t="s">
        <v>32</v>
      </c>
      <c r="D559" t="s">
        <v>529</v>
      </c>
      <c r="E559">
        <v>2</v>
      </c>
      <c r="F559">
        <f t="shared" si="22"/>
        <v>192</v>
      </c>
      <c r="G559">
        <f t="shared" si="21"/>
        <v>194</v>
      </c>
      <c r="H559" t="s">
        <v>514</v>
      </c>
      <c r="K559">
        <v>12.394721636978799</v>
      </c>
      <c r="L559" t="s">
        <v>530</v>
      </c>
      <c r="M559" t="s">
        <v>535</v>
      </c>
      <c r="Q559" t="s">
        <v>468</v>
      </c>
      <c r="R559" t="s">
        <v>4</v>
      </c>
      <c r="S559" t="s">
        <v>31</v>
      </c>
    </row>
    <row r="560" spans="1:19" ht="14.4" customHeight="1" x14ac:dyDescent="0.3">
      <c r="A560" s="2" t="s">
        <v>127</v>
      </c>
      <c r="B560" s="4" t="s">
        <v>367</v>
      </c>
      <c r="C560" s="8" t="s">
        <v>32</v>
      </c>
      <c r="D560" t="s">
        <v>529</v>
      </c>
      <c r="E560">
        <v>3</v>
      </c>
      <c r="F560">
        <f t="shared" si="22"/>
        <v>192</v>
      </c>
      <c r="G560">
        <f t="shared" si="21"/>
        <v>195</v>
      </c>
      <c r="H560" t="s">
        <v>514</v>
      </c>
      <c r="K560">
        <v>11.0575911383515</v>
      </c>
      <c r="L560" t="s">
        <v>530</v>
      </c>
      <c r="M560" t="s">
        <v>535</v>
      </c>
      <c r="Q560" t="s">
        <v>468</v>
      </c>
      <c r="R560" t="s">
        <v>4</v>
      </c>
      <c r="S560" t="s">
        <v>31</v>
      </c>
    </row>
    <row r="561" spans="1:19" ht="14.4" customHeight="1" x14ac:dyDescent="0.3">
      <c r="A561" s="2" t="s">
        <v>127</v>
      </c>
      <c r="B561" s="4" t="s">
        <v>367</v>
      </c>
      <c r="C561" s="8" t="s">
        <v>32</v>
      </c>
      <c r="D561" t="s">
        <v>529</v>
      </c>
      <c r="E561">
        <v>4</v>
      </c>
      <c r="F561">
        <f t="shared" si="22"/>
        <v>192</v>
      </c>
      <c r="G561">
        <f t="shared" si="21"/>
        <v>196</v>
      </c>
      <c r="H561" t="s">
        <v>514</v>
      </c>
      <c r="K561">
        <v>9.4943226074187592</v>
      </c>
      <c r="L561" t="s">
        <v>530</v>
      </c>
      <c r="M561" t="s">
        <v>535</v>
      </c>
      <c r="Q561" t="s">
        <v>468</v>
      </c>
      <c r="R561" t="s">
        <v>4</v>
      </c>
      <c r="S561" t="s">
        <v>31</v>
      </c>
    </row>
    <row r="562" spans="1:19" ht="14.4" customHeight="1" x14ac:dyDescent="0.3">
      <c r="A562" s="2" t="s">
        <v>127</v>
      </c>
      <c r="B562" s="4" t="s">
        <v>367</v>
      </c>
      <c r="C562" s="8" t="s">
        <v>32</v>
      </c>
      <c r="D562" t="s">
        <v>529</v>
      </c>
      <c r="E562">
        <v>6</v>
      </c>
      <c r="F562">
        <f t="shared" si="22"/>
        <v>192</v>
      </c>
      <c r="G562">
        <f t="shared" si="21"/>
        <v>198</v>
      </c>
      <c r="H562" t="s">
        <v>514</v>
      </c>
      <c r="K562">
        <v>6.9228739705037396</v>
      </c>
      <c r="L562" t="s">
        <v>530</v>
      </c>
      <c r="M562" t="s">
        <v>535</v>
      </c>
      <c r="Q562" t="s">
        <v>468</v>
      </c>
      <c r="R562" t="s">
        <v>4</v>
      </c>
      <c r="S562" t="s">
        <v>31</v>
      </c>
    </row>
    <row r="563" spans="1:19" ht="14.4" customHeight="1" x14ac:dyDescent="0.3">
      <c r="A563" s="2" t="s">
        <v>127</v>
      </c>
      <c r="B563" s="4" t="s">
        <v>367</v>
      </c>
      <c r="C563" s="8" t="s">
        <v>32</v>
      </c>
      <c r="D563" t="s">
        <v>529</v>
      </c>
      <c r="E563">
        <v>8</v>
      </c>
      <c r="F563">
        <f t="shared" si="22"/>
        <v>192</v>
      </c>
      <c r="G563">
        <f t="shared" si="21"/>
        <v>200</v>
      </c>
      <c r="H563" t="s">
        <v>514</v>
      </c>
      <c r="K563">
        <v>5.5642916427248901</v>
      </c>
      <c r="L563" t="s">
        <v>530</v>
      </c>
      <c r="M563" t="s">
        <v>535</v>
      </c>
      <c r="Q563" t="s">
        <v>468</v>
      </c>
      <c r="R563" t="s">
        <v>4</v>
      </c>
      <c r="S563" t="s">
        <v>31</v>
      </c>
    </row>
    <row r="564" spans="1:19" ht="14.4" customHeight="1" x14ac:dyDescent="0.3">
      <c r="A564" s="2" t="s">
        <v>127</v>
      </c>
      <c r="B564" s="4" t="s">
        <v>367</v>
      </c>
      <c r="C564" s="8" t="s">
        <v>32</v>
      </c>
      <c r="D564" t="s">
        <v>529</v>
      </c>
      <c r="E564">
        <v>10</v>
      </c>
      <c r="F564">
        <f t="shared" si="22"/>
        <v>192</v>
      </c>
      <c r="G564">
        <f t="shared" si="21"/>
        <v>202</v>
      </c>
      <c r="H564" t="s">
        <v>514</v>
      </c>
      <c r="K564">
        <v>4.0002410138543096</v>
      </c>
      <c r="L564" t="s">
        <v>530</v>
      </c>
      <c r="M564" t="s">
        <v>535</v>
      </c>
      <c r="Q564" t="s">
        <v>468</v>
      </c>
      <c r="R564" t="s">
        <v>4</v>
      </c>
      <c r="S564" t="s">
        <v>31</v>
      </c>
    </row>
    <row r="565" spans="1:19" ht="14.4" customHeight="1" x14ac:dyDescent="0.3">
      <c r="A565" s="2" t="s">
        <v>127</v>
      </c>
      <c r="B565" s="4" t="s">
        <v>367</v>
      </c>
      <c r="C565" s="8" t="s">
        <v>32</v>
      </c>
      <c r="D565" t="s">
        <v>529</v>
      </c>
      <c r="E565">
        <v>12</v>
      </c>
      <c r="F565">
        <f t="shared" si="22"/>
        <v>192</v>
      </c>
      <c r="G565">
        <f t="shared" si="21"/>
        <v>204</v>
      </c>
      <c r="H565" t="s">
        <v>514</v>
      </c>
      <c r="K565">
        <v>2.7856205707718802</v>
      </c>
      <c r="L565" t="s">
        <v>530</v>
      </c>
      <c r="M565" t="s">
        <v>535</v>
      </c>
      <c r="Q565" t="s">
        <v>468</v>
      </c>
      <c r="R565" t="s">
        <v>4</v>
      </c>
      <c r="S565" t="s">
        <v>31</v>
      </c>
    </row>
    <row r="566" spans="1:19" ht="14.4" customHeight="1" x14ac:dyDescent="0.3">
      <c r="A566" s="2" t="s">
        <v>127</v>
      </c>
      <c r="B566" s="4" t="s">
        <v>367</v>
      </c>
      <c r="C566" s="8" t="s">
        <v>32</v>
      </c>
      <c r="D566" t="s">
        <v>529</v>
      </c>
      <c r="E566">
        <v>18</v>
      </c>
      <c r="F566">
        <f t="shared" si="22"/>
        <v>192</v>
      </c>
      <c r="G566">
        <f t="shared" si="21"/>
        <v>210</v>
      </c>
      <c r="H566" t="s">
        <v>514</v>
      </c>
      <c r="K566">
        <v>1.3208852071761501</v>
      </c>
      <c r="L566" t="s">
        <v>530</v>
      </c>
      <c r="M566" t="s">
        <v>535</v>
      </c>
      <c r="Q566" t="s">
        <v>468</v>
      </c>
      <c r="R566" t="s">
        <v>4</v>
      </c>
      <c r="S566" t="s">
        <v>31</v>
      </c>
    </row>
    <row r="567" spans="1:19" ht="14.4" customHeight="1" x14ac:dyDescent="0.3">
      <c r="A567" s="2" t="s">
        <v>127</v>
      </c>
      <c r="B567" s="4" t="s">
        <v>367</v>
      </c>
      <c r="C567" s="8" t="s">
        <v>32</v>
      </c>
      <c r="D567" t="s">
        <v>529</v>
      </c>
      <c r="E567">
        <v>24</v>
      </c>
      <c r="F567">
        <f t="shared" si="22"/>
        <v>192</v>
      </c>
      <c r="G567">
        <f t="shared" si="21"/>
        <v>216</v>
      </c>
      <c r="H567" t="s">
        <v>514</v>
      </c>
      <c r="K567">
        <v>0.59619325799656397</v>
      </c>
      <c r="L567" t="s">
        <v>530</v>
      </c>
      <c r="M567" t="s">
        <v>535</v>
      </c>
      <c r="Q567" t="s">
        <v>468</v>
      </c>
      <c r="R567" t="s">
        <v>4</v>
      </c>
      <c r="S567" t="s">
        <v>31</v>
      </c>
    </row>
    <row r="568" spans="1:19" x14ac:dyDescent="0.3">
      <c r="A568" s="2" t="s">
        <v>128</v>
      </c>
      <c r="B568" s="4" t="s">
        <v>368</v>
      </c>
      <c r="C568" s="3" t="s">
        <v>36</v>
      </c>
      <c r="D568" t="s">
        <v>528</v>
      </c>
      <c r="G568">
        <v>0.5</v>
      </c>
      <c r="H568" t="s">
        <v>514</v>
      </c>
      <c r="K568">
        <v>142.02018728857399</v>
      </c>
      <c r="L568" t="s">
        <v>550</v>
      </c>
      <c r="M568" t="s">
        <v>535</v>
      </c>
      <c r="Q568" t="s">
        <v>468</v>
      </c>
      <c r="R568" t="s">
        <v>4</v>
      </c>
      <c r="S568" t="s">
        <v>37</v>
      </c>
    </row>
    <row r="569" spans="1:19" x14ac:dyDescent="0.3">
      <c r="A569" s="2" t="s">
        <v>128</v>
      </c>
      <c r="B569" s="4" t="s">
        <v>368</v>
      </c>
      <c r="C569" s="3" t="s">
        <v>36</v>
      </c>
      <c r="D569" t="s">
        <v>528</v>
      </c>
      <c r="G569">
        <v>1</v>
      </c>
      <c r="H569" t="s">
        <v>514</v>
      </c>
      <c r="K569">
        <v>339.25686591276201</v>
      </c>
      <c r="L569" t="s">
        <v>550</v>
      </c>
      <c r="M569" t="s">
        <v>535</v>
      </c>
      <c r="Q569" t="s">
        <v>468</v>
      </c>
      <c r="R569" t="s">
        <v>4</v>
      </c>
      <c r="S569" t="s">
        <v>37</v>
      </c>
    </row>
    <row r="570" spans="1:19" x14ac:dyDescent="0.3">
      <c r="A570" s="2" t="s">
        <v>128</v>
      </c>
      <c r="B570" s="4" t="s">
        <v>368</v>
      </c>
      <c r="C570" s="3" t="s">
        <v>36</v>
      </c>
      <c r="D570" t="s">
        <v>528</v>
      </c>
      <c r="G570">
        <v>1.5</v>
      </c>
      <c r="H570" t="s">
        <v>514</v>
      </c>
      <c r="K570">
        <v>353.79644588045198</v>
      </c>
      <c r="L570" t="s">
        <v>550</v>
      </c>
      <c r="M570" t="s">
        <v>535</v>
      </c>
      <c r="Q570" t="s">
        <v>468</v>
      </c>
      <c r="R570" t="s">
        <v>4</v>
      </c>
      <c r="S570" t="s">
        <v>37</v>
      </c>
    </row>
    <row r="571" spans="1:19" x14ac:dyDescent="0.3">
      <c r="A571" s="2" t="s">
        <v>128</v>
      </c>
      <c r="B571" s="4" t="s">
        <v>368</v>
      </c>
      <c r="C571" s="3" t="s">
        <v>36</v>
      </c>
      <c r="D571" t="s">
        <v>528</v>
      </c>
      <c r="G571">
        <v>2</v>
      </c>
      <c r="H571" t="s">
        <v>514</v>
      </c>
      <c r="K571">
        <v>317.44749596122801</v>
      </c>
      <c r="L571" t="s">
        <v>550</v>
      </c>
      <c r="M571" t="s">
        <v>535</v>
      </c>
      <c r="Q571" t="s">
        <v>468</v>
      </c>
      <c r="R571" t="s">
        <v>4</v>
      </c>
      <c r="S571" t="s">
        <v>37</v>
      </c>
    </row>
    <row r="572" spans="1:19" x14ac:dyDescent="0.3">
      <c r="A572" s="2" t="s">
        <v>128</v>
      </c>
      <c r="B572" s="4" t="s">
        <v>368</v>
      </c>
      <c r="C572" s="3" t="s">
        <v>36</v>
      </c>
      <c r="D572" t="s">
        <v>528</v>
      </c>
      <c r="G572">
        <v>3</v>
      </c>
      <c r="H572" t="s">
        <v>514</v>
      </c>
      <c r="K572">
        <v>276.25201938610599</v>
      </c>
      <c r="L572" t="s">
        <v>550</v>
      </c>
      <c r="M572" t="s">
        <v>535</v>
      </c>
      <c r="Q572" t="s">
        <v>468</v>
      </c>
      <c r="R572" t="s">
        <v>4</v>
      </c>
      <c r="S572" t="s">
        <v>37</v>
      </c>
    </row>
    <row r="573" spans="1:19" x14ac:dyDescent="0.3">
      <c r="A573" s="2" t="s">
        <v>128</v>
      </c>
      <c r="B573" s="4" t="s">
        <v>368</v>
      </c>
      <c r="C573" s="3" t="s">
        <v>36</v>
      </c>
      <c r="D573" t="s">
        <v>528</v>
      </c>
      <c r="G573">
        <v>4</v>
      </c>
      <c r="H573" t="s">
        <v>514</v>
      </c>
      <c r="K573">
        <v>197.231232580512</v>
      </c>
      <c r="L573" t="s">
        <v>550</v>
      </c>
      <c r="M573" t="s">
        <v>535</v>
      </c>
      <c r="Q573" t="s">
        <v>468</v>
      </c>
      <c r="R573" t="s">
        <v>4</v>
      </c>
      <c r="S573" t="s">
        <v>37</v>
      </c>
    </row>
    <row r="574" spans="1:19" x14ac:dyDescent="0.3">
      <c r="A574" s="2" t="s">
        <v>128</v>
      </c>
      <c r="B574" s="4" t="s">
        <v>368</v>
      </c>
      <c r="C574" s="3" t="s">
        <v>36</v>
      </c>
      <c r="D574" t="s">
        <v>528</v>
      </c>
      <c r="G574">
        <v>5</v>
      </c>
      <c r="H574" t="s">
        <v>514</v>
      </c>
      <c r="K574">
        <v>144.156112885818</v>
      </c>
      <c r="L574" t="s">
        <v>550</v>
      </c>
      <c r="M574" t="s">
        <v>535</v>
      </c>
      <c r="Q574" t="s">
        <v>468</v>
      </c>
      <c r="R574" t="s">
        <v>4</v>
      </c>
      <c r="S574" t="s">
        <v>37</v>
      </c>
    </row>
    <row r="575" spans="1:19" x14ac:dyDescent="0.3">
      <c r="A575" s="2" t="s">
        <v>128</v>
      </c>
      <c r="B575" s="4" t="s">
        <v>368</v>
      </c>
      <c r="C575" s="3" t="s">
        <v>36</v>
      </c>
      <c r="D575" t="s">
        <v>528</v>
      </c>
      <c r="G575">
        <v>6</v>
      </c>
      <c r="H575" t="s">
        <v>514</v>
      </c>
      <c r="K575">
        <v>106.948185281471</v>
      </c>
      <c r="L575" t="s">
        <v>550</v>
      </c>
      <c r="M575" t="s">
        <v>535</v>
      </c>
      <c r="Q575" t="s">
        <v>468</v>
      </c>
      <c r="R575" t="s">
        <v>4</v>
      </c>
      <c r="S575" t="s">
        <v>37</v>
      </c>
    </row>
    <row r="576" spans="1:19" x14ac:dyDescent="0.3">
      <c r="A576" s="2" t="s">
        <v>128</v>
      </c>
      <c r="B576" s="4" t="s">
        <v>368</v>
      </c>
      <c r="C576" s="3" t="s">
        <v>36</v>
      </c>
      <c r="D576" t="s">
        <v>528</v>
      </c>
      <c r="G576">
        <v>7</v>
      </c>
      <c r="H576" t="s">
        <v>514</v>
      </c>
      <c r="K576">
        <v>74.744948612939893</v>
      </c>
      <c r="L576" t="s">
        <v>550</v>
      </c>
      <c r="M576" t="s">
        <v>535</v>
      </c>
      <c r="Q576" t="s">
        <v>468</v>
      </c>
      <c r="R576" t="s">
        <v>4</v>
      </c>
      <c r="S576" t="s">
        <v>37</v>
      </c>
    </row>
    <row r="577" spans="1:19" x14ac:dyDescent="0.3">
      <c r="A577" s="2" t="s">
        <v>128</v>
      </c>
      <c r="B577" s="4" t="s">
        <v>368</v>
      </c>
      <c r="C577" s="3" t="s">
        <v>36</v>
      </c>
      <c r="D577" t="s">
        <v>528</v>
      </c>
      <c r="G577">
        <v>8</v>
      </c>
      <c r="H577" t="s">
        <v>514</v>
      </c>
      <c r="K577">
        <v>56.286622104418797</v>
      </c>
      <c r="L577" t="s">
        <v>550</v>
      </c>
      <c r="M577" t="s">
        <v>535</v>
      </c>
      <c r="Q577" t="s">
        <v>468</v>
      </c>
      <c r="R577" t="s">
        <v>4</v>
      </c>
      <c r="S577" t="s">
        <v>37</v>
      </c>
    </row>
    <row r="578" spans="1:19" x14ac:dyDescent="0.3">
      <c r="A578" s="2" t="s">
        <v>128</v>
      </c>
      <c r="B578" s="4" t="s">
        <v>368</v>
      </c>
      <c r="C578" s="3" t="s">
        <v>36</v>
      </c>
      <c r="D578" t="s">
        <v>528</v>
      </c>
      <c r="G578">
        <v>12</v>
      </c>
      <c r="H578" t="s">
        <v>514</v>
      </c>
      <c r="K578">
        <v>33.3811128041038</v>
      </c>
      <c r="L578" t="s">
        <v>550</v>
      </c>
      <c r="M578" t="s">
        <v>535</v>
      </c>
      <c r="Q578" t="s">
        <v>468</v>
      </c>
      <c r="R578" t="s">
        <v>4</v>
      </c>
      <c r="S578" t="s">
        <v>37</v>
      </c>
    </row>
    <row r="579" spans="1:19" x14ac:dyDescent="0.3">
      <c r="A579" s="2" t="s">
        <v>128</v>
      </c>
      <c r="B579" s="4" t="s">
        <v>368</v>
      </c>
      <c r="C579" s="3" t="s">
        <v>36</v>
      </c>
      <c r="D579" t="s">
        <v>528</v>
      </c>
      <c r="G579">
        <v>16</v>
      </c>
      <c r="H579" t="s">
        <v>514</v>
      </c>
      <c r="K579">
        <v>15.132223784120599</v>
      </c>
      <c r="L579" t="s">
        <v>550</v>
      </c>
      <c r="M579" t="s">
        <v>535</v>
      </c>
      <c r="Q579" t="s">
        <v>468</v>
      </c>
      <c r="R579" t="s">
        <v>4</v>
      </c>
      <c r="S579" t="s">
        <v>37</v>
      </c>
    </row>
    <row r="580" spans="1:19" x14ac:dyDescent="0.3">
      <c r="A580" s="2" t="s">
        <v>128</v>
      </c>
      <c r="B580" s="4" t="s">
        <v>368</v>
      </c>
      <c r="C580" s="3" t="s">
        <v>36</v>
      </c>
      <c r="D580" t="s">
        <v>528</v>
      </c>
      <c r="G580">
        <v>20</v>
      </c>
      <c r="H580" t="s">
        <v>514</v>
      </c>
      <c r="K580">
        <v>4.2545072754768896</v>
      </c>
      <c r="L580" t="s">
        <v>550</v>
      </c>
      <c r="M580" t="s">
        <v>535</v>
      </c>
      <c r="Q580" t="s">
        <v>468</v>
      </c>
      <c r="R580" t="s">
        <v>4</v>
      </c>
      <c r="S580" t="s">
        <v>37</v>
      </c>
    </row>
    <row r="581" spans="1:19" x14ac:dyDescent="0.3">
      <c r="A581" s="2" t="s">
        <v>128</v>
      </c>
      <c r="B581" s="4" t="s">
        <v>368</v>
      </c>
      <c r="C581" s="3" t="s">
        <v>36</v>
      </c>
      <c r="D581" t="s">
        <v>528</v>
      </c>
      <c r="G581">
        <v>24</v>
      </c>
      <c r="H581" t="s">
        <v>514</v>
      </c>
      <c r="K581">
        <v>1.87191123642409</v>
      </c>
      <c r="L581" t="s">
        <v>550</v>
      </c>
      <c r="M581" t="s">
        <v>535</v>
      </c>
      <c r="Q581" t="s">
        <v>468</v>
      </c>
      <c r="R581" t="s">
        <v>4</v>
      </c>
      <c r="S581" t="s">
        <v>37</v>
      </c>
    </row>
    <row r="582" spans="1:19" x14ac:dyDescent="0.3">
      <c r="A582" s="2" t="s">
        <v>129</v>
      </c>
      <c r="B582" s="4" t="s">
        <v>369</v>
      </c>
      <c r="C582" s="3" t="s">
        <v>36</v>
      </c>
      <c r="D582" t="s">
        <v>528</v>
      </c>
      <c r="G582">
        <v>0.5</v>
      </c>
      <c r="H582" t="s">
        <v>514</v>
      </c>
      <c r="K582">
        <v>278.02527485785498</v>
      </c>
      <c r="L582" t="s">
        <v>550</v>
      </c>
      <c r="M582" t="s">
        <v>535</v>
      </c>
      <c r="Q582" t="s">
        <v>468</v>
      </c>
      <c r="R582" t="s">
        <v>4</v>
      </c>
      <c r="S582" t="s">
        <v>37</v>
      </c>
    </row>
    <row r="583" spans="1:19" x14ac:dyDescent="0.3">
      <c r="A583" s="2" t="s">
        <v>129</v>
      </c>
      <c r="B583" s="4" t="s">
        <v>369</v>
      </c>
      <c r="C583" s="3" t="s">
        <v>36</v>
      </c>
      <c r="D583" t="s">
        <v>528</v>
      </c>
      <c r="G583">
        <v>1</v>
      </c>
      <c r="H583" t="s">
        <v>514</v>
      </c>
      <c r="K583">
        <v>632.471728594507</v>
      </c>
      <c r="L583" t="s">
        <v>550</v>
      </c>
      <c r="M583" t="s">
        <v>535</v>
      </c>
      <c r="Q583" t="s">
        <v>468</v>
      </c>
      <c r="R583" t="s">
        <v>4</v>
      </c>
      <c r="S583" t="s">
        <v>37</v>
      </c>
    </row>
    <row r="584" spans="1:19" x14ac:dyDescent="0.3">
      <c r="A584" s="2" t="s">
        <v>129</v>
      </c>
      <c r="B584" s="4" t="s">
        <v>369</v>
      </c>
      <c r="C584" s="3" t="s">
        <v>36</v>
      </c>
      <c r="D584" t="s">
        <v>528</v>
      </c>
      <c r="G584">
        <v>1.5</v>
      </c>
      <c r="H584" t="s">
        <v>514</v>
      </c>
      <c r="K584">
        <v>678.51373182552504</v>
      </c>
      <c r="L584" t="s">
        <v>550</v>
      </c>
      <c r="M584" t="s">
        <v>535</v>
      </c>
      <c r="Q584" t="s">
        <v>468</v>
      </c>
      <c r="R584" t="s">
        <v>4</v>
      </c>
      <c r="S584" t="s">
        <v>37</v>
      </c>
    </row>
    <row r="585" spans="1:19" x14ac:dyDescent="0.3">
      <c r="A585" s="2" t="s">
        <v>129</v>
      </c>
      <c r="B585" s="4" t="s">
        <v>369</v>
      </c>
      <c r="C585" s="3" t="s">
        <v>36</v>
      </c>
      <c r="D585" t="s">
        <v>528</v>
      </c>
      <c r="G585">
        <v>2</v>
      </c>
      <c r="H585" t="s">
        <v>514</v>
      </c>
      <c r="K585">
        <v>678.51373182552402</v>
      </c>
      <c r="L585" t="s">
        <v>550</v>
      </c>
      <c r="M585" t="s">
        <v>535</v>
      </c>
      <c r="Q585" t="s">
        <v>468</v>
      </c>
      <c r="R585" t="s">
        <v>4</v>
      </c>
      <c r="S585" t="s">
        <v>37</v>
      </c>
    </row>
    <row r="586" spans="1:19" x14ac:dyDescent="0.3">
      <c r="A586" s="2" t="s">
        <v>129</v>
      </c>
      <c r="B586" s="4" t="s">
        <v>369</v>
      </c>
      <c r="C586" s="3" t="s">
        <v>36</v>
      </c>
      <c r="D586" t="s">
        <v>528</v>
      </c>
      <c r="G586">
        <v>3</v>
      </c>
      <c r="H586" t="s">
        <v>514</v>
      </c>
      <c r="K586">
        <v>574.31340872374801</v>
      </c>
      <c r="L586" t="s">
        <v>550</v>
      </c>
      <c r="M586" t="s">
        <v>535</v>
      </c>
      <c r="Q586" t="s">
        <v>468</v>
      </c>
      <c r="R586" t="s">
        <v>4</v>
      </c>
      <c r="S586" t="s">
        <v>37</v>
      </c>
    </row>
    <row r="587" spans="1:19" x14ac:dyDescent="0.3">
      <c r="A587" s="2" t="s">
        <v>129</v>
      </c>
      <c r="B587" s="4" t="s">
        <v>369</v>
      </c>
      <c r="C587" s="3" t="s">
        <v>36</v>
      </c>
      <c r="D587" t="s">
        <v>528</v>
      </c>
      <c r="G587">
        <v>4</v>
      </c>
      <c r="H587" t="s">
        <v>514</v>
      </c>
      <c r="K587">
        <v>441.03392568659098</v>
      </c>
      <c r="L587" t="s">
        <v>550</v>
      </c>
      <c r="M587" t="s">
        <v>535</v>
      </c>
      <c r="Q587" t="s">
        <v>468</v>
      </c>
      <c r="R587" t="s">
        <v>4</v>
      </c>
      <c r="S587" t="s">
        <v>37</v>
      </c>
    </row>
    <row r="588" spans="1:19" x14ac:dyDescent="0.3">
      <c r="A588" s="2" t="s">
        <v>129</v>
      </c>
      <c r="B588" s="4" t="s">
        <v>369</v>
      </c>
      <c r="C588" s="3" t="s">
        <v>36</v>
      </c>
      <c r="D588" t="s">
        <v>528</v>
      </c>
      <c r="G588">
        <v>5</v>
      </c>
      <c r="H588" t="s">
        <v>514</v>
      </c>
      <c r="K588">
        <v>334.41033925686497</v>
      </c>
      <c r="L588" t="s">
        <v>550</v>
      </c>
      <c r="M588" t="s">
        <v>535</v>
      </c>
      <c r="Q588" t="s">
        <v>468</v>
      </c>
      <c r="R588" t="s">
        <v>4</v>
      </c>
      <c r="S588" t="s">
        <v>37</v>
      </c>
    </row>
    <row r="589" spans="1:19" x14ac:dyDescent="0.3">
      <c r="A589" s="2" t="s">
        <v>129</v>
      </c>
      <c r="B589" s="4" t="s">
        <v>369</v>
      </c>
      <c r="C589" s="3" t="s">
        <v>36</v>
      </c>
      <c r="D589" t="s">
        <v>528</v>
      </c>
      <c r="G589">
        <v>6</v>
      </c>
      <c r="H589" t="s">
        <v>514</v>
      </c>
      <c r="K589">
        <v>209.36670466440199</v>
      </c>
      <c r="L589" t="s">
        <v>550</v>
      </c>
      <c r="M589" t="s">
        <v>535</v>
      </c>
      <c r="Q589" t="s">
        <v>468</v>
      </c>
      <c r="R589" t="s">
        <v>4</v>
      </c>
      <c r="S589" t="s">
        <v>37</v>
      </c>
    </row>
    <row r="590" spans="1:19" x14ac:dyDescent="0.3">
      <c r="A590" s="2" t="s">
        <v>129</v>
      </c>
      <c r="B590" s="4" t="s">
        <v>369</v>
      </c>
      <c r="C590" s="3" t="s">
        <v>36</v>
      </c>
      <c r="D590" t="s">
        <v>528</v>
      </c>
      <c r="G590">
        <v>7</v>
      </c>
      <c r="H590" t="s">
        <v>514</v>
      </c>
      <c r="K590">
        <v>133.78830523764299</v>
      </c>
      <c r="L590" t="s">
        <v>550</v>
      </c>
      <c r="M590" t="s">
        <v>535</v>
      </c>
      <c r="Q590" t="s">
        <v>468</v>
      </c>
      <c r="R590" t="s">
        <v>4</v>
      </c>
      <c r="S590" t="s">
        <v>37</v>
      </c>
    </row>
    <row r="591" spans="1:19" x14ac:dyDescent="0.3">
      <c r="A591" s="2" t="s">
        <v>129</v>
      </c>
      <c r="B591" s="4" t="s">
        <v>369</v>
      </c>
      <c r="C591" s="3" t="s">
        <v>36</v>
      </c>
      <c r="D591" t="s">
        <v>528</v>
      </c>
      <c r="G591">
        <v>8</v>
      </c>
      <c r="H591" t="s">
        <v>514</v>
      </c>
      <c r="K591">
        <v>100.749173270529</v>
      </c>
      <c r="L591" t="s">
        <v>550</v>
      </c>
      <c r="M591" t="s">
        <v>535</v>
      </c>
      <c r="Q591" t="s">
        <v>468</v>
      </c>
      <c r="R591" t="s">
        <v>4</v>
      </c>
      <c r="S591" t="s">
        <v>37</v>
      </c>
    </row>
    <row r="592" spans="1:19" x14ac:dyDescent="0.3">
      <c r="A592" s="2" t="s">
        <v>129</v>
      </c>
      <c r="B592" s="4" t="s">
        <v>369</v>
      </c>
      <c r="C592" s="3" t="s">
        <v>36</v>
      </c>
      <c r="D592" t="s">
        <v>528</v>
      </c>
      <c r="G592">
        <v>12</v>
      </c>
      <c r="H592" t="s">
        <v>514</v>
      </c>
      <c r="K592">
        <v>47.055392500442302</v>
      </c>
      <c r="L592" t="s">
        <v>550</v>
      </c>
      <c r="M592" t="s">
        <v>535</v>
      </c>
      <c r="Q592" t="s">
        <v>468</v>
      </c>
      <c r="R592" t="s">
        <v>4</v>
      </c>
      <c r="S592" t="s">
        <v>37</v>
      </c>
    </row>
    <row r="593" spans="1:19" x14ac:dyDescent="0.3">
      <c r="A593" s="2" t="s">
        <v>129</v>
      </c>
      <c r="B593" s="4" t="s">
        <v>369</v>
      </c>
      <c r="C593" s="3" t="s">
        <v>36</v>
      </c>
      <c r="D593" t="s">
        <v>528</v>
      </c>
      <c r="G593">
        <v>16</v>
      </c>
      <c r="H593" t="s">
        <v>514</v>
      </c>
      <c r="K593">
        <v>33.3811128041038</v>
      </c>
      <c r="L593" t="s">
        <v>550</v>
      </c>
      <c r="M593" t="s">
        <v>535</v>
      </c>
      <c r="Q593" t="s">
        <v>468</v>
      </c>
      <c r="R593" t="s">
        <v>4</v>
      </c>
      <c r="S593" t="s">
        <v>37</v>
      </c>
    </row>
    <row r="594" spans="1:19" x14ac:dyDescent="0.3">
      <c r="A594" s="2" t="s">
        <v>129</v>
      </c>
      <c r="B594" s="4" t="s">
        <v>369</v>
      </c>
      <c r="C594" s="3" t="s">
        <v>36</v>
      </c>
      <c r="D594" t="s">
        <v>528</v>
      </c>
      <c r="G594">
        <v>20</v>
      </c>
      <c r="H594" t="s">
        <v>514</v>
      </c>
      <c r="K594">
        <v>19.796865585096398</v>
      </c>
      <c r="L594" t="s">
        <v>550</v>
      </c>
      <c r="M594" t="s">
        <v>535</v>
      </c>
      <c r="Q594" t="s">
        <v>468</v>
      </c>
      <c r="R594" t="s">
        <v>4</v>
      </c>
      <c r="S594" t="s">
        <v>37</v>
      </c>
    </row>
    <row r="595" spans="1:19" x14ac:dyDescent="0.3">
      <c r="A595" s="2" t="s">
        <v>129</v>
      </c>
      <c r="B595" s="4" t="s">
        <v>369</v>
      </c>
      <c r="C595" s="3" t="s">
        <v>36</v>
      </c>
      <c r="D595" t="s">
        <v>528</v>
      </c>
      <c r="G595">
        <v>24</v>
      </c>
      <c r="H595" t="s">
        <v>514</v>
      </c>
      <c r="K595">
        <v>13.8358186907139</v>
      </c>
      <c r="L595" t="s">
        <v>550</v>
      </c>
      <c r="M595" t="s">
        <v>535</v>
      </c>
      <c r="Q595" t="s">
        <v>468</v>
      </c>
      <c r="R595" t="s">
        <v>4</v>
      </c>
      <c r="S595" t="s">
        <v>37</v>
      </c>
    </row>
    <row r="596" spans="1:19" x14ac:dyDescent="0.3">
      <c r="A596" s="2" t="s">
        <v>129</v>
      </c>
      <c r="B596" s="4" t="s">
        <v>369</v>
      </c>
      <c r="C596" s="3" t="s">
        <v>36</v>
      </c>
      <c r="D596" t="s">
        <v>528</v>
      </c>
      <c r="G596">
        <v>30</v>
      </c>
      <c r="H596" t="s">
        <v>514</v>
      </c>
      <c r="K596">
        <v>2.4489444290142699</v>
      </c>
      <c r="L596" t="s">
        <v>550</v>
      </c>
      <c r="M596" t="s">
        <v>535</v>
      </c>
      <c r="Q596" t="s">
        <v>468</v>
      </c>
      <c r="R596" t="s">
        <v>4</v>
      </c>
      <c r="S596" t="s">
        <v>37</v>
      </c>
    </row>
    <row r="597" spans="1:19" x14ac:dyDescent="0.3">
      <c r="A597" s="2" t="s">
        <v>130</v>
      </c>
      <c r="B597" s="4" t="s">
        <v>370</v>
      </c>
      <c r="C597" s="3" t="s">
        <v>36</v>
      </c>
      <c r="D597" t="s">
        <v>528</v>
      </c>
      <c r="G597">
        <v>0.5</v>
      </c>
      <c r="H597" t="s">
        <v>514</v>
      </c>
      <c r="K597">
        <v>574.31340872374801</v>
      </c>
      <c r="L597" t="s">
        <v>550</v>
      </c>
      <c r="M597" t="s">
        <v>535</v>
      </c>
      <c r="Q597" t="s">
        <v>468</v>
      </c>
      <c r="R597" t="s">
        <v>4</v>
      </c>
      <c r="S597" t="s">
        <v>37</v>
      </c>
    </row>
    <row r="598" spans="1:19" x14ac:dyDescent="0.3">
      <c r="A598" s="2" t="s">
        <v>130</v>
      </c>
      <c r="B598" s="4" t="s">
        <v>370</v>
      </c>
      <c r="C598" s="3" t="s">
        <v>36</v>
      </c>
      <c r="D598" t="s">
        <v>528</v>
      </c>
      <c r="G598">
        <v>1</v>
      </c>
      <c r="H598" t="s">
        <v>514</v>
      </c>
      <c r="K598">
        <v>1192.2455573505599</v>
      </c>
      <c r="L598" t="s">
        <v>550</v>
      </c>
      <c r="M598" t="s">
        <v>535</v>
      </c>
      <c r="Q598" t="s">
        <v>468</v>
      </c>
      <c r="R598" t="s">
        <v>4</v>
      </c>
      <c r="S598" t="s">
        <v>37</v>
      </c>
    </row>
    <row r="599" spans="1:19" x14ac:dyDescent="0.3">
      <c r="A599" s="2" t="s">
        <v>130</v>
      </c>
      <c r="B599" s="4" t="s">
        <v>370</v>
      </c>
      <c r="C599" s="3" t="s">
        <v>36</v>
      </c>
      <c r="D599" t="s">
        <v>528</v>
      </c>
      <c r="G599">
        <v>1.5</v>
      </c>
      <c r="H599" t="s">
        <v>514</v>
      </c>
      <c r="K599">
        <v>1221.3247172859401</v>
      </c>
      <c r="L599" t="s">
        <v>550</v>
      </c>
      <c r="M599" t="s">
        <v>535</v>
      </c>
      <c r="Q599" t="s">
        <v>468</v>
      </c>
      <c r="R599" t="s">
        <v>4</v>
      </c>
      <c r="S599" t="s">
        <v>37</v>
      </c>
    </row>
    <row r="600" spans="1:19" x14ac:dyDescent="0.3">
      <c r="A600" s="2" t="s">
        <v>130</v>
      </c>
      <c r="B600" s="4" t="s">
        <v>370</v>
      </c>
      <c r="C600" s="3" t="s">
        <v>36</v>
      </c>
      <c r="D600" t="s">
        <v>528</v>
      </c>
      <c r="G600">
        <v>2</v>
      </c>
      <c r="H600" t="s">
        <v>514</v>
      </c>
      <c r="K600">
        <v>1058.9660743134</v>
      </c>
      <c r="L600" t="s">
        <v>550</v>
      </c>
      <c r="M600" t="s">
        <v>535</v>
      </c>
      <c r="Q600" t="s">
        <v>468</v>
      </c>
      <c r="R600" t="s">
        <v>4</v>
      </c>
      <c r="S600" t="s">
        <v>37</v>
      </c>
    </row>
    <row r="601" spans="1:19" x14ac:dyDescent="0.3">
      <c r="A601" s="2" t="s">
        <v>130</v>
      </c>
      <c r="B601" s="4" t="s">
        <v>370</v>
      </c>
      <c r="C601" s="3" t="s">
        <v>36</v>
      </c>
      <c r="D601" t="s">
        <v>528</v>
      </c>
      <c r="G601">
        <v>3</v>
      </c>
      <c r="H601" t="s">
        <v>514</v>
      </c>
      <c r="K601">
        <v>705.16962843295596</v>
      </c>
      <c r="L601" t="s">
        <v>550</v>
      </c>
      <c r="M601" t="s">
        <v>535</v>
      </c>
      <c r="Q601" t="s">
        <v>468</v>
      </c>
      <c r="R601" t="s">
        <v>4</v>
      </c>
      <c r="S601" t="s">
        <v>37</v>
      </c>
    </row>
    <row r="602" spans="1:19" x14ac:dyDescent="0.3">
      <c r="A602" s="2" t="s">
        <v>130</v>
      </c>
      <c r="B602" s="4" t="s">
        <v>370</v>
      </c>
      <c r="C602" s="3" t="s">
        <v>36</v>
      </c>
      <c r="D602" t="s">
        <v>528</v>
      </c>
      <c r="G602">
        <v>4</v>
      </c>
      <c r="H602" t="s">
        <v>514</v>
      </c>
      <c r="K602">
        <v>615.50888529886902</v>
      </c>
      <c r="L602" t="s">
        <v>550</v>
      </c>
      <c r="M602" t="s">
        <v>535</v>
      </c>
      <c r="Q602" t="s">
        <v>468</v>
      </c>
      <c r="R602" t="s">
        <v>4</v>
      </c>
      <c r="S602" t="s">
        <v>37</v>
      </c>
    </row>
    <row r="603" spans="1:19" x14ac:dyDescent="0.3">
      <c r="A603" s="2" t="s">
        <v>130</v>
      </c>
      <c r="B603" s="4" t="s">
        <v>370</v>
      </c>
      <c r="C603" s="3" t="s">
        <v>36</v>
      </c>
      <c r="D603" t="s">
        <v>528</v>
      </c>
      <c r="G603">
        <v>5</v>
      </c>
      <c r="H603" t="s">
        <v>514</v>
      </c>
      <c r="K603">
        <v>411.95476575121103</v>
      </c>
      <c r="L603" t="s">
        <v>550</v>
      </c>
      <c r="M603" t="s">
        <v>535</v>
      </c>
      <c r="Q603" t="s">
        <v>468</v>
      </c>
      <c r="R603" t="s">
        <v>4</v>
      </c>
      <c r="S603" t="s">
        <v>37</v>
      </c>
    </row>
    <row r="604" spans="1:19" x14ac:dyDescent="0.3">
      <c r="A604" s="2" t="s">
        <v>130</v>
      </c>
      <c r="B604" s="4" t="s">
        <v>370</v>
      </c>
      <c r="C604" s="3" t="s">
        <v>36</v>
      </c>
      <c r="D604" t="s">
        <v>528</v>
      </c>
      <c r="G604">
        <v>6</v>
      </c>
      <c r="H604" t="s">
        <v>514</v>
      </c>
      <c r="K604">
        <v>307.754442649434</v>
      </c>
      <c r="L604" t="s">
        <v>550</v>
      </c>
      <c r="M604" t="s">
        <v>535</v>
      </c>
      <c r="Q604" t="s">
        <v>468</v>
      </c>
      <c r="R604" t="s">
        <v>4</v>
      </c>
      <c r="S604" t="s">
        <v>37</v>
      </c>
    </row>
    <row r="605" spans="1:19" x14ac:dyDescent="0.3">
      <c r="A605" s="2" t="s">
        <v>130</v>
      </c>
      <c r="B605" s="4" t="s">
        <v>370</v>
      </c>
      <c r="C605" s="3" t="s">
        <v>36</v>
      </c>
      <c r="D605" t="s">
        <v>528</v>
      </c>
      <c r="G605">
        <v>7</v>
      </c>
      <c r="H605" t="s">
        <v>514</v>
      </c>
      <c r="K605">
        <v>232.42802542333999</v>
      </c>
      <c r="L605" t="s">
        <v>550</v>
      </c>
      <c r="M605" t="s">
        <v>535</v>
      </c>
      <c r="Q605" t="s">
        <v>468</v>
      </c>
      <c r="R605" t="s">
        <v>4</v>
      </c>
      <c r="S605" t="s">
        <v>37</v>
      </c>
    </row>
    <row r="606" spans="1:19" x14ac:dyDescent="0.3">
      <c r="A606" s="2" t="s">
        <v>130</v>
      </c>
      <c r="B606" s="4" t="s">
        <v>370</v>
      </c>
      <c r="C606" s="3" t="s">
        <v>36</v>
      </c>
      <c r="D606" t="s">
        <v>528</v>
      </c>
      <c r="G606">
        <v>8</v>
      </c>
      <c r="H606" t="s">
        <v>514</v>
      </c>
      <c r="K606">
        <v>185.79916595421301</v>
      </c>
      <c r="L606" t="s">
        <v>550</v>
      </c>
      <c r="M606" t="s">
        <v>535</v>
      </c>
      <c r="Q606" t="s">
        <v>468</v>
      </c>
      <c r="R606" t="s">
        <v>4</v>
      </c>
      <c r="S606" t="s">
        <v>37</v>
      </c>
    </row>
    <row r="607" spans="1:19" x14ac:dyDescent="0.3">
      <c r="A607" s="2" t="s">
        <v>130</v>
      </c>
      <c r="B607" s="4" t="s">
        <v>370</v>
      </c>
      <c r="C607" s="3" t="s">
        <v>36</v>
      </c>
      <c r="D607" t="s">
        <v>528</v>
      </c>
      <c r="G607">
        <v>12</v>
      </c>
      <c r="H607" t="s">
        <v>514</v>
      </c>
      <c r="K607">
        <v>144.156112885818</v>
      </c>
      <c r="L607" t="s">
        <v>550</v>
      </c>
      <c r="M607" t="s">
        <v>535</v>
      </c>
      <c r="Q607" t="s">
        <v>468</v>
      </c>
      <c r="R607" t="s">
        <v>4</v>
      </c>
      <c r="S607" t="s">
        <v>37</v>
      </c>
    </row>
    <row r="608" spans="1:19" x14ac:dyDescent="0.3">
      <c r="A608" s="2" t="s">
        <v>130</v>
      </c>
      <c r="B608" s="4" t="s">
        <v>370</v>
      </c>
      <c r="C608" s="3" t="s">
        <v>36</v>
      </c>
      <c r="D608" t="s">
        <v>528</v>
      </c>
      <c r="G608">
        <v>16</v>
      </c>
      <c r="H608" t="s">
        <v>514</v>
      </c>
      <c r="K608">
        <v>116.96914430304101</v>
      </c>
      <c r="L608" t="s">
        <v>550</v>
      </c>
      <c r="M608" t="s">
        <v>535</v>
      </c>
      <c r="Q608" t="s">
        <v>468</v>
      </c>
      <c r="R608" t="s">
        <v>4</v>
      </c>
      <c r="S608" t="s">
        <v>37</v>
      </c>
    </row>
    <row r="609" spans="1:19" x14ac:dyDescent="0.3">
      <c r="A609" s="2" t="s">
        <v>130</v>
      </c>
      <c r="B609" s="4" t="s">
        <v>370</v>
      </c>
      <c r="C609" s="3" t="s">
        <v>36</v>
      </c>
      <c r="D609" t="s">
        <v>528</v>
      </c>
      <c r="G609">
        <v>20</v>
      </c>
      <c r="H609" t="s">
        <v>514</v>
      </c>
      <c r="K609">
        <v>89.408258081179198</v>
      </c>
      <c r="L609" t="s">
        <v>550</v>
      </c>
      <c r="M609" t="s">
        <v>535</v>
      </c>
      <c r="Q609" t="s">
        <v>468</v>
      </c>
      <c r="R609" t="s">
        <v>4</v>
      </c>
      <c r="S609" t="s">
        <v>37</v>
      </c>
    </row>
    <row r="610" spans="1:19" x14ac:dyDescent="0.3">
      <c r="A610" s="2" t="s">
        <v>130</v>
      </c>
      <c r="B610" s="4" t="s">
        <v>370</v>
      </c>
      <c r="C610" s="3" t="s">
        <v>36</v>
      </c>
      <c r="D610" t="s">
        <v>528</v>
      </c>
      <c r="G610">
        <v>24</v>
      </c>
      <c r="H610" t="s">
        <v>514</v>
      </c>
      <c r="K610">
        <v>94.909473105886306</v>
      </c>
      <c r="L610" t="s">
        <v>550</v>
      </c>
      <c r="M610" t="s">
        <v>535</v>
      </c>
      <c r="Q610" t="s">
        <v>468</v>
      </c>
      <c r="R610" t="s">
        <v>4</v>
      </c>
      <c r="S610" t="s">
        <v>37</v>
      </c>
    </row>
    <row r="611" spans="1:19" x14ac:dyDescent="0.3">
      <c r="A611" s="2" t="s">
        <v>130</v>
      </c>
      <c r="B611" s="4" t="s">
        <v>370</v>
      </c>
      <c r="C611" s="3" t="s">
        <v>36</v>
      </c>
      <c r="D611" t="s">
        <v>528</v>
      </c>
      <c r="G611">
        <v>30</v>
      </c>
      <c r="H611" t="s">
        <v>514</v>
      </c>
      <c r="K611">
        <v>75.869082104488498</v>
      </c>
      <c r="L611" t="s">
        <v>550</v>
      </c>
      <c r="M611" t="s">
        <v>535</v>
      </c>
      <c r="Q611" t="s">
        <v>468</v>
      </c>
      <c r="R611" t="s">
        <v>4</v>
      </c>
      <c r="S611" t="s">
        <v>37</v>
      </c>
    </row>
    <row r="612" spans="1:19" x14ac:dyDescent="0.3">
      <c r="A612" s="2" t="s">
        <v>130</v>
      </c>
      <c r="B612" s="4" t="s">
        <v>370</v>
      </c>
      <c r="C612" s="3" t="s">
        <v>36</v>
      </c>
      <c r="D612" t="s">
        <v>528</v>
      </c>
      <c r="G612">
        <v>36</v>
      </c>
      <c r="H612" t="s">
        <v>514</v>
      </c>
      <c r="K612">
        <v>40.530277626529099</v>
      </c>
      <c r="L612" t="s">
        <v>550</v>
      </c>
      <c r="M612" t="s">
        <v>535</v>
      </c>
      <c r="Q612" t="s">
        <v>468</v>
      </c>
      <c r="R612" t="s">
        <v>4</v>
      </c>
      <c r="S612" t="s">
        <v>37</v>
      </c>
    </row>
    <row r="613" spans="1:19" x14ac:dyDescent="0.3">
      <c r="A613" s="2" t="s">
        <v>130</v>
      </c>
      <c r="B613" s="4" t="s">
        <v>370</v>
      </c>
      <c r="C613" s="3" t="s">
        <v>36</v>
      </c>
      <c r="D613" t="s">
        <v>528</v>
      </c>
      <c r="G613">
        <v>42</v>
      </c>
      <c r="H613" t="s">
        <v>514</v>
      </c>
      <c r="K613">
        <v>21.977450449396098</v>
      </c>
      <c r="L613" t="s">
        <v>550</v>
      </c>
      <c r="M613" t="s">
        <v>535</v>
      </c>
      <c r="Q613" t="s">
        <v>468</v>
      </c>
      <c r="R613" t="s">
        <v>4</v>
      </c>
      <c r="S613" t="s">
        <v>37</v>
      </c>
    </row>
    <row r="614" spans="1:19" x14ac:dyDescent="0.3">
      <c r="A614" s="2" t="s">
        <v>130</v>
      </c>
      <c r="B614" s="4" t="s">
        <v>370</v>
      </c>
      <c r="C614" s="3" t="s">
        <v>36</v>
      </c>
      <c r="D614" t="s">
        <v>528</v>
      </c>
      <c r="G614">
        <v>48</v>
      </c>
      <c r="H614" t="s">
        <v>514</v>
      </c>
      <c r="K614">
        <v>13.6308167750217</v>
      </c>
      <c r="L614" t="s">
        <v>550</v>
      </c>
      <c r="M614" t="s">
        <v>535</v>
      </c>
      <c r="Q614" t="s">
        <v>468</v>
      </c>
      <c r="R614" t="s">
        <v>4</v>
      </c>
      <c r="S614" t="s">
        <v>37</v>
      </c>
    </row>
    <row r="615" spans="1:19" x14ac:dyDescent="0.3">
      <c r="A615" s="2" t="s">
        <v>131</v>
      </c>
      <c r="B615" s="4" t="s">
        <v>371</v>
      </c>
      <c r="C615" s="3" t="s">
        <v>36</v>
      </c>
      <c r="D615" t="s">
        <v>528</v>
      </c>
      <c r="G615">
        <v>0.5</v>
      </c>
      <c r="H615" t="s">
        <v>514</v>
      </c>
      <c r="K615">
        <v>518.57835218093601</v>
      </c>
      <c r="L615" t="s">
        <v>550</v>
      </c>
      <c r="M615" t="s">
        <v>535</v>
      </c>
      <c r="Q615" t="s">
        <v>468</v>
      </c>
      <c r="R615" t="s">
        <v>4</v>
      </c>
      <c r="S615" t="s">
        <v>37</v>
      </c>
    </row>
    <row r="616" spans="1:19" x14ac:dyDescent="0.3">
      <c r="A616" s="2" t="s">
        <v>131</v>
      </c>
      <c r="B616" s="4" t="s">
        <v>371</v>
      </c>
      <c r="C616" s="3" t="s">
        <v>36</v>
      </c>
      <c r="D616" t="s">
        <v>528</v>
      </c>
      <c r="G616">
        <v>1</v>
      </c>
      <c r="H616" t="s">
        <v>514</v>
      </c>
      <c r="K616">
        <v>1090.46849757673</v>
      </c>
      <c r="L616" t="s">
        <v>550</v>
      </c>
      <c r="M616" t="s">
        <v>535</v>
      </c>
      <c r="Q616" t="s">
        <v>468</v>
      </c>
      <c r="R616" t="s">
        <v>4</v>
      </c>
      <c r="S616" t="s">
        <v>37</v>
      </c>
    </row>
    <row r="617" spans="1:19" x14ac:dyDescent="0.3">
      <c r="A617" s="2" t="s">
        <v>131</v>
      </c>
      <c r="B617" s="4" t="s">
        <v>371</v>
      </c>
      <c r="C617" s="3" t="s">
        <v>36</v>
      </c>
      <c r="D617" t="s">
        <v>528</v>
      </c>
      <c r="G617">
        <v>1.5</v>
      </c>
      <c r="H617" t="s">
        <v>514</v>
      </c>
      <c r="K617">
        <v>1136.5105008077501</v>
      </c>
      <c r="L617" t="s">
        <v>550</v>
      </c>
      <c r="M617" t="s">
        <v>535</v>
      </c>
      <c r="Q617" t="s">
        <v>468</v>
      </c>
      <c r="R617" t="s">
        <v>4</v>
      </c>
      <c r="S617" t="s">
        <v>37</v>
      </c>
    </row>
    <row r="618" spans="1:19" x14ac:dyDescent="0.3">
      <c r="A618" s="2" t="s">
        <v>131</v>
      </c>
      <c r="B618" s="4" t="s">
        <v>371</v>
      </c>
      <c r="C618" s="3" t="s">
        <v>36</v>
      </c>
      <c r="D618" t="s">
        <v>528</v>
      </c>
      <c r="G618">
        <v>2</v>
      </c>
      <c r="H618" t="s">
        <v>514</v>
      </c>
      <c r="K618">
        <v>1117.1243941841601</v>
      </c>
      <c r="L618" t="s">
        <v>550</v>
      </c>
      <c r="M618" t="s">
        <v>535</v>
      </c>
      <c r="Q618" t="s">
        <v>468</v>
      </c>
      <c r="R618" t="s">
        <v>4</v>
      </c>
      <c r="S618" t="s">
        <v>37</v>
      </c>
    </row>
    <row r="619" spans="1:19" x14ac:dyDescent="0.3">
      <c r="A619" s="2" t="s">
        <v>131</v>
      </c>
      <c r="B619" s="4" t="s">
        <v>371</v>
      </c>
      <c r="C619" s="3" t="s">
        <v>36</v>
      </c>
      <c r="D619" t="s">
        <v>528</v>
      </c>
      <c r="G619">
        <v>3</v>
      </c>
      <c r="H619" t="s">
        <v>514</v>
      </c>
      <c r="K619">
        <v>1117.1243941841601</v>
      </c>
      <c r="L619" t="s">
        <v>550</v>
      </c>
      <c r="M619" t="s">
        <v>535</v>
      </c>
      <c r="Q619" t="s">
        <v>468</v>
      </c>
      <c r="R619" t="s">
        <v>4</v>
      </c>
      <c r="S619" t="s">
        <v>37</v>
      </c>
    </row>
    <row r="620" spans="1:19" x14ac:dyDescent="0.3">
      <c r="A620" s="2" t="s">
        <v>131</v>
      </c>
      <c r="B620" s="4" t="s">
        <v>371</v>
      </c>
      <c r="C620" s="3" t="s">
        <v>36</v>
      </c>
      <c r="D620" t="s">
        <v>528</v>
      </c>
      <c r="G620">
        <v>4</v>
      </c>
      <c r="H620" t="s">
        <v>514</v>
      </c>
      <c r="K620">
        <v>932.95638126009703</v>
      </c>
      <c r="L620" t="s">
        <v>550</v>
      </c>
      <c r="M620" t="s">
        <v>535</v>
      </c>
      <c r="Q620" t="s">
        <v>468</v>
      </c>
      <c r="R620" t="s">
        <v>4</v>
      </c>
      <c r="S620" t="s">
        <v>37</v>
      </c>
    </row>
    <row r="621" spans="1:19" x14ac:dyDescent="0.3">
      <c r="A621" s="2" t="s">
        <v>131</v>
      </c>
      <c r="B621" s="4" t="s">
        <v>371</v>
      </c>
      <c r="C621" s="3" t="s">
        <v>36</v>
      </c>
      <c r="D621" t="s">
        <v>528</v>
      </c>
      <c r="G621">
        <v>5</v>
      </c>
      <c r="H621" t="s">
        <v>514</v>
      </c>
      <c r="K621">
        <v>925.68659127625097</v>
      </c>
      <c r="L621" t="s">
        <v>550</v>
      </c>
      <c r="M621" t="s">
        <v>535</v>
      </c>
      <c r="Q621" t="s">
        <v>468</v>
      </c>
      <c r="R621" t="s">
        <v>4</v>
      </c>
      <c r="S621" t="s">
        <v>37</v>
      </c>
    </row>
    <row r="622" spans="1:19" x14ac:dyDescent="0.3">
      <c r="A622" s="2" t="s">
        <v>131</v>
      </c>
      <c r="B622" s="4" t="s">
        <v>371</v>
      </c>
      <c r="C622" s="3" t="s">
        <v>36</v>
      </c>
      <c r="D622" t="s">
        <v>528</v>
      </c>
      <c r="G622">
        <v>6</v>
      </c>
      <c r="H622" t="s">
        <v>514</v>
      </c>
      <c r="K622">
        <v>644.58804523424806</v>
      </c>
      <c r="L622" t="s">
        <v>550</v>
      </c>
      <c r="M622" t="s">
        <v>535</v>
      </c>
      <c r="Q622" t="s">
        <v>468</v>
      </c>
      <c r="R622" t="s">
        <v>4</v>
      </c>
      <c r="S622" t="s">
        <v>37</v>
      </c>
    </row>
    <row r="623" spans="1:19" x14ac:dyDescent="0.3">
      <c r="A623" s="2" t="s">
        <v>131</v>
      </c>
      <c r="B623" s="4" t="s">
        <v>371</v>
      </c>
      <c r="C623" s="3" t="s">
        <v>36</v>
      </c>
      <c r="D623" t="s">
        <v>528</v>
      </c>
      <c r="G623">
        <v>7</v>
      </c>
      <c r="H623" t="s">
        <v>514</v>
      </c>
      <c r="K623">
        <v>457.99676898222901</v>
      </c>
      <c r="L623" t="s">
        <v>550</v>
      </c>
      <c r="M623" t="s">
        <v>535</v>
      </c>
      <c r="Q623" t="s">
        <v>468</v>
      </c>
      <c r="R623" t="s">
        <v>4</v>
      </c>
      <c r="S623" t="s">
        <v>37</v>
      </c>
    </row>
    <row r="624" spans="1:19" x14ac:dyDescent="0.3">
      <c r="A624" s="2" t="s">
        <v>131</v>
      </c>
      <c r="B624" s="4" t="s">
        <v>371</v>
      </c>
      <c r="C624" s="3" t="s">
        <v>36</v>
      </c>
      <c r="D624" t="s">
        <v>528</v>
      </c>
      <c r="G624">
        <v>8</v>
      </c>
      <c r="H624" t="s">
        <v>514</v>
      </c>
      <c r="K624">
        <v>319.87075928917602</v>
      </c>
      <c r="L624" t="s">
        <v>550</v>
      </c>
      <c r="M624" t="s">
        <v>535</v>
      </c>
      <c r="Q624" t="s">
        <v>468</v>
      </c>
      <c r="R624" t="s">
        <v>4</v>
      </c>
      <c r="S624" t="s">
        <v>37</v>
      </c>
    </row>
    <row r="625" spans="1:19" x14ac:dyDescent="0.3">
      <c r="A625" s="2" t="s">
        <v>131</v>
      </c>
      <c r="B625" s="4" t="s">
        <v>371</v>
      </c>
      <c r="C625" s="3" t="s">
        <v>36</v>
      </c>
      <c r="D625" t="s">
        <v>528</v>
      </c>
      <c r="G625">
        <v>12</v>
      </c>
      <c r="H625" t="s">
        <v>514</v>
      </c>
      <c r="K625">
        <v>185.79916595421301</v>
      </c>
      <c r="L625" t="s">
        <v>550</v>
      </c>
      <c r="M625" t="s">
        <v>535</v>
      </c>
      <c r="Q625" t="s">
        <v>468</v>
      </c>
      <c r="R625" t="s">
        <v>4</v>
      </c>
      <c r="S625" t="s">
        <v>37</v>
      </c>
    </row>
    <row r="626" spans="1:19" x14ac:dyDescent="0.3">
      <c r="A626" s="2" t="s">
        <v>131</v>
      </c>
      <c r="B626" s="4" t="s">
        <v>371</v>
      </c>
      <c r="C626" s="3" t="s">
        <v>36</v>
      </c>
      <c r="D626" t="s">
        <v>528</v>
      </c>
      <c r="G626">
        <v>16</v>
      </c>
      <c r="H626" t="s">
        <v>514</v>
      </c>
      <c r="K626">
        <v>153.02591743329901</v>
      </c>
      <c r="L626" t="s">
        <v>550</v>
      </c>
      <c r="M626" t="s">
        <v>535</v>
      </c>
      <c r="Q626" t="s">
        <v>468</v>
      </c>
      <c r="R626" t="s">
        <v>4</v>
      </c>
      <c r="S626" t="s">
        <v>37</v>
      </c>
    </row>
    <row r="627" spans="1:19" x14ac:dyDescent="0.3">
      <c r="A627" s="2" t="s">
        <v>131</v>
      </c>
      <c r="B627" s="4" t="s">
        <v>371</v>
      </c>
      <c r="C627" s="3" t="s">
        <v>36</v>
      </c>
      <c r="D627" t="s">
        <v>528</v>
      </c>
      <c r="G627">
        <v>20</v>
      </c>
      <c r="H627" t="s">
        <v>514</v>
      </c>
      <c r="K627">
        <v>135.800426691816</v>
      </c>
      <c r="L627" t="s">
        <v>550</v>
      </c>
      <c r="M627" t="s">
        <v>535</v>
      </c>
      <c r="Q627" t="s">
        <v>468</v>
      </c>
      <c r="R627" t="s">
        <v>4</v>
      </c>
      <c r="S627" t="s">
        <v>37</v>
      </c>
    </row>
    <row r="628" spans="1:19" x14ac:dyDescent="0.3">
      <c r="A628" s="2" t="s">
        <v>131</v>
      </c>
      <c r="B628" s="4" t="s">
        <v>371</v>
      </c>
      <c r="C628" s="3" t="s">
        <v>36</v>
      </c>
      <c r="D628" t="s">
        <v>528</v>
      </c>
      <c r="G628">
        <v>24</v>
      </c>
      <c r="H628" t="s">
        <v>514</v>
      </c>
      <c r="K628">
        <v>129.85305991892</v>
      </c>
      <c r="L628" t="s">
        <v>550</v>
      </c>
      <c r="M628" t="s">
        <v>535</v>
      </c>
      <c r="Q628" t="s">
        <v>468</v>
      </c>
      <c r="R628" t="s">
        <v>4</v>
      </c>
      <c r="S628" t="s">
        <v>37</v>
      </c>
    </row>
    <row r="629" spans="1:19" x14ac:dyDescent="0.3">
      <c r="A629" s="2" t="s">
        <v>131</v>
      </c>
      <c r="B629" s="4" t="s">
        <v>371</v>
      </c>
      <c r="C629" s="3" t="s">
        <v>36</v>
      </c>
      <c r="D629" t="s">
        <v>528</v>
      </c>
      <c r="G629">
        <v>30</v>
      </c>
      <c r="H629" t="s">
        <v>514</v>
      </c>
      <c r="K629">
        <v>122.32641815331699</v>
      </c>
      <c r="L629" t="s">
        <v>550</v>
      </c>
      <c r="M629" t="s">
        <v>535</v>
      </c>
      <c r="Q629" t="s">
        <v>468</v>
      </c>
      <c r="R629" t="s">
        <v>4</v>
      </c>
      <c r="S629" t="s">
        <v>37</v>
      </c>
    </row>
    <row r="630" spans="1:19" x14ac:dyDescent="0.3">
      <c r="A630" s="2" t="s">
        <v>131</v>
      </c>
      <c r="B630" s="4" t="s">
        <v>371</v>
      </c>
      <c r="C630" s="3" t="s">
        <v>36</v>
      </c>
      <c r="D630" t="s">
        <v>528</v>
      </c>
      <c r="G630">
        <v>36</v>
      </c>
      <c r="H630" t="s">
        <v>514</v>
      </c>
      <c r="K630">
        <v>85.492631920877898</v>
      </c>
      <c r="L630" t="s">
        <v>550</v>
      </c>
      <c r="M630" t="s">
        <v>535</v>
      </c>
      <c r="Q630" t="s">
        <v>468</v>
      </c>
      <c r="R630" t="s">
        <v>4</v>
      </c>
      <c r="S630" t="s">
        <v>37</v>
      </c>
    </row>
    <row r="631" spans="1:19" x14ac:dyDescent="0.3">
      <c r="A631" s="2" t="s">
        <v>131</v>
      </c>
      <c r="B631" s="4" t="s">
        <v>371</v>
      </c>
      <c r="C631" s="3" t="s">
        <v>36</v>
      </c>
      <c r="D631" t="s">
        <v>528</v>
      </c>
      <c r="G631">
        <v>42</v>
      </c>
      <c r="H631" t="s">
        <v>514</v>
      </c>
      <c r="K631">
        <v>57.992409140022602</v>
      </c>
      <c r="L631" t="s">
        <v>550</v>
      </c>
      <c r="M631" t="s">
        <v>535</v>
      </c>
      <c r="Q631" t="s">
        <v>468</v>
      </c>
      <c r="R631" t="s">
        <v>4</v>
      </c>
      <c r="S631" t="s">
        <v>37</v>
      </c>
    </row>
    <row r="632" spans="1:19" x14ac:dyDescent="0.3">
      <c r="A632" s="2" t="s">
        <v>131</v>
      </c>
      <c r="B632" s="4" t="s">
        <v>371</v>
      </c>
      <c r="C632" s="3" t="s">
        <v>36</v>
      </c>
      <c r="D632" t="s">
        <v>528</v>
      </c>
      <c r="G632">
        <v>48</v>
      </c>
      <c r="H632" t="s">
        <v>514</v>
      </c>
      <c r="K632">
        <v>46.358184346601</v>
      </c>
      <c r="L632" t="s">
        <v>550</v>
      </c>
      <c r="M632" t="s">
        <v>535</v>
      </c>
      <c r="Q632" t="s">
        <v>468</v>
      </c>
      <c r="R632" t="s">
        <v>4</v>
      </c>
      <c r="S632" t="s">
        <v>37</v>
      </c>
    </row>
    <row r="633" spans="1:19" ht="14.4" customHeight="1" x14ac:dyDescent="0.3">
      <c r="A633" s="2" t="s">
        <v>132</v>
      </c>
      <c r="B633" s="4" t="s">
        <v>372</v>
      </c>
      <c r="C633" s="5" t="s">
        <v>38</v>
      </c>
      <c r="D633" t="s">
        <v>528</v>
      </c>
      <c r="G633">
        <v>0.5</v>
      </c>
      <c r="H633" t="s">
        <v>514</v>
      </c>
      <c r="K633">
        <v>0.236761960025129</v>
      </c>
      <c r="L633" t="s">
        <v>458</v>
      </c>
      <c r="M633" t="s">
        <v>535</v>
      </c>
      <c r="Q633" t="s">
        <v>468</v>
      </c>
      <c r="R633" t="s">
        <v>4</v>
      </c>
      <c r="S633" t="s">
        <v>39</v>
      </c>
    </row>
    <row r="634" spans="1:19" ht="14.4" customHeight="1" x14ac:dyDescent="0.3">
      <c r="A634" s="2" t="s">
        <v>132</v>
      </c>
      <c r="B634" s="4" t="s">
        <v>372</v>
      </c>
      <c r="C634" s="5" t="s">
        <v>38</v>
      </c>
      <c r="D634" t="s">
        <v>528</v>
      </c>
      <c r="G634">
        <v>1</v>
      </c>
      <c r="H634" t="s">
        <v>514</v>
      </c>
      <c r="K634">
        <v>0.89976364267041398</v>
      </c>
      <c r="L634" t="s">
        <v>458</v>
      </c>
      <c r="M634" t="s">
        <v>535</v>
      </c>
      <c r="Q634" t="s">
        <v>468</v>
      </c>
      <c r="R634" t="s">
        <v>4</v>
      </c>
      <c r="S634" t="s">
        <v>39</v>
      </c>
    </row>
    <row r="635" spans="1:19" ht="14.4" customHeight="1" x14ac:dyDescent="0.3">
      <c r="A635" s="2" t="s">
        <v>132</v>
      </c>
      <c r="B635" s="4" t="s">
        <v>372</v>
      </c>
      <c r="C635" s="5" t="s">
        <v>38</v>
      </c>
      <c r="D635" t="s">
        <v>528</v>
      </c>
      <c r="G635">
        <v>1.5</v>
      </c>
      <c r="H635" t="s">
        <v>514</v>
      </c>
      <c r="K635">
        <v>1.32719818718805</v>
      </c>
      <c r="L635" t="s">
        <v>458</v>
      </c>
      <c r="M635" t="s">
        <v>535</v>
      </c>
      <c r="Q635" t="s">
        <v>468</v>
      </c>
      <c r="R635" t="s">
        <v>4</v>
      </c>
      <c r="S635" t="s">
        <v>39</v>
      </c>
    </row>
    <row r="636" spans="1:19" ht="14.4" customHeight="1" x14ac:dyDescent="0.3">
      <c r="A636" s="2" t="s">
        <v>132</v>
      </c>
      <c r="B636" s="4" t="s">
        <v>372</v>
      </c>
      <c r="C636" s="5" t="s">
        <v>38</v>
      </c>
      <c r="D636" t="s">
        <v>528</v>
      </c>
      <c r="G636">
        <v>2</v>
      </c>
      <c r="H636" t="s">
        <v>514</v>
      </c>
      <c r="K636">
        <v>1.81432713676274</v>
      </c>
      <c r="L636" t="s">
        <v>458</v>
      </c>
      <c r="M636" t="s">
        <v>535</v>
      </c>
      <c r="Q636" t="s">
        <v>468</v>
      </c>
      <c r="R636" t="s">
        <v>4</v>
      </c>
      <c r="S636" t="s">
        <v>39</v>
      </c>
    </row>
    <row r="637" spans="1:19" ht="14.4" customHeight="1" x14ac:dyDescent="0.3">
      <c r="A637" s="2" t="s">
        <v>132</v>
      </c>
      <c r="B637" s="4" t="s">
        <v>372</v>
      </c>
      <c r="C637" s="5" t="s">
        <v>38</v>
      </c>
      <c r="D637" t="s">
        <v>528</v>
      </c>
      <c r="G637">
        <v>3</v>
      </c>
      <c r="H637" t="s">
        <v>514</v>
      </c>
      <c r="K637">
        <v>1.87669845046416</v>
      </c>
      <c r="L637" t="s">
        <v>458</v>
      </c>
      <c r="M637" t="s">
        <v>535</v>
      </c>
      <c r="Q637" t="s">
        <v>468</v>
      </c>
      <c r="R637" t="s">
        <v>4</v>
      </c>
      <c r="S637" t="s">
        <v>39</v>
      </c>
    </row>
    <row r="638" spans="1:19" ht="14.4" customHeight="1" x14ac:dyDescent="0.3">
      <c r="A638" s="2" t="s">
        <v>132</v>
      </c>
      <c r="B638" s="4" t="s">
        <v>372</v>
      </c>
      <c r="C638" s="5" t="s">
        <v>38</v>
      </c>
      <c r="D638" t="s">
        <v>528</v>
      </c>
      <c r="G638">
        <v>4</v>
      </c>
      <c r="H638" t="s">
        <v>514</v>
      </c>
      <c r="K638">
        <v>1.8452492856515901</v>
      </c>
      <c r="L638" t="s">
        <v>458</v>
      </c>
      <c r="M638" t="s">
        <v>535</v>
      </c>
      <c r="Q638" t="s">
        <v>468</v>
      </c>
      <c r="R638" t="s">
        <v>4</v>
      </c>
      <c r="S638" t="s">
        <v>39</v>
      </c>
    </row>
    <row r="639" spans="1:19" ht="14.4" customHeight="1" x14ac:dyDescent="0.3">
      <c r="A639" s="2" t="s">
        <v>132</v>
      </c>
      <c r="B639" s="4" t="s">
        <v>372</v>
      </c>
      <c r="C639" s="5" t="s">
        <v>38</v>
      </c>
      <c r="D639" t="s">
        <v>528</v>
      </c>
      <c r="G639">
        <v>8</v>
      </c>
      <c r="H639" t="s">
        <v>514</v>
      </c>
      <c r="K639">
        <v>1.1303449781241</v>
      </c>
      <c r="L639" t="s">
        <v>458</v>
      </c>
      <c r="M639" t="s">
        <v>535</v>
      </c>
      <c r="Q639" t="s">
        <v>468</v>
      </c>
      <c r="R639" t="s">
        <v>4</v>
      </c>
      <c r="S639" t="s">
        <v>39</v>
      </c>
    </row>
    <row r="640" spans="1:19" ht="14.4" customHeight="1" x14ac:dyDescent="0.3">
      <c r="A640" s="2" t="s">
        <v>132</v>
      </c>
      <c r="B640" s="4" t="s">
        <v>372</v>
      </c>
      <c r="C640" s="5" t="s">
        <v>38</v>
      </c>
      <c r="D640" t="s">
        <v>528</v>
      </c>
      <c r="G640">
        <v>12</v>
      </c>
      <c r="H640" t="s">
        <v>514</v>
      </c>
      <c r="K640">
        <v>0.728425802510828</v>
      </c>
      <c r="L640" t="s">
        <v>458</v>
      </c>
      <c r="M640" t="s">
        <v>535</v>
      </c>
      <c r="Q640" t="s">
        <v>468</v>
      </c>
      <c r="R640" t="s">
        <v>4</v>
      </c>
      <c r="S640" t="s">
        <v>39</v>
      </c>
    </row>
    <row r="641" spans="1:19" ht="14.4" customHeight="1" x14ac:dyDescent="0.3">
      <c r="A641" s="2" t="s">
        <v>132</v>
      </c>
      <c r="B641" s="4" t="s">
        <v>372</v>
      </c>
      <c r="C641" s="5" t="s">
        <v>38</v>
      </c>
      <c r="D641" t="s">
        <v>528</v>
      </c>
      <c r="G641">
        <v>18</v>
      </c>
      <c r="H641" t="s">
        <v>514</v>
      </c>
      <c r="K641">
        <v>0.413536417848134</v>
      </c>
      <c r="L641" t="s">
        <v>458</v>
      </c>
      <c r="M641" t="s">
        <v>535</v>
      </c>
      <c r="Q641" t="s">
        <v>468</v>
      </c>
      <c r="R641" t="s">
        <v>4</v>
      </c>
      <c r="S641" t="s">
        <v>39</v>
      </c>
    </row>
    <row r="642" spans="1:19" ht="14.4" customHeight="1" x14ac:dyDescent="0.3">
      <c r="A642" s="2" t="s">
        <v>132</v>
      </c>
      <c r="B642" s="4" t="s">
        <v>372</v>
      </c>
      <c r="C642" s="5" t="s">
        <v>38</v>
      </c>
      <c r="D642" t="s">
        <v>528</v>
      </c>
      <c r="G642">
        <v>24</v>
      </c>
      <c r="H642" t="s">
        <v>514</v>
      </c>
      <c r="K642">
        <v>0.28035378385216903</v>
      </c>
      <c r="L642" t="s">
        <v>458</v>
      </c>
      <c r="M642" t="s">
        <v>535</v>
      </c>
      <c r="Q642" t="s">
        <v>468</v>
      </c>
      <c r="R642" t="s">
        <v>4</v>
      </c>
      <c r="S642" t="s">
        <v>39</v>
      </c>
    </row>
    <row r="643" spans="1:19" ht="14.4" customHeight="1" x14ac:dyDescent="0.3">
      <c r="A643" s="2" t="s">
        <v>132</v>
      </c>
      <c r="B643" s="4" t="s">
        <v>372</v>
      </c>
      <c r="C643" s="5" t="s">
        <v>38</v>
      </c>
      <c r="D643" t="s">
        <v>528</v>
      </c>
      <c r="G643">
        <v>48</v>
      </c>
      <c r="H643" t="s">
        <v>514</v>
      </c>
      <c r="K643">
        <v>5.6771247863914902E-2</v>
      </c>
      <c r="L643" t="s">
        <v>458</v>
      </c>
      <c r="M643" t="s">
        <v>535</v>
      </c>
      <c r="Q643" t="s">
        <v>468</v>
      </c>
      <c r="R643" t="s">
        <v>4</v>
      </c>
      <c r="S643" t="s">
        <v>39</v>
      </c>
    </row>
    <row r="644" spans="1:19" ht="14.4" customHeight="1" x14ac:dyDescent="0.3">
      <c r="A644" s="2" t="s">
        <v>132</v>
      </c>
      <c r="B644" s="4" t="s">
        <v>372</v>
      </c>
      <c r="C644" s="5" t="s">
        <v>38</v>
      </c>
      <c r="D644" t="s">
        <v>528</v>
      </c>
      <c r="G644">
        <v>72</v>
      </c>
      <c r="H644" t="s">
        <v>514</v>
      </c>
      <c r="K644">
        <v>1.87669845046416E-2</v>
      </c>
      <c r="L644" t="s">
        <v>458</v>
      </c>
      <c r="M644" t="s">
        <v>535</v>
      </c>
      <c r="Q644" t="s">
        <v>468</v>
      </c>
      <c r="R644" t="s">
        <v>4</v>
      </c>
      <c r="S644" t="s">
        <v>39</v>
      </c>
    </row>
    <row r="645" spans="1:19" ht="14.4" customHeight="1" x14ac:dyDescent="0.3">
      <c r="A645" s="2" t="s">
        <v>133</v>
      </c>
      <c r="B645" s="4" t="s">
        <v>373</v>
      </c>
      <c r="C645" s="5" t="s">
        <v>38</v>
      </c>
      <c r="D645" t="s">
        <v>528</v>
      </c>
      <c r="G645">
        <v>0.25</v>
      </c>
      <c r="H645" t="s">
        <v>514</v>
      </c>
      <c r="K645">
        <v>5.0650898758568298E-3</v>
      </c>
      <c r="L645" t="s">
        <v>458</v>
      </c>
      <c r="M645" t="s">
        <v>535</v>
      </c>
      <c r="Q645" t="s">
        <v>468</v>
      </c>
      <c r="R645" t="s">
        <v>4</v>
      </c>
      <c r="S645" t="s">
        <v>39</v>
      </c>
    </row>
    <row r="646" spans="1:19" ht="14.4" customHeight="1" x14ac:dyDescent="0.3">
      <c r="A646" s="2" t="s">
        <v>133</v>
      </c>
      <c r="B646" s="4" t="s">
        <v>373</v>
      </c>
      <c r="C646" s="5" t="s">
        <v>38</v>
      </c>
      <c r="D646" t="s">
        <v>528</v>
      </c>
      <c r="G646">
        <v>0.5</v>
      </c>
      <c r="H646" t="s">
        <v>514</v>
      </c>
      <c r="K646">
        <v>0.20335594848642399</v>
      </c>
      <c r="L646" t="s">
        <v>458</v>
      </c>
      <c r="M646" t="s">
        <v>535</v>
      </c>
      <c r="Q646" t="s">
        <v>468</v>
      </c>
      <c r="R646" t="s">
        <v>4</v>
      </c>
      <c r="S646" t="s">
        <v>39</v>
      </c>
    </row>
    <row r="647" spans="1:19" ht="14.4" customHeight="1" x14ac:dyDescent="0.3">
      <c r="A647" s="2" t="s">
        <v>133</v>
      </c>
      <c r="B647" s="4" t="s">
        <v>373</v>
      </c>
      <c r="C647" s="5" t="s">
        <v>38</v>
      </c>
      <c r="D647" t="s">
        <v>528</v>
      </c>
      <c r="G647">
        <v>1</v>
      </c>
      <c r="H647" t="s">
        <v>514</v>
      </c>
      <c r="K647">
        <v>0.95458919386778196</v>
      </c>
      <c r="L647" t="s">
        <v>458</v>
      </c>
      <c r="M647" t="s">
        <v>535</v>
      </c>
      <c r="Q647" t="s">
        <v>468</v>
      </c>
      <c r="R647" t="s">
        <v>4</v>
      </c>
      <c r="S647" t="s">
        <v>39</v>
      </c>
    </row>
    <row r="648" spans="1:19" ht="14.4" customHeight="1" x14ac:dyDescent="0.3">
      <c r="A648" s="2" t="s">
        <v>133</v>
      </c>
      <c r="B648" s="4" t="s">
        <v>373</v>
      </c>
      <c r="C648" s="5" t="s">
        <v>38</v>
      </c>
      <c r="D648" t="s">
        <v>528</v>
      </c>
      <c r="G648">
        <v>1.5</v>
      </c>
      <c r="H648" t="s">
        <v>514</v>
      </c>
      <c r="K648">
        <v>1.6255830952354999</v>
      </c>
      <c r="L648" t="s">
        <v>458</v>
      </c>
      <c r="M648" t="s">
        <v>535</v>
      </c>
      <c r="Q648" t="s">
        <v>468</v>
      </c>
      <c r="R648" t="s">
        <v>4</v>
      </c>
      <c r="S648" t="s">
        <v>39</v>
      </c>
    </row>
    <row r="649" spans="1:19" ht="14.4" customHeight="1" x14ac:dyDescent="0.3">
      <c r="A649" s="2" t="s">
        <v>133</v>
      </c>
      <c r="B649" s="4" t="s">
        <v>373</v>
      </c>
      <c r="C649" s="5" t="s">
        <v>38</v>
      </c>
      <c r="D649" t="s">
        <v>528</v>
      </c>
      <c r="G649">
        <v>2</v>
      </c>
      <c r="H649" t="s">
        <v>514</v>
      </c>
      <c r="K649">
        <v>3.1158603277201302</v>
      </c>
      <c r="L649" t="s">
        <v>458</v>
      </c>
      <c r="M649" t="s">
        <v>535</v>
      </c>
      <c r="Q649" t="s">
        <v>468</v>
      </c>
      <c r="R649" t="s">
        <v>4</v>
      </c>
      <c r="S649" t="s">
        <v>39</v>
      </c>
    </row>
    <row r="650" spans="1:19" ht="14.4" customHeight="1" x14ac:dyDescent="0.3">
      <c r="A650" s="2" t="s">
        <v>133</v>
      </c>
      <c r="B650" s="4" t="s">
        <v>373</v>
      </c>
      <c r="C650" s="5" t="s">
        <v>38</v>
      </c>
      <c r="D650" t="s">
        <v>528</v>
      </c>
      <c r="G650">
        <v>3</v>
      </c>
      <c r="H650" t="s">
        <v>514</v>
      </c>
      <c r="K650">
        <v>3.53690873186815</v>
      </c>
      <c r="L650" t="s">
        <v>458</v>
      </c>
      <c r="M650" t="s">
        <v>535</v>
      </c>
      <c r="Q650" t="s">
        <v>468</v>
      </c>
      <c r="R650" t="s">
        <v>4</v>
      </c>
      <c r="S650" t="s">
        <v>39</v>
      </c>
    </row>
    <row r="651" spans="1:19" ht="14.4" customHeight="1" x14ac:dyDescent="0.3">
      <c r="A651" s="2" t="s">
        <v>133</v>
      </c>
      <c r="B651" s="4" t="s">
        <v>373</v>
      </c>
      <c r="C651" s="5" t="s">
        <v>38</v>
      </c>
      <c r="D651" t="s">
        <v>528</v>
      </c>
      <c r="G651">
        <v>4</v>
      </c>
      <c r="H651" t="s">
        <v>514</v>
      </c>
      <c r="K651">
        <v>3.6895421576104699</v>
      </c>
      <c r="L651" t="s">
        <v>458</v>
      </c>
      <c r="M651" t="s">
        <v>535</v>
      </c>
      <c r="Q651" t="s">
        <v>468</v>
      </c>
      <c r="R651" t="s">
        <v>4</v>
      </c>
      <c r="S651" t="s">
        <v>39</v>
      </c>
    </row>
    <row r="652" spans="1:19" ht="14.4" customHeight="1" x14ac:dyDescent="0.3">
      <c r="A652" s="2" t="s">
        <v>133</v>
      </c>
      <c r="B652" s="4" t="s">
        <v>373</v>
      </c>
      <c r="C652" s="5" t="s">
        <v>38</v>
      </c>
      <c r="D652" t="s">
        <v>528</v>
      </c>
      <c r="G652">
        <v>8</v>
      </c>
      <c r="H652" t="s">
        <v>514</v>
      </c>
      <c r="K652">
        <v>2.45938028936704</v>
      </c>
      <c r="L652" t="s">
        <v>458</v>
      </c>
      <c r="M652" t="s">
        <v>535</v>
      </c>
      <c r="Q652" t="s">
        <v>468</v>
      </c>
      <c r="R652" t="s">
        <v>4</v>
      </c>
      <c r="S652" t="s">
        <v>39</v>
      </c>
    </row>
    <row r="653" spans="1:19" ht="14.4" customHeight="1" x14ac:dyDescent="0.3">
      <c r="A653" s="2" t="s">
        <v>133</v>
      </c>
      <c r="B653" s="4" t="s">
        <v>373</v>
      </c>
      <c r="C653" s="5" t="s">
        <v>38</v>
      </c>
      <c r="D653" t="s">
        <v>528</v>
      </c>
      <c r="G653">
        <v>12</v>
      </c>
      <c r="H653" t="s">
        <v>514</v>
      </c>
      <c r="K653">
        <v>1.8297228896884199</v>
      </c>
      <c r="L653" t="s">
        <v>458</v>
      </c>
      <c r="M653" t="s">
        <v>535</v>
      </c>
      <c r="Q653" t="s">
        <v>468</v>
      </c>
      <c r="R653" t="s">
        <v>4</v>
      </c>
      <c r="S653" t="s">
        <v>39</v>
      </c>
    </row>
    <row r="654" spans="1:19" ht="14.4" customHeight="1" x14ac:dyDescent="0.3">
      <c r="A654" s="2" t="s">
        <v>133</v>
      </c>
      <c r="B654" s="4" t="s">
        <v>373</v>
      </c>
      <c r="C654" s="5" t="s">
        <v>38</v>
      </c>
      <c r="D654" t="s">
        <v>528</v>
      </c>
      <c r="G654">
        <v>18</v>
      </c>
      <c r="H654" t="s">
        <v>514</v>
      </c>
      <c r="K654">
        <v>1.0387565169277999</v>
      </c>
      <c r="L654" t="s">
        <v>458</v>
      </c>
      <c r="M654" t="s">
        <v>535</v>
      </c>
      <c r="Q654" t="s">
        <v>468</v>
      </c>
      <c r="R654" t="s">
        <v>4</v>
      </c>
      <c r="S654" t="s">
        <v>39</v>
      </c>
    </row>
    <row r="655" spans="1:19" ht="14.4" customHeight="1" x14ac:dyDescent="0.3">
      <c r="A655" s="2" t="s">
        <v>133</v>
      </c>
      <c r="B655" s="4" t="s">
        <v>373</v>
      </c>
      <c r="C655" s="5" t="s">
        <v>38</v>
      </c>
      <c r="D655" t="s">
        <v>528</v>
      </c>
      <c r="G655">
        <v>24</v>
      </c>
      <c r="H655" t="s">
        <v>514</v>
      </c>
      <c r="K655">
        <v>0.663771113653013</v>
      </c>
      <c r="L655" t="s">
        <v>458</v>
      </c>
      <c r="M655" t="s">
        <v>535</v>
      </c>
      <c r="Q655" t="s">
        <v>468</v>
      </c>
      <c r="R655" t="s">
        <v>4</v>
      </c>
      <c r="S655" t="s">
        <v>39</v>
      </c>
    </row>
    <row r="656" spans="1:19" ht="14.4" customHeight="1" x14ac:dyDescent="0.3">
      <c r="A656" s="2" t="s">
        <v>133</v>
      </c>
      <c r="B656" s="4" t="s">
        <v>373</v>
      </c>
      <c r="C656" s="5" t="s">
        <v>38</v>
      </c>
      <c r="D656" t="s">
        <v>528</v>
      </c>
      <c r="G656">
        <v>48</v>
      </c>
      <c r="H656" t="s">
        <v>514</v>
      </c>
      <c r="K656">
        <v>0.12562687849548401</v>
      </c>
      <c r="L656" t="s">
        <v>458</v>
      </c>
      <c r="M656" t="s">
        <v>535</v>
      </c>
      <c r="Q656" t="s">
        <v>468</v>
      </c>
      <c r="R656" t="s">
        <v>4</v>
      </c>
      <c r="S656" t="s">
        <v>39</v>
      </c>
    </row>
    <row r="657" spans="1:19" ht="14.4" customHeight="1" x14ac:dyDescent="0.3">
      <c r="A657" s="2" t="s">
        <v>133</v>
      </c>
      <c r="B657" s="4" t="s">
        <v>373</v>
      </c>
      <c r="C657" s="5" t="s">
        <v>38</v>
      </c>
      <c r="D657" t="s">
        <v>528</v>
      </c>
      <c r="G657">
        <v>72</v>
      </c>
      <c r="H657" t="s">
        <v>514</v>
      </c>
      <c r="K657">
        <v>3.6277138871342603E-2</v>
      </c>
      <c r="L657" t="s">
        <v>458</v>
      </c>
      <c r="M657" t="s">
        <v>535</v>
      </c>
      <c r="Q657" t="s">
        <v>468</v>
      </c>
      <c r="R657" t="s">
        <v>4</v>
      </c>
      <c r="S657" t="s">
        <v>39</v>
      </c>
    </row>
    <row r="658" spans="1:19" ht="14.4" customHeight="1" x14ac:dyDescent="0.3">
      <c r="A658" s="2" t="s">
        <v>134</v>
      </c>
      <c r="B658" s="4" t="s">
        <v>374</v>
      </c>
      <c r="C658" s="5" t="s">
        <v>38</v>
      </c>
      <c r="D658" t="s">
        <v>528</v>
      </c>
      <c r="G658">
        <v>0.25</v>
      </c>
      <c r="H658" t="s">
        <v>514</v>
      </c>
      <c r="K658">
        <v>1.91676472082697E-3</v>
      </c>
      <c r="L658" t="s">
        <v>458</v>
      </c>
      <c r="M658" t="s">
        <v>535</v>
      </c>
      <c r="Q658" t="s">
        <v>468</v>
      </c>
      <c r="R658" t="s">
        <v>4</v>
      </c>
      <c r="S658" t="s">
        <v>39</v>
      </c>
    </row>
    <row r="659" spans="1:19" ht="14.4" customHeight="1" x14ac:dyDescent="0.3">
      <c r="A659" s="2" t="s">
        <v>134</v>
      </c>
      <c r="B659" s="4" t="s">
        <v>374</v>
      </c>
      <c r="C659" s="5" t="s">
        <v>38</v>
      </c>
      <c r="D659" t="s">
        <v>528</v>
      </c>
      <c r="G659">
        <v>0.5</v>
      </c>
      <c r="H659" t="s">
        <v>514</v>
      </c>
      <c r="K659">
        <v>0.45381697221001499</v>
      </c>
      <c r="L659" t="s">
        <v>458</v>
      </c>
      <c r="M659" t="s">
        <v>535</v>
      </c>
      <c r="Q659" t="s">
        <v>468</v>
      </c>
      <c r="R659" t="s">
        <v>4</v>
      </c>
      <c r="S659" t="s">
        <v>39</v>
      </c>
    </row>
    <row r="660" spans="1:19" ht="14.4" customHeight="1" x14ac:dyDescent="0.3">
      <c r="A660" s="2" t="s">
        <v>134</v>
      </c>
      <c r="B660" s="4" t="s">
        <v>374</v>
      </c>
      <c r="C660" s="5" t="s">
        <v>38</v>
      </c>
      <c r="D660" t="s">
        <v>528</v>
      </c>
      <c r="G660">
        <v>1</v>
      </c>
      <c r="H660" t="s">
        <v>514</v>
      </c>
      <c r="K660">
        <v>2.9869596631827902</v>
      </c>
      <c r="L660" t="s">
        <v>458</v>
      </c>
      <c r="M660" t="s">
        <v>535</v>
      </c>
      <c r="Q660" t="s">
        <v>468</v>
      </c>
      <c r="R660" t="s">
        <v>4</v>
      </c>
      <c r="S660" t="s">
        <v>39</v>
      </c>
    </row>
    <row r="661" spans="1:19" ht="14.4" customHeight="1" x14ac:dyDescent="0.3">
      <c r="A661" s="2" t="s">
        <v>134</v>
      </c>
      <c r="B661" s="4" t="s">
        <v>374</v>
      </c>
      <c r="C661" s="5" t="s">
        <v>38</v>
      </c>
      <c r="D661" t="s">
        <v>528</v>
      </c>
      <c r="G661">
        <v>2</v>
      </c>
      <c r="H661" t="s">
        <v>514</v>
      </c>
      <c r="K661">
        <v>4.8350800614620297</v>
      </c>
      <c r="L661" t="s">
        <v>458</v>
      </c>
      <c r="M661" t="s">
        <v>535</v>
      </c>
      <c r="Q661" t="s">
        <v>468</v>
      </c>
      <c r="R661" t="s">
        <v>4</v>
      </c>
      <c r="S661" t="s">
        <v>39</v>
      </c>
    </row>
    <row r="662" spans="1:19" ht="14.4" customHeight="1" x14ac:dyDescent="0.3">
      <c r="A662" s="2" t="s">
        <v>134</v>
      </c>
      <c r="B662" s="4" t="s">
        <v>374</v>
      </c>
      <c r="C662" s="5" t="s">
        <v>38</v>
      </c>
      <c r="D662" t="s">
        <v>528</v>
      </c>
      <c r="G662">
        <v>3</v>
      </c>
      <c r="H662" t="s">
        <v>514</v>
      </c>
      <c r="K662">
        <v>4.7140533737559798</v>
      </c>
      <c r="L662" t="s">
        <v>458</v>
      </c>
      <c r="M662" t="s">
        <v>535</v>
      </c>
      <c r="Q662" t="s">
        <v>468</v>
      </c>
      <c r="R662" t="s">
        <v>4</v>
      </c>
      <c r="S662" t="s">
        <v>39</v>
      </c>
    </row>
    <row r="663" spans="1:19" ht="14.4" customHeight="1" x14ac:dyDescent="0.3">
      <c r="A663" s="2" t="s">
        <v>134</v>
      </c>
      <c r="B663" s="4" t="s">
        <v>374</v>
      </c>
      <c r="C663" s="5" t="s">
        <v>38</v>
      </c>
      <c r="D663" t="s">
        <v>528</v>
      </c>
      <c r="G663">
        <v>4</v>
      </c>
      <c r="H663" t="s">
        <v>514</v>
      </c>
      <c r="K663">
        <v>4.6743881318606997</v>
      </c>
      <c r="L663" t="s">
        <v>458</v>
      </c>
      <c r="M663" t="s">
        <v>535</v>
      </c>
      <c r="Q663" t="s">
        <v>468</v>
      </c>
      <c r="R663" t="s">
        <v>4</v>
      </c>
      <c r="S663" t="s">
        <v>39</v>
      </c>
    </row>
    <row r="664" spans="1:19" ht="14.4" customHeight="1" x14ac:dyDescent="0.3">
      <c r="A664" s="2" t="s">
        <v>134</v>
      </c>
      <c r="B664" s="4" t="s">
        <v>374</v>
      </c>
      <c r="C664" s="5" t="s">
        <v>38</v>
      </c>
      <c r="D664" t="s">
        <v>528</v>
      </c>
      <c r="G664">
        <v>8</v>
      </c>
      <c r="H664" t="s">
        <v>514</v>
      </c>
      <c r="K664">
        <v>3.0896426878650201</v>
      </c>
      <c r="L664" t="s">
        <v>458</v>
      </c>
      <c r="M664" t="s">
        <v>535</v>
      </c>
      <c r="Q664" t="s">
        <v>468</v>
      </c>
      <c r="R664" t="s">
        <v>4</v>
      </c>
      <c r="S664" t="s">
        <v>39</v>
      </c>
    </row>
    <row r="665" spans="1:19" ht="14.4" customHeight="1" x14ac:dyDescent="0.3">
      <c r="A665" s="2" t="s">
        <v>134</v>
      </c>
      <c r="B665" s="4" t="s">
        <v>374</v>
      </c>
      <c r="C665" s="5" t="s">
        <v>38</v>
      </c>
      <c r="D665" t="s">
        <v>528</v>
      </c>
      <c r="G665">
        <v>12</v>
      </c>
      <c r="H665" t="s">
        <v>514</v>
      </c>
      <c r="K665">
        <v>2.1666053764322202</v>
      </c>
      <c r="L665" t="s">
        <v>458</v>
      </c>
      <c r="M665" t="s">
        <v>535</v>
      </c>
      <c r="Q665" t="s">
        <v>468</v>
      </c>
      <c r="R665" t="s">
        <v>4</v>
      </c>
      <c r="S665" t="s">
        <v>39</v>
      </c>
    </row>
    <row r="666" spans="1:19" ht="14.4" customHeight="1" x14ac:dyDescent="0.3">
      <c r="A666" s="2" t="s">
        <v>134</v>
      </c>
      <c r="B666" s="4" t="s">
        <v>374</v>
      </c>
      <c r="C666" s="5" t="s">
        <v>38</v>
      </c>
      <c r="D666" t="s">
        <v>528</v>
      </c>
      <c r="G666">
        <v>18</v>
      </c>
      <c r="H666" t="s">
        <v>514</v>
      </c>
      <c r="K666">
        <v>1.4200171122477701</v>
      </c>
      <c r="L666" t="s">
        <v>458</v>
      </c>
      <c r="M666" t="s">
        <v>535</v>
      </c>
      <c r="Q666" t="s">
        <v>468</v>
      </c>
      <c r="R666" t="s">
        <v>4</v>
      </c>
      <c r="S666" t="s">
        <v>39</v>
      </c>
    </row>
    <row r="667" spans="1:19" ht="14.4" customHeight="1" x14ac:dyDescent="0.3">
      <c r="A667" s="2" t="s">
        <v>134</v>
      </c>
      <c r="B667" s="4" t="s">
        <v>374</v>
      </c>
      <c r="C667" s="5" t="s">
        <v>38</v>
      </c>
      <c r="D667" t="s">
        <v>528</v>
      </c>
      <c r="G667">
        <v>24</v>
      </c>
      <c r="H667" t="s">
        <v>514</v>
      </c>
      <c r="K667">
        <v>0.98740520640504803</v>
      </c>
      <c r="L667" t="s">
        <v>458</v>
      </c>
      <c r="M667" t="s">
        <v>535</v>
      </c>
      <c r="Q667" t="s">
        <v>468</v>
      </c>
      <c r="R667" t="s">
        <v>4</v>
      </c>
      <c r="S667" t="s">
        <v>39</v>
      </c>
    </row>
    <row r="668" spans="1:19" ht="14.4" customHeight="1" x14ac:dyDescent="0.3">
      <c r="A668" s="2" t="s">
        <v>134</v>
      </c>
      <c r="B668" s="4" t="s">
        <v>374</v>
      </c>
      <c r="C668" s="5" t="s">
        <v>38</v>
      </c>
      <c r="D668" t="s">
        <v>528</v>
      </c>
      <c r="G668">
        <v>48</v>
      </c>
      <c r="H668" t="s">
        <v>514</v>
      </c>
      <c r="K668">
        <v>0.25546973031838099</v>
      </c>
      <c r="L668" t="s">
        <v>458</v>
      </c>
      <c r="M668" t="s">
        <v>535</v>
      </c>
      <c r="Q668" t="s">
        <v>468</v>
      </c>
      <c r="R668" t="s">
        <v>4</v>
      </c>
      <c r="S668" t="s">
        <v>39</v>
      </c>
    </row>
    <row r="669" spans="1:19" ht="14.4" customHeight="1" x14ac:dyDescent="0.3">
      <c r="A669" s="2" t="s">
        <v>134</v>
      </c>
      <c r="B669" s="4" t="s">
        <v>374</v>
      </c>
      <c r="C669" s="5" t="s">
        <v>38</v>
      </c>
      <c r="D669" t="s">
        <v>528</v>
      </c>
      <c r="G669">
        <v>72</v>
      </c>
      <c r="H669" t="s">
        <v>514</v>
      </c>
      <c r="K669">
        <v>7.5665704945648796E-2</v>
      </c>
      <c r="L669" t="s">
        <v>458</v>
      </c>
      <c r="M669" t="s">
        <v>535</v>
      </c>
      <c r="Q669" t="s">
        <v>468</v>
      </c>
      <c r="R669" t="s">
        <v>4</v>
      </c>
      <c r="S669" t="s">
        <v>39</v>
      </c>
    </row>
    <row r="670" spans="1:19" ht="14.4" customHeight="1" x14ac:dyDescent="0.3">
      <c r="A670" s="2" t="s">
        <v>135</v>
      </c>
      <c r="B670" s="4" t="s">
        <v>375</v>
      </c>
      <c r="C670" s="5" t="s">
        <v>38</v>
      </c>
      <c r="D670" t="s">
        <v>528</v>
      </c>
      <c r="G670">
        <v>0.25</v>
      </c>
      <c r="H670" t="s">
        <v>514</v>
      </c>
      <c r="K670">
        <v>2.2505754543797902E-3</v>
      </c>
      <c r="L670" t="s">
        <v>458</v>
      </c>
      <c r="M670" t="s">
        <v>535</v>
      </c>
      <c r="Q670" t="s">
        <v>468</v>
      </c>
      <c r="R670" t="s">
        <v>4</v>
      </c>
      <c r="S670" t="s">
        <v>39</v>
      </c>
    </row>
    <row r="671" spans="1:19" ht="14.4" customHeight="1" x14ac:dyDescent="0.3">
      <c r="A671" s="2" t="s">
        <v>135</v>
      </c>
      <c r="B671" s="4" t="s">
        <v>375</v>
      </c>
      <c r="C671" s="5" t="s">
        <v>38</v>
      </c>
      <c r="D671" t="s">
        <v>528</v>
      </c>
      <c r="G671">
        <v>0.5</v>
      </c>
      <c r="H671" t="s">
        <v>514</v>
      </c>
      <c r="K671">
        <v>0.71019260657676697</v>
      </c>
      <c r="L671" t="s">
        <v>458</v>
      </c>
      <c r="M671" t="s">
        <v>535</v>
      </c>
      <c r="Q671" t="s">
        <v>468</v>
      </c>
      <c r="R671" t="s">
        <v>4</v>
      </c>
      <c r="S671" t="s">
        <v>39</v>
      </c>
    </row>
    <row r="672" spans="1:19" ht="14.4" customHeight="1" x14ac:dyDescent="0.3">
      <c r="A672" s="2" t="s">
        <v>135</v>
      </c>
      <c r="B672" s="4" t="s">
        <v>375</v>
      </c>
      <c r="C672" s="5" t="s">
        <v>38</v>
      </c>
      <c r="D672" t="s">
        <v>528</v>
      </c>
      <c r="G672">
        <v>1</v>
      </c>
      <c r="H672" t="s">
        <v>514</v>
      </c>
      <c r="K672">
        <v>3.1423004414044202</v>
      </c>
      <c r="L672" t="s">
        <v>458</v>
      </c>
      <c r="M672" t="s">
        <v>535</v>
      </c>
      <c r="Q672" t="s">
        <v>468</v>
      </c>
      <c r="R672" t="s">
        <v>4</v>
      </c>
      <c r="S672" t="s">
        <v>39</v>
      </c>
    </row>
    <row r="673" spans="1:19" ht="14.4" customHeight="1" x14ac:dyDescent="0.3">
      <c r="A673" s="2" t="s">
        <v>135</v>
      </c>
      <c r="B673" s="4" t="s">
        <v>375</v>
      </c>
      <c r="C673" s="5" t="s">
        <v>38</v>
      </c>
      <c r="D673" t="s">
        <v>528</v>
      </c>
      <c r="G673">
        <v>1.5</v>
      </c>
      <c r="H673" t="s">
        <v>514</v>
      </c>
      <c r="K673">
        <v>3.91435806799397</v>
      </c>
      <c r="L673" t="s">
        <v>458</v>
      </c>
      <c r="M673" t="s">
        <v>535</v>
      </c>
      <c r="Q673" t="s">
        <v>468</v>
      </c>
      <c r="R673" t="s">
        <v>4</v>
      </c>
      <c r="S673" t="s">
        <v>39</v>
      </c>
    </row>
    <row r="674" spans="1:19" ht="14.4" customHeight="1" x14ac:dyDescent="0.3">
      <c r="A674" s="2" t="s">
        <v>135</v>
      </c>
      <c r="B674" s="4" t="s">
        <v>375</v>
      </c>
      <c r="C674" s="5" t="s">
        <v>38</v>
      </c>
      <c r="D674" t="s">
        <v>528</v>
      </c>
      <c r="G674">
        <v>2</v>
      </c>
      <c r="H674" t="s">
        <v>514</v>
      </c>
      <c r="K674">
        <v>4.7540552011829202</v>
      </c>
      <c r="L674" t="s">
        <v>458</v>
      </c>
      <c r="M674" t="s">
        <v>535</v>
      </c>
      <c r="Q674" t="s">
        <v>468</v>
      </c>
      <c r="R674" t="s">
        <v>4</v>
      </c>
      <c r="S674" t="s">
        <v>39</v>
      </c>
    </row>
    <row r="675" spans="1:19" ht="14.4" customHeight="1" x14ac:dyDescent="0.3">
      <c r="A675" s="2" t="s">
        <v>135</v>
      </c>
      <c r="B675" s="4" t="s">
        <v>375</v>
      </c>
      <c r="C675" s="5" t="s">
        <v>38</v>
      </c>
      <c r="D675" t="s">
        <v>528</v>
      </c>
      <c r="G675">
        <v>3</v>
      </c>
      <c r="H675" t="s">
        <v>514</v>
      </c>
      <c r="K675">
        <v>5.30604149763544</v>
      </c>
      <c r="L675" t="s">
        <v>458</v>
      </c>
      <c r="M675" t="s">
        <v>535</v>
      </c>
      <c r="Q675" t="s">
        <v>468</v>
      </c>
      <c r="R675" t="s">
        <v>4</v>
      </c>
      <c r="S675" t="s">
        <v>39</v>
      </c>
    </row>
    <row r="676" spans="1:19" ht="14.4" customHeight="1" x14ac:dyDescent="0.3">
      <c r="A676" s="2" t="s">
        <v>135</v>
      </c>
      <c r="B676" s="4" t="s">
        <v>375</v>
      </c>
      <c r="C676" s="5" t="s">
        <v>38</v>
      </c>
      <c r="D676" t="s">
        <v>528</v>
      </c>
      <c r="G676">
        <v>4</v>
      </c>
      <c r="H676" t="s">
        <v>514</v>
      </c>
      <c r="K676">
        <v>5.4422666474958001</v>
      </c>
      <c r="L676" t="s">
        <v>458</v>
      </c>
      <c r="M676" t="s">
        <v>535</v>
      </c>
      <c r="Q676" t="s">
        <v>468</v>
      </c>
      <c r="R676" t="s">
        <v>4</v>
      </c>
      <c r="S676" t="s">
        <v>39</v>
      </c>
    </row>
    <row r="677" spans="1:19" ht="14.4" customHeight="1" x14ac:dyDescent="0.3">
      <c r="A677" s="2" t="s">
        <v>135</v>
      </c>
      <c r="B677" s="4" t="s">
        <v>375</v>
      </c>
      <c r="C677" s="5" t="s">
        <v>38</v>
      </c>
      <c r="D677" t="s">
        <v>528</v>
      </c>
      <c r="G677">
        <v>8</v>
      </c>
      <c r="H677" t="s">
        <v>514</v>
      </c>
      <c r="K677">
        <v>4.0489223646147696</v>
      </c>
      <c r="L677" t="s">
        <v>458</v>
      </c>
      <c r="M677" t="s">
        <v>535</v>
      </c>
      <c r="Q677" t="s">
        <v>468</v>
      </c>
      <c r="R677" t="s">
        <v>4</v>
      </c>
      <c r="S677" t="s">
        <v>39</v>
      </c>
    </row>
    <row r="678" spans="1:19" ht="14.4" customHeight="1" x14ac:dyDescent="0.3">
      <c r="A678" s="2" t="s">
        <v>135</v>
      </c>
      <c r="B678" s="4" t="s">
        <v>375</v>
      </c>
      <c r="C678" s="5" t="s">
        <v>38</v>
      </c>
      <c r="D678" t="s">
        <v>528</v>
      </c>
      <c r="G678">
        <v>12</v>
      </c>
      <c r="H678" t="s">
        <v>514</v>
      </c>
      <c r="K678">
        <v>2.76822785810988</v>
      </c>
      <c r="L678" t="s">
        <v>458</v>
      </c>
      <c r="M678" t="s">
        <v>535</v>
      </c>
      <c r="Q678" t="s">
        <v>468</v>
      </c>
      <c r="R678" t="s">
        <v>4</v>
      </c>
      <c r="S678" t="s">
        <v>39</v>
      </c>
    </row>
    <row r="679" spans="1:19" ht="14.4" customHeight="1" x14ac:dyDescent="0.3">
      <c r="A679" s="2" t="s">
        <v>135</v>
      </c>
      <c r="B679" s="4" t="s">
        <v>375</v>
      </c>
      <c r="C679" s="5" t="s">
        <v>38</v>
      </c>
      <c r="D679" t="s">
        <v>528</v>
      </c>
      <c r="G679">
        <v>18</v>
      </c>
      <c r="H679" t="s">
        <v>514</v>
      </c>
      <c r="K679">
        <v>1.87669845046416</v>
      </c>
      <c r="L679" t="s">
        <v>458</v>
      </c>
      <c r="M679" t="s">
        <v>535</v>
      </c>
      <c r="Q679" t="s">
        <v>468</v>
      </c>
      <c r="R679" t="s">
        <v>4</v>
      </c>
      <c r="S679" t="s">
        <v>39</v>
      </c>
    </row>
    <row r="680" spans="1:19" ht="14.4" customHeight="1" x14ac:dyDescent="0.3">
      <c r="A680" s="2" t="s">
        <v>135</v>
      </c>
      <c r="B680" s="4" t="s">
        <v>375</v>
      </c>
      <c r="C680" s="5" t="s">
        <v>38</v>
      </c>
      <c r="D680" t="s">
        <v>528</v>
      </c>
      <c r="G680">
        <v>24</v>
      </c>
      <c r="H680" t="s">
        <v>514</v>
      </c>
      <c r="K680">
        <v>1.1992206067113</v>
      </c>
      <c r="L680" t="s">
        <v>458</v>
      </c>
      <c r="M680" t="s">
        <v>535</v>
      </c>
      <c r="Q680" t="s">
        <v>468</v>
      </c>
      <c r="R680" t="s">
        <v>4</v>
      </c>
      <c r="S680" t="s">
        <v>39</v>
      </c>
    </row>
    <row r="681" spans="1:19" ht="14.4" customHeight="1" x14ac:dyDescent="0.3">
      <c r="A681" s="2" t="s">
        <v>136</v>
      </c>
      <c r="B681" s="4" t="s">
        <v>376</v>
      </c>
      <c r="C681" s="5" t="s">
        <v>38</v>
      </c>
      <c r="D681" t="s">
        <v>528</v>
      </c>
      <c r="G681">
        <v>0.25</v>
      </c>
      <c r="H681" t="s">
        <v>514</v>
      </c>
      <c r="K681">
        <v>3.46297647510245E-3</v>
      </c>
      <c r="L681" t="s">
        <v>458</v>
      </c>
      <c r="M681" t="s">
        <v>535</v>
      </c>
      <c r="Q681" t="s">
        <v>468</v>
      </c>
      <c r="R681" t="s">
        <v>4</v>
      </c>
      <c r="S681" t="s">
        <v>39</v>
      </c>
    </row>
    <row r="682" spans="1:19" ht="14.4" customHeight="1" x14ac:dyDescent="0.3">
      <c r="A682" s="2" t="s">
        <v>136</v>
      </c>
      <c r="B682" s="4" t="s">
        <v>376</v>
      </c>
      <c r="C682" s="5" t="s">
        <v>38</v>
      </c>
      <c r="D682" t="s">
        <v>528</v>
      </c>
      <c r="G682">
        <v>0.5</v>
      </c>
      <c r="H682" t="s">
        <v>514</v>
      </c>
      <c r="K682">
        <v>1.0042338643617099</v>
      </c>
      <c r="L682" t="s">
        <v>458</v>
      </c>
      <c r="M682" t="s">
        <v>535</v>
      </c>
      <c r="Q682" t="s">
        <v>468</v>
      </c>
      <c r="R682" t="s">
        <v>4</v>
      </c>
      <c r="S682" t="s">
        <v>39</v>
      </c>
    </row>
    <row r="683" spans="1:19" ht="14.4" customHeight="1" x14ac:dyDescent="0.3">
      <c r="A683" s="2" t="s">
        <v>136</v>
      </c>
      <c r="B683" s="4" t="s">
        <v>376</v>
      </c>
      <c r="C683" s="5" t="s">
        <v>38</v>
      </c>
      <c r="D683" t="s">
        <v>528</v>
      </c>
      <c r="G683">
        <v>1</v>
      </c>
      <c r="H683" t="s">
        <v>514</v>
      </c>
      <c r="K683">
        <v>4.6350566433809899</v>
      </c>
      <c r="L683" t="s">
        <v>458</v>
      </c>
      <c r="M683" t="s">
        <v>535</v>
      </c>
      <c r="Q683" t="s">
        <v>468</v>
      </c>
      <c r="R683" t="s">
        <v>4</v>
      </c>
      <c r="S683" t="s">
        <v>39</v>
      </c>
    </row>
    <row r="684" spans="1:19" ht="14.4" customHeight="1" x14ac:dyDescent="0.3">
      <c r="A684" s="2" t="s">
        <v>136</v>
      </c>
      <c r="B684" s="4" t="s">
        <v>376</v>
      </c>
      <c r="C684" s="5" t="s">
        <v>38</v>
      </c>
      <c r="D684" t="s">
        <v>528</v>
      </c>
      <c r="G684">
        <v>1.5</v>
      </c>
      <c r="H684" t="s">
        <v>514</v>
      </c>
      <c r="K684">
        <v>6.3362873229475003</v>
      </c>
      <c r="L684" t="s">
        <v>458</v>
      </c>
      <c r="M684" t="s">
        <v>535</v>
      </c>
      <c r="Q684" t="s">
        <v>468</v>
      </c>
      <c r="R684" t="s">
        <v>4</v>
      </c>
      <c r="S684" t="s">
        <v>39</v>
      </c>
    </row>
    <row r="685" spans="1:19" ht="14.4" customHeight="1" x14ac:dyDescent="0.3">
      <c r="A685" s="2" t="s">
        <v>136</v>
      </c>
      <c r="B685" s="4" t="s">
        <v>376</v>
      </c>
      <c r="C685" s="5" t="s">
        <v>38</v>
      </c>
      <c r="D685" t="s">
        <v>528</v>
      </c>
      <c r="G685">
        <v>2</v>
      </c>
      <c r="H685" t="s">
        <v>514</v>
      </c>
      <c r="K685">
        <v>7.8266872796792004</v>
      </c>
      <c r="L685" t="s">
        <v>458</v>
      </c>
      <c r="M685" t="s">
        <v>535</v>
      </c>
      <c r="Q685" t="s">
        <v>468</v>
      </c>
      <c r="R685" t="s">
        <v>4</v>
      </c>
      <c r="S685" t="s">
        <v>39</v>
      </c>
    </row>
    <row r="686" spans="1:19" ht="14.4" customHeight="1" x14ac:dyDescent="0.3">
      <c r="A686" s="2" t="s">
        <v>136</v>
      </c>
      <c r="B686" s="4" t="s">
        <v>376</v>
      </c>
      <c r="C686" s="5" t="s">
        <v>38</v>
      </c>
      <c r="D686" t="s">
        <v>528</v>
      </c>
      <c r="G686">
        <v>3</v>
      </c>
      <c r="H686" t="s">
        <v>514</v>
      </c>
      <c r="K686">
        <v>8.5890465032828907</v>
      </c>
      <c r="L686" t="s">
        <v>458</v>
      </c>
      <c r="M686" t="s">
        <v>535</v>
      </c>
      <c r="Q686" t="s">
        <v>468</v>
      </c>
      <c r="R686" t="s">
        <v>4</v>
      </c>
      <c r="S686" t="s">
        <v>39</v>
      </c>
    </row>
    <row r="687" spans="1:19" ht="14.4" customHeight="1" x14ac:dyDescent="0.3">
      <c r="A687" s="2" t="s">
        <v>136</v>
      </c>
      <c r="B687" s="4" t="s">
        <v>376</v>
      </c>
      <c r="C687" s="5" t="s">
        <v>38</v>
      </c>
      <c r="D687" t="s">
        <v>528</v>
      </c>
      <c r="G687">
        <v>4</v>
      </c>
      <c r="H687" t="s">
        <v>514</v>
      </c>
      <c r="K687">
        <v>9.5056463214822102</v>
      </c>
      <c r="L687" t="s">
        <v>458</v>
      </c>
      <c r="M687" t="s">
        <v>535</v>
      </c>
      <c r="Q687" t="s">
        <v>468</v>
      </c>
      <c r="R687" t="s">
        <v>4</v>
      </c>
      <c r="S687" t="s">
        <v>39</v>
      </c>
    </row>
    <row r="688" spans="1:19" ht="14.4" customHeight="1" x14ac:dyDescent="0.3">
      <c r="A688" s="2" t="s">
        <v>136</v>
      </c>
      <c r="B688" s="4" t="s">
        <v>376</v>
      </c>
      <c r="C688" s="5" t="s">
        <v>38</v>
      </c>
      <c r="D688" t="s">
        <v>528</v>
      </c>
      <c r="G688">
        <v>8</v>
      </c>
      <c r="H688" t="s">
        <v>514</v>
      </c>
      <c r="K688">
        <v>5.3964740342357898</v>
      </c>
      <c r="L688" t="s">
        <v>458</v>
      </c>
      <c r="M688" t="s">
        <v>535</v>
      </c>
      <c r="Q688" t="s">
        <v>468</v>
      </c>
      <c r="R688" t="s">
        <v>4</v>
      </c>
      <c r="S688" t="s">
        <v>39</v>
      </c>
    </row>
    <row r="689" spans="1:19" ht="14.4" customHeight="1" x14ac:dyDescent="0.3">
      <c r="A689" s="2" t="s">
        <v>136</v>
      </c>
      <c r="B689" s="4" t="s">
        <v>376</v>
      </c>
      <c r="C689" s="5" t="s">
        <v>38</v>
      </c>
      <c r="D689" t="s">
        <v>528</v>
      </c>
      <c r="G689">
        <v>12</v>
      </c>
      <c r="H689" t="s">
        <v>514</v>
      </c>
      <c r="K689">
        <v>3.53690873186815</v>
      </c>
      <c r="L689" t="s">
        <v>458</v>
      </c>
      <c r="M689" t="s">
        <v>535</v>
      </c>
      <c r="Q689" t="s">
        <v>468</v>
      </c>
      <c r="R689" t="s">
        <v>4</v>
      </c>
      <c r="S689" t="s">
        <v>39</v>
      </c>
    </row>
    <row r="690" spans="1:19" ht="14.4" customHeight="1" x14ac:dyDescent="0.3">
      <c r="A690" s="2" t="s">
        <v>136</v>
      </c>
      <c r="B690" s="4" t="s">
        <v>376</v>
      </c>
      <c r="C690" s="5" t="s">
        <v>38</v>
      </c>
      <c r="D690" t="s">
        <v>528</v>
      </c>
      <c r="G690">
        <v>18</v>
      </c>
      <c r="H690" t="s">
        <v>514</v>
      </c>
      <c r="K690">
        <v>1.9910518451763199</v>
      </c>
      <c r="L690" t="s">
        <v>458</v>
      </c>
      <c r="M690" t="s">
        <v>535</v>
      </c>
      <c r="Q690" t="s">
        <v>468</v>
      </c>
      <c r="R690" t="s">
        <v>4</v>
      </c>
      <c r="S690" t="s">
        <v>39</v>
      </c>
    </row>
    <row r="691" spans="1:19" ht="14.4" customHeight="1" x14ac:dyDescent="0.3">
      <c r="A691" s="2" t="s">
        <v>136</v>
      </c>
      <c r="B691" s="4" t="s">
        <v>376</v>
      </c>
      <c r="C691" s="5" t="s">
        <v>38</v>
      </c>
      <c r="D691" t="s">
        <v>528</v>
      </c>
      <c r="G691">
        <v>24</v>
      </c>
      <c r="H691" t="s">
        <v>514</v>
      </c>
      <c r="K691">
        <v>1.39622087999283</v>
      </c>
      <c r="L691" t="s">
        <v>458</v>
      </c>
      <c r="M691" t="s">
        <v>535</v>
      </c>
      <c r="Q691" t="s">
        <v>468</v>
      </c>
      <c r="R691" t="s">
        <v>4</v>
      </c>
      <c r="S691" t="s">
        <v>39</v>
      </c>
    </row>
    <row r="692" spans="1:19" ht="14.4" customHeight="1" x14ac:dyDescent="0.3">
      <c r="A692" s="2" t="s">
        <v>136</v>
      </c>
      <c r="B692" s="4" t="s">
        <v>376</v>
      </c>
      <c r="C692" s="5" t="s">
        <v>38</v>
      </c>
      <c r="D692" t="s">
        <v>528</v>
      </c>
      <c r="G692">
        <v>48</v>
      </c>
      <c r="H692" t="s">
        <v>514</v>
      </c>
      <c r="K692">
        <v>0.234769784784119</v>
      </c>
      <c r="L692" t="s">
        <v>458</v>
      </c>
      <c r="M692" t="s">
        <v>535</v>
      </c>
      <c r="Q692" t="s">
        <v>468</v>
      </c>
      <c r="R692" t="s">
        <v>4</v>
      </c>
      <c r="S692" t="s">
        <v>39</v>
      </c>
    </row>
    <row r="693" spans="1:19" ht="14.4" customHeight="1" x14ac:dyDescent="0.3">
      <c r="A693" s="2" t="s">
        <v>136</v>
      </c>
      <c r="B693" s="4" t="s">
        <v>376</v>
      </c>
      <c r="C693" s="5" t="s">
        <v>38</v>
      </c>
      <c r="D693" t="s">
        <v>528</v>
      </c>
      <c r="G693">
        <v>72</v>
      </c>
      <c r="H693" t="s">
        <v>514</v>
      </c>
      <c r="K693">
        <v>6.3900548669111004E-2</v>
      </c>
      <c r="L693" t="s">
        <v>458</v>
      </c>
      <c r="M693" t="s">
        <v>535</v>
      </c>
      <c r="Q693" t="s">
        <v>468</v>
      </c>
      <c r="R693" t="s">
        <v>4</v>
      </c>
      <c r="S693" t="s">
        <v>39</v>
      </c>
    </row>
    <row r="694" spans="1:19" ht="14.4" customHeight="1" x14ac:dyDescent="0.3">
      <c r="A694" s="2" t="s">
        <v>137</v>
      </c>
      <c r="B694" s="4" t="s">
        <v>377</v>
      </c>
      <c r="C694" s="5" t="s">
        <v>38</v>
      </c>
      <c r="D694" t="s">
        <v>529</v>
      </c>
      <c r="E694">
        <v>0</v>
      </c>
      <c r="F694">
        <f>20*24</f>
        <v>480</v>
      </c>
      <c r="G694">
        <f>E694+F694</f>
        <v>480</v>
      </c>
      <c r="H694" t="s">
        <v>514</v>
      </c>
      <c r="K694">
        <v>0.41739291545886797</v>
      </c>
      <c r="L694" t="s">
        <v>458</v>
      </c>
      <c r="M694" t="s">
        <v>535</v>
      </c>
      <c r="Q694" t="s">
        <v>468</v>
      </c>
      <c r="R694" t="s">
        <v>4</v>
      </c>
      <c r="S694" t="s">
        <v>39</v>
      </c>
    </row>
    <row r="695" spans="1:19" ht="14.4" customHeight="1" x14ac:dyDescent="0.3">
      <c r="A695" s="2" t="s">
        <v>137</v>
      </c>
      <c r="B695" s="4" t="s">
        <v>377</v>
      </c>
      <c r="C695" s="5" t="s">
        <v>38</v>
      </c>
      <c r="D695" t="s">
        <v>529</v>
      </c>
      <c r="E695">
        <v>0.25</v>
      </c>
      <c r="F695">
        <f t="shared" ref="F695:F728" si="23">20*24</f>
        <v>480</v>
      </c>
      <c r="G695">
        <f t="shared" ref="G695:G704" si="24">E695+F695</f>
        <v>480.25</v>
      </c>
      <c r="H695" t="s">
        <v>514</v>
      </c>
      <c r="K695">
        <v>0.41739291545886797</v>
      </c>
      <c r="L695" t="s">
        <v>458</v>
      </c>
      <c r="M695" t="s">
        <v>535</v>
      </c>
      <c r="Q695" t="s">
        <v>468</v>
      </c>
      <c r="R695" t="s">
        <v>4</v>
      </c>
      <c r="S695" t="s">
        <v>39</v>
      </c>
    </row>
    <row r="696" spans="1:19" ht="14.4" customHeight="1" x14ac:dyDescent="0.3">
      <c r="A696" s="2" t="s">
        <v>137</v>
      </c>
      <c r="B696" s="4" t="s">
        <v>377</v>
      </c>
      <c r="C696" s="5" t="s">
        <v>38</v>
      </c>
      <c r="D696" t="s">
        <v>529</v>
      </c>
      <c r="E696">
        <v>0.5</v>
      </c>
      <c r="F696">
        <f t="shared" si="23"/>
        <v>480</v>
      </c>
      <c r="G696">
        <f t="shared" si="24"/>
        <v>480.5</v>
      </c>
      <c r="H696" t="s">
        <v>514</v>
      </c>
      <c r="K696">
        <v>0.65706761548248305</v>
      </c>
      <c r="L696" t="s">
        <v>458</v>
      </c>
      <c r="M696" t="s">
        <v>535</v>
      </c>
      <c r="Q696" t="s">
        <v>468</v>
      </c>
      <c r="R696" t="s">
        <v>4</v>
      </c>
      <c r="S696" t="s">
        <v>39</v>
      </c>
    </row>
    <row r="697" spans="1:19" ht="14.4" customHeight="1" x14ac:dyDescent="0.3">
      <c r="A697" s="2" t="s">
        <v>137</v>
      </c>
      <c r="B697" s="4" t="s">
        <v>377</v>
      </c>
      <c r="C697" s="5" t="s">
        <v>38</v>
      </c>
      <c r="D697" t="s">
        <v>529</v>
      </c>
      <c r="E697">
        <v>1</v>
      </c>
      <c r="F697">
        <f t="shared" si="23"/>
        <v>480</v>
      </c>
      <c r="G697">
        <f t="shared" si="24"/>
        <v>481</v>
      </c>
      <c r="H697" t="s">
        <v>514</v>
      </c>
      <c r="K697">
        <v>1.2426236719115</v>
      </c>
      <c r="L697" t="s">
        <v>458</v>
      </c>
      <c r="M697" t="s">
        <v>535</v>
      </c>
      <c r="Q697" t="s">
        <v>468</v>
      </c>
      <c r="R697" t="s">
        <v>4</v>
      </c>
      <c r="S697" t="s">
        <v>39</v>
      </c>
    </row>
    <row r="698" spans="1:19" ht="14.4" customHeight="1" x14ac:dyDescent="0.3">
      <c r="A698" s="2" t="s">
        <v>137</v>
      </c>
      <c r="B698" s="4" t="s">
        <v>377</v>
      </c>
      <c r="C698" s="5" t="s">
        <v>38</v>
      </c>
      <c r="D698" t="s">
        <v>529</v>
      </c>
      <c r="E698">
        <v>1.5</v>
      </c>
      <c r="F698">
        <f t="shared" si="23"/>
        <v>480</v>
      </c>
      <c r="G698">
        <f t="shared" si="24"/>
        <v>481.5</v>
      </c>
      <c r="H698" t="s">
        <v>514</v>
      </c>
      <c r="K698">
        <v>1.3167303784615001</v>
      </c>
      <c r="L698" t="s">
        <v>458</v>
      </c>
      <c r="M698" t="s">
        <v>535</v>
      </c>
      <c r="Q698" t="s">
        <v>468</v>
      </c>
      <c r="R698" t="s">
        <v>4</v>
      </c>
      <c r="S698" t="s">
        <v>39</v>
      </c>
    </row>
    <row r="699" spans="1:19" ht="14.4" customHeight="1" x14ac:dyDescent="0.3">
      <c r="A699" s="2" t="s">
        <v>137</v>
      </c>
      <c r="B699" s="4" t="s">
        <v>377</v>
      </c>
      <c r="C699" s="5" t="s">
        <v>38</v>
      </c>
      <c r="D699" t="s">
        <v>529</v>
      </c>
      <c r="E699">
        <v>2</v>
      </c>
      <c r="F699">
        <f t="shared" si="23"/>
        <v>480</v>
      </c>
      <c r="G699">
        <f t="shared" si="24"/>
        <v>482</v>
      </c>
      <c r="H699" t="s">
        <v>514</v>
      </c>
      <c r="K699">
        <v>1.6126761746240601</v>
      </c>
      <c r="L699" t="s">
        <v>458</v>
      </c>
      <c r="M699" t="s">
        <v>535</v>
      </c>
      <c r="Q699" t="s">
        <v>468</v>
      </c>
      <c r="R699" t="s">
        <v>4</v>
      </c>
      <c r="S699" t="s">
        <v>39</v>
      </c>
    </row>
    <row r="700" spans="1:19" ht="14.4" customHeight="1" x14ac:dyDescent="0.3">
      <c r="A700" s="2" t="s">
        <v>137</v>
      </c>
      <c r="B700" s="4" t="s">
        <v>377</v>
      </c>
      <c r="C700" s="5" t="s">
        <v>38</v>
      </c>
      <c r="D700" t="s">
        <v>529</v>
      </c>
      <c r="E700">
        <v>3</v>
      </c>
      <c r="F700">
        <f t="shared" si="23"/>
        <v>480</v>
      </c>
      <c r="G700">
        <f t="shared" si="24"/>
        <v>483</v>
      </c>
      <c r="H700" t="s">
        <v>514</v>
      </c>
      <c r="K700">
        <v>1.75059862416283</v>
      </c>
      <c r="L700" t="s">
        <v>458</v>
      </c>
      <c r="M700" t="s">
        <v>535</v>
      </c>
      <c r="Q700" t="s">
        <v>468</v>
      </c>
      <c r="R700" t="s">
        <v>4</v>
      </c>
      <c r="S700" t="s">
        <v>39</v>
      </c>
    </row>
    <row r="701" spans="1:19" ht="14.4" customHeight="1" x14ac:dyDescent="0.3">
      <c r="A701" s="2" t="s">
        <v>137</v>
      </c>
      <c r="B701" s="4" t="s">
        <v>377</v>
      </c>
      <c r="C701" s="5" t="s">
        <v>38</v>
      </c>
      <c r="D701" t="s">
        <v>529</v>
      </c>
      <c r="E701">
        <v>4</v>
      </c>
      <c r="F701">
        <f t="shared" si="23"/>
        <v>480</v>
      </c>
      <c r="G701">
        <f t="shared" si="24"/>
        <v>484</v>
      </c>
      <c r="H701" t="s">
        <v>514</v>
      </c>
      <c r="K701">
        <v>1.63620033780125</v>
      </c>
      <c r="L701" t="s">
        <v>458</v>
      </c>
      <c r="M701" t="s">
        <v>535</v>
      </c>
      <c r="Q701" t="s">
        <v>468</v>
      </c>
      <c r="R701" t="s">
        <v>4</v>
      </c>
      <c r="S701" t="s">
        <v>39</v>
      </c>
    </row>
    <row r="702" spans="1:19" ht="14.4" customHeight="1" x14ac:dyDescent="0.3">
      <c r="A702" s="2" t="s">
        <v>137</v>
      </c>
      <c r="B702" s="4" t="s">
        <v>377</v>
      </c>
      <c r="C702" s="5" t="s">
        <v>38</v>
      </c>
      <c r="D702" t="s">
        <v>529</v>
      </c>
      <c r="E702">
        <v>8</v>
      </c>
      <c r="F702">
        <f t="shared" si="23"/>
        <v>480</v>
      </c>
      <c r="G702">
        <f t="shared" si="24"/>
        <v>488</v>
      </c>
      <c r="H702" t="s">
        <v>514</v>
      </c>
      <c r="K702">
        <v>1.24863659393654</v>
      </c>
      <c r="L702" t="s">
        <v>458</v>
      </c>
      <c r="M702" t="s">
        <v>535</v>
      </c>
      <c r="Q702" t="s">
        <v>468</v>
      </c>
      <c r="R702" t="s">
        <v>4</v>
      </c>
      <c r="S702" t="s">
        <v>39</v>
      </c>
    </row>
    <row r="703" spans="1:19" ht="14.4" customHeight="1" x14ac:dyDescent="0.3">
      <c r="A703" s="2" t="s">
        <v>137</v>
      </c>
      <c r="B703" s="4" t="s">
        <v>377</v>
      </c>
      <c r="C703" s="5" t="s">
        <v>38</v>
      </c>
      <c r="D703" t="s">
        <v>529</v>
      </c>
      <c r="E703">
        <v>12</v>
      </c>
      <c r="F703">
        <f t="shared" si="23"/>
        <v>480</v>
      </c>
      <c r="G703">
        <f t="shared" si="24"/>
        <v>492</v>
      </c>
      <c r="H703" t="s">
        <v>514</v>
      </c>
      <c r="K703">
        <v>0.80864296644181599</v>
      </c>
      <c r="L703" t="s">
        <v>458</v>
      </c>
      <c r="M703" t="s">
        <v>535</v>
      </c>
      <c r="Q703" t="s">
        <v>468</v>
      </c>
      <c r="R703" t="s">
        <v>4</v>
      </c>
      <c r="S703" t="s">
        <v>39</v>
      </c>
    </row>
    <row r="704" spans="1:19" ht="14.4" customHeight="1" x14ac:dyDescent="0.3">
      <c r="A704" s="2" t="s">
        <v>137</v>
      </c>
      <c r="B704" s="4" t="s">
        <v>377</v>
      </c>
      <c r="C704" s="5" t="s">
        <v>38</v>
      </c>
      <c r="D704" t="s">
        <v>529</v>
      </c>
      <c r="E704">
        <v>24</v>
      </c>
      <c r="F704">
        <f t="shared" si="23"/>
        <v>480</v>
      </c>
      <c r="G704">
        <f t="shared" si="24"/>
        <v>504</v>
      </c>
      <c r="H704" t="s">
        <v>514</v>
      </c>
      <c r="K704">
        <v>0.41739291545886797</v>
      </c>
      <c r="L704" t="s">
        <v>458</v>
      </c>
      <c r="M704" t="s">
        <v>535</v>
      </c>
      <c r="Q704" t="s">
        <v>468</v>
      </c>
      <c r="R704" t="s">
        <v>4</v>
      </c>
      <c r="S704" t="s">
        <v>39</v>
      </c>
    </row>
    <row r="705" spans="1:19" ht="14.4" customHeight="1" x14ac:dyDescent="0.3">
      <c r="A705" s="2" t="s">
        <v>138</v>
      </c>
      <c r="B705" s="4" t="s">
        <v>378</v>
      </c>
      <c r="C705" s="5" t="s">
        <v>38</v>
      </c>
      <c r="D705" t="s">
        <v>529</v>
      </c>
      <c r="E705">
        <v>0</v>
      </c>
      <c r="F705">
        <f t="shared" si="23"/>
        <v>480</v>
      </c>
      <c r="G705">
        <f t="shared" ref="G705:G716" si="25">E705+F705</f>
        <v>480</v>
      </c>
      <c r="H705" t="s">
        <v>514</v>
      </c>
      <c r="K705">
        <v>0.51616465211523099</v>
      </c>
      <c r="L705" t="s">
        <v>458</v>
      </c>
      <c r="M705" t="s">
        <v>535</v>
      </c>
      <c r="Q705" t="s">
        <v>468</v>
      </c>
      <c r="R705" t="s">
        <v>4</v>
      </c>
      <c r="S705" t="s">
        <v>39</v>
      </c>
    </row>
    <row r="706" spans="1:19" ht="14.4" customHeight="1" x14ac:dyDescent="0.3">
      <c r="A706" s="2" t="s">
        <v>138</v>
      </c>
      <c r="B706" s="4" t="s">
        <v>378</v>
      </c>
      <c r="C706" s="5" t="s">
        <v>38</v>
      </c>
      <c r="D706" t="s">
        <v>529</v>
      </c>
      <c r="E706">
        <v>0.25</v>
      </c>
      <c r="F706">
        <f t="shared" si="23"/>
        <v>480</v>
      </c>
      <c r="G706">
        <f t="shared" si="25"/>
        <v>480.25</v>
      </c>
      <c r="H706" t="s">
        <v>514</v>
      </c>
      <c r="K706">
        <v>0.52622806241082798</v>
      </c>
      <c r="L706" t="s">
        <v>458</v>
      </c>
      <c r="M706" t="s">
        <v>535</v>
      </c>
      <c r="Q706" t="s">
        <v>468</v>
      </c>
      <c r="R706" t="s">
        <v>4</v>
      </c>
      <c r="S706" t="s">
        <v>39</v>
      </c>
    </row>
    <row r="707" spans="1:19" ht="14.4" customHeight="1" x14ac:dyDescent="0.3">
      <c r="A707" s="2" t="s">
        <v>138</v>
      </c>
      <c r="B707" s="4" t="s">
        <v>378</v>
      </c>
      <c r="C707" s="5" t="s">
        <v>38</v>
      </c>
      <c r="D707" t="s">
        <v>529</v>
      </c>
      <c r="E707">
        <v>0.5</v>
      </c>
      <c r="F707">
        <f t="shared" si="23"/>
        <v>480</v>
      </c>
      <c r="G707">
        <f t="shared" si="25"/>
        <v>480.5</v>
      </c>
      <c r="H707" t="s">
        <v>514</v>
      </c>
      <c r="K707">
        <v>0.84048177741373997</v>
      </c>
      <c r="L707" t="s">
        <v>458</v>
      </c>
      <c r="M707" t="s">
        <v>535</v>
      </c>
      <c r="Q707" t="s">
        <v>468</v>
      </c>
      <c r="R707" t="s">
        <v>4</v>
      </c>
      <c r="S707" t="s">
        <v>39</v>
      </c>
    </row>
    <row r="708" spans="1:19" ht="14.4" customHeight="1" x14ac:dyDescent="0.3">
      <c r="A708" s="2" t="s">
        <v>138</v>
      </c>
      <c r="B708" s="4" t="s">
        <v>378</v>
      </c>
      <c r="C708" s="5" t="s">
        <v>38</v>
      </c>
      <c r="D708" t="s">
        <v>529</v>
      </c>
      <c r="E708">
        <v>1</v>
      </c>
      <c r="F708">
        <f t="shared" si="23"/>
        <v>480</v>
      </c>
      <c r="G708">
        <f t="shared" si="25"/>
        <v>481</v>
      </c>
      <c r="H708" t="s">
        <v>514</v>
      </c>
      <c r="K708">
        <v>1.62832106764666</v>
      </c>
      <c r="L708" t="s">
        <v>458</v>
      </c>
      <c r="M708" t="s">
        <v>535</v>
      </c>
      <c r="Q708" t="s">
        <v>468</v>
      </c>
      <c r="R708" t="s">
        <v>4</v>
      </c>
      <c r="S708" t="s">
        <v>39</v>
      </c>
    </row>
    <row r="709" spans="1:19" ht="14.4" customHeight="1" x14ac:dyDescent="0.3">
      <c r="A709" s="2" t="s">
        <v>138</v>
      </c>
      <c r="B709" s="4" t="s">
        <v>378</v>
      </c>
      <c r="C709" s="5" t="s">
        <v>38</v>
      </c>
      <c r="D709" t="s">
        <v>529</v>
      </c>
      <c r="E709">
        <v>1.5</v>
      </c>
      <c r="F709">
        <f t="shared" si="23"/>
        <v>480</v>
      </c>
      <c r="G709">
        <f t="shared" si="25"/>
        <v>481.5</v>
      </c>
      <c r="H709" t="s">
        <v>514</v>
      </c>
      <c r="K709">
        <v>2.0233903041299501</v>
      </c>
      <c r="L709" t="s">
        <v>458</v>
      </c>
      <c r="M709" t="s">
        <v>535</v>
      </c>
      <c r="Q709" t="s">
        <v>468</v>
      </c>
      <c r="R709" t="s">
        <v>4</v>
      </c>
      <c r="S709" t="s">
        <v>39</v>
      </c>
    </row>
    <row r="710" spans="1:19" ht="14.4" customHeight="1" x14ac:dyDescent="0.3">
      <c r="A710" s="2" t="s">
        <v>138</v>
      </c>
      <c r="B710" s="4" t="s">
        <v>378</v>
      </c>
      <c r="C710" s="5" t="s">
        <v>38</v>
      </c>
      <c r="D710" t="s">
        <v>529</v>
      </c>
      <c r="E710">
        <v>2</v>
      </c>
      <c r="F710">
        <f t="shared" si="23"/>
        <v>480</v>
      </c>
      <c r="G710">
        <f t="shared" si="25"/>
        <v>482</v>
      </c>
      <c r="H710" t="s">
        <v>514</v>
      </c>
      <c r="K710">
        <v>2.18586150342467</v>
      </c>
      <c r="L710" t="s">
        <v>458</v>
      </c>
      <c r="M710" t="s">
        <v>535</v>
      </c>
      <c r="Q710" t="s">
        <v>468</v>
      </c>
      <c r="R710" t="s">
        <v>4</v>
      </c>
      <c r="S710" t="s">
        <v>39</v>
      </c>
    </row>
    <row r="711" spans="1:19" ht="14.4" customHeight="1" x14ac:dyDescent="0.3">
      <c r="A711" s="2" t="s">
        <v>138</v>
      </c>
      <c r="B711" s="4" t="s">
        <v>378</v>
      </c>
      <c r="C711" s="5" t="s">
        <v>38</v>
      </c>
      <c r="D711" t="s">
        <v>529</v>
      </c>
      <c r="E711">
        <v>3</v>
      </c>
      <c r="F711">
        <f t="shared" si="23"/>
        <v>480</v>
      </c>
      <c r="G711">
        <f t="shared" si="25"/>
        <v>483</v>
      </c>
      <c r="H711" t="s">
        <v>514</v>
      </c>
      <c r="K711">
        <v>2.5633330167625101</v>
      </c>
      <c r="L711" t="s">
        <v>458</v>
      </c>
      <c r="M711" t="s">
        <v>535</v>
      </c>
      <c r="Q711" t="s">
        <v>468</v>
      </c>
      <c r="R711" t="s">
        <v>4</v>
      </c>
      <c r="S711" t="s">
        <v>39</v>
      </c>
    </row>
    <row r="712" spans="1:19" ht="14.4" customHeight="1" x14ac:dyDescent="0.3">
      <c r="A712" s="2" t="s">
        <v>138</v>
      </c>
      <c r="B712" s="4" t="s">
        <v>378</v>
      </c>
      <c r="C712" s="5" t="s">
        <v>38</v>
      </c>
      <c r="D712" t="s">
        <v>529</v>
      </c>
      <c r="E712">
        <v>4</v>
      </c>
      <c r="F712">
        <f t="shared" si="23"/>
        <v>480</v>
      </c>
      <c r="G712">
        <f t="shared" si="25"/>
        <v>484</v>
      </c>
      <c r="H712" t="s">
        <v>514</v>
      </c>
      <c r="K712">
        <v>2.4425342984197802</v>
      </c>
      <c r="L712" t="s">
        <v>458</v>
      </c>
      <c r="M712" t="s">
        <v>535</v>
      </c>
      <c r="Q712" t="s">
        <v>468</v>
      </c>
      <c r="R712" t="s">
        <v>4</v>
      </c>
      <c r="S712" t="s">
        <v>39</v>
      </c>
    </row>
    <row r="713" spans="1:19" ht="14.4" customHeight="1" x14ac:dyDescent="0.3">
      <c r="A713" s="2" t="s">
        <v>138</v>
      </c>
      <c r="B713" s="4" t="s">
        <v>378</v>
      </c>
      <c r="C713" s="5" t="s">
        <v>38</v>
      </c>
      <c r="D713" t="s">
        <v>529</v>
      </c>
      <c r="E713">
        <v>8</v>
      </c>
      <c r="F713">
        <f t="shared" si="23"/>
        <v>480</v>
      </c>
      <c r="G713">
        <f t="shared" si="25"/>
        <v>488</v>
      </c>
      <c r="H713" t="s">
        <v>514</v>
      </c>
      <c r="K713">
        <v>1.68428311301166</v>
      </c>
      <c r="L713" t="s">
        <v>458</v>
      </c>
      <c r="M713" t="s">
        <v>535</v>
      </c>
      <c r="Q713" t="s">
        <v>468</v>
      </c>
      <c r="R713" t="s">
        <v>4</v>
      </c>
      <c r="S713" t="s">
        <v>39</v>
      </c>
    </row>
    <row r="714" spans="1:19" ht="14.4" customHeight="1" x14ac:dyDescent="0.3">
      <c r="A714" s="2" t="s">
        <v>138</v>
      </c>
      <c r="B714" s="4" t="s">
        <v>378</v>
      </c>
      <c r="C714" s="5" t="s">
        <v>38</v>
      </c>
      <c r="D714" t="s">
        <v>529</v>
      </c>
      <c r="E714">
        <v>12</v>
      </c>
      <c r="F714">
        <f t="shared" si="23"/>
        <v>480</v>
      </c>
      <c r="G714">
        <f t="shared" si="25"/>
        <v>492</v>
      </c>
      <c r="H714" t="s">
        <v>514</v>
      </c>
      <c r="K714">
        <v>1.17836226354359</v>
      </c>
      <c r="L714" t="s">
        <v>458</v>
      </c>
      <c r="M714" t="s">
        <v>535</v>
      </c>
      <c r="Q714" t="s">
        <v>468</v>
      </c>
      <c r="R714" t="s">
        <v>4</v>
      </c>
      <c r="S714" t="s">
        <v>39</v>
      </c>
    </row>
    <row r="715" spans="1:19" ht="14.4" customHeight="1" x14ac:dyDescent="0.3">
      <c r="A715" s="2" t="s">
        <v>138</v>
      </c>
      <c r="B715" s="4" t="s">
        <v>378</v>
      </c>
      <c r="C715" s="5" t="s">
        <v>38</v>
      </c>
      <c r="D715" t="s">
        <v>529</v>
      </c>
      <c r="E715">
        <v>18</v>
      </c>
      <c r="F715">
        <f t="shared" si="23"/>
        <v>480</v>
      </c>
      <c r="G715">
        <f t="shared" si="25"/>
        <v>498</v>
      </c>
      <c r="H715" t="s">
        <v>514</v>
      </c>
      <c r="K715">
        <v>0.76682456472858895</v>
      </c>
      <c r="L715" t="s">
        <v>458</v>
      </c>
      <c r="M715" t="s">
        <v>535</v>
      </c>
      <c r="Q715" t="s">
        <v>468</v>
      </c>
      <c r="R715" t="s">
        <v>4</v>
      </c>
      <c r="S715" t="s">
        <v>39</v>
      </c>
    </row>
    <row r="716" spans="1:19" ht="14.4" customHeight="1" x14ac:dyDescent="0.3">
      <c r="A716" s="2" t="s">
        <v>138</v>
      </c>
      <c r="B716" s="4" t="s">
        <v>378</v>
      </c>
      <c r="C716" s="5" t="s">
        <v>38</v>
      </c>
      <c r="D716" t="s">
        <v>529</v>
      </c>
      <c r="E716">
        <v>24</v>
      </c>
      <c r="F716">
        <f t="shared" si="23"/>
        <v>480</v>
      </c>
      <c r="G716">
        <f t="shared" si="25"/>
        <v>504</v>
      </c>
      <c r="H716" t="s">
        <v>514</v>
      </c>
      <c r="K716">
        <v>0.54169224796912596</v>
      </c>
      <c r="L716" t="s">
        <v>458</v>
      </c>
      <c r="M716" t="s">
        <v>535</v>
      </c>
      <c r="Q716" t="s">
        <v>468</v>
      </c>
      <c r="R716" t="s">
        <v>4</v>
      </c>
      <c r="S716" t="s">
        <v>39</v>
      </c>
    </row>
    <row r="717" spans="1:19" ht="14.4" customHeight="1" x14ac:dyDescent="0.3">
      <c r="A717" s="2" t="s">
        <v>139</v>
      </c>
      <c r="B717" s="4" t="s">
        <v>379</v>
      </c>
      <c r="C717" s="5" t="s">
        <v>38</v>
      </c>
      <c r="D717" t="s">
        <v>529</v>
      </c>
      <c r="E717">
        <v>0</v>
      </c>
      <c r="F717">
        <f t="shared" si="23"/>
        <v>480</v>
      </c>
      <c r="G717">
        <f t="shared" ref="G717:G728" si="26">E717+F717</f>
        <v>480</v>
      </c>
      <c r="H717" t="s">
        <v>514</v>
      </c>
      <c r="K717">
        <v>0.85686824041043397</v>
      </c>
      <c r="L717" t="s">
        <v>458</v>
      </c>
      <c r="M717" t="s">
        <v>535</v>
      </c>
      <c r="Q717" t="s">
        <v>468</v>
      </c>
      <c r="R717" t="s">
        <v>4</v>
      </c>
      <c r="S717" t="s">
        <v>39</v>
      </c>
    </row>
    <row r="718" spans="1:19" ht="14.4" customHeight="1" x14ac:dyDescent="0.3">
      <c r="A718" s="2" t="s">
        <v>139</v>
      </c>
      <c r="B718" s="4" t="s">
        <v>379</v>
      </c>
      <c r="C718" s="5" t="s">
        <v>38</v>
      </c>
      <c r="D718" t="s">
        <v>529</v>
      </c>
      <c r="E718">
        <v>0.25</v>
      </c>
      <c r="F718">
        <f t="shared" si="23"/>
        <v>480</v>
      </c>
      <c r="G718">
        <f t="shared" si="26"/>
        <v>480.25</v>
      </c>
      <c r="H718" t="s">
        <v>514</v>
      </c>
      <c r="K718">
        <v>0.80087353266439798</v>
      </c>
      <c r="L718" t="s">
        <v>458</v>
      </c>
      <c r="M718" t="s">
        <v>535</v>
      </c>
      <c r="Q718" t="s">
        <v>468</v>
      </c>
      <c r="R718" t="s">
        <v>4</v>
      </c>
      <c r="S718" t="s">
        <v>39</v>
      </c>
    </row>
    <row r="719" spans="1:19" ht="14.4" customHeight="1" x14ac:dyDescent="0.3">
      <c r="A719" s="2" t="s">
        <v>139</v>
      </c>
      <c r="B719" s="4" t="s">
        <v>379</v>
      </c>
      <c r="C719" s="5" t="s">
        <v>38</v>
      </c>
      <c r="D719" t="s">
        <v>529</v>
      </c>
      <c r="E719">
        <v>0.5</v>
      </c>
      <c r="F719">
        <f t="shared" si="23"/>
        <v>480</v>
      </c>
      <c r="G719">
        <f t="shared" si="26"/>
        <v>480.5</v>
      </c>
      <c r="H719" t="s">
        <v>514</v>
      </c>
      <c r="K719">
        <v>1.3424020279881199</v>
      </c>
      <c r="L719" t="s">
        <v>458</v>
      </c>
      <c r="M719" t="s">
        <v>535</v>
      </c>
      <c r="Q719" t="s">
        <v>468</v>
      </c>
      <c r="R719" t="s">
        <v>4</v>
      </c>
      <c r="S719" t="s">
        <v>39</v>
      </c>
    </row>
    <row r="720" spans="1:19" ht="14.4" customHeight="1" x14ac:dyDescent="0.3">
      <c r="A720" s="2" t="s">
        <v>139</v>
      </c>
      <c r="B720" s="4" t="s">
        <v>379</v>
      </c>
      <c r="C720" s="5" t="s">
        <v>38</v>
      </c>
      <c r="D720" t="s">
        <v>529</v>
      </c>
      <c r="E720">
        <v>1</v>
      </c>
      <c r="F720">
        <f t="shared" si="23"/>
        <v>480</v>
      </c>
      <c r="G720">
        <f t="shared" si="26"/>
        <v>481</v>
      </c>
      <c r="H720" t="s">
        <v>514</v>
      </c>
      <c r="K720">
        <v>3.21615911116348</v>
      </c>
      <c r="L720" t="s">
        <v>458</v>
      </c>
      <c r="M720" t="s">
        <v>535</v>
      </c>
      <c r="Q720" t="s">
        <v>468</v>
      </c>
      <c r="R720" t="s">
        <v>4</v>
      </c>
      <c r="S720" t="s">
        <v>39</v>
      </c>
    </row>
    <row r="721" spans="1:19" ht="14.4" customHeight="1" x14ac:dyDescent="0.3">
      <c r="A721" s="2" t="s">
        <v>139</v>
      </c>
      <c r="B721" s="4" t="s">
        <v>379</v>
      </c>
      <c r="C721" s="5" t="s">
        <v>38</v>
      </c>
      <c r="D721" t="s">
        <v>529</v>
      </c>
      <c r="E721">
        <v>1.5</v>
      </c>
      <c r="F721">
        <f t="shared" si="23"/>
        <v>480</v>
      </c>
      <c r="G721">
        <f t="shared" si="26"/>
        <v>481.5</v>
      </c>
      <c r="H721" t="s">
        <v>514</v>
      </c>
      <c r="K721">
        <v>3.6462367481076199</v>
      </c>
      <c r="L721" t="s">
        <v>458</v>
      </c>
      <c r="M721" t="s">
        <v>535</v>
      </c>
      <c r="Q721" t="s">
        <v>468</v>
      </c>
      <c r="R721" t="s">
        <v>4</v>
      </c>
      <c r="S721" t="s">
        <v>39</v>
      </c>
    </row>
    <row r="722" spans="1:19" ht="14.4" customHeight="1" x14ac:dyDescent="0.3">
      <c r="A722" s="2" t="s">
        <v>139</v>
      </c>
      <c r="B722" s="4" t="s">
        <v>379</v>
      </c>
      <c r="C722" s="5" t="s">
        <v>38</v>
      </c>
      <c r="D722" t="s">
        <v>529</v>
      </c>
      <c r="E722">
        <v>2</v>
      </c>
      <c r="F722">
        <f t="shared" si="23"/>
        <v>480</v>
      </c>
      <c r="G722">
        <f t="shared" si="26"/>
        <v>482</v>
      </c>
      <c r="H722" t="s">
        <v>514</v>
      </c>
      <c r="K722">
        <v>4.0158139581211501</v>
      </c>
      <c r="L722" t="s">
        <v>458</v>
      </c>
      <c r="M722" t="s">
        <v>535</v>
      </c>
      <c r="Q722" t="s">
        <v>468</v>
      </c>
      <c r="R722" t="s">
        <v>4</v>
      </c>
      <c r="S722" t="s">
        <v>39</v>
      </c>
    </row>
    <row r="723" spans="1:19" ht="14.4" customHeight="1" x14ac:dyDescent="0.3">
      <c r="A723" s="2" t="s">
        <v>139</v>
      </c>
      <c r="B723" s="4" t="s">
        <v>379</v>
      </c>
      <c r="C723" s="5" t="s">
        <v>38</v>
      </c>
      <c r="D723" t="s">
        <v>529</v>
      </c>
      <c r="E723">
        <v>3</v>
      </c>
      <c r="F723">
        <f t="shared" si="23"/>
        <v>480</v>
      </c>
      <c r="G723">
        <f t="shared" si="26"/>
        <v>483</v>
      </c>
      <c r="H723" t="s">
        <v>514</v>
      </c>
      <c r="K723">
        <v>4.4873672524156101</v>
      </c>
      <c r="L723" t="s">
        <v>458</v>
      </c>
      <c r="M723" t="s">
        <v>535</v>
      </c>
      <c r="Q723" t="s">
        <v>468</v>
      </c>
      <c r="R723" t="s">
        <v>4</v>
      </c>
      <c r="S723" t="s">
        <v>39</v>
      </c>
    </row>
    <row r="724" spans="1:19" ht="14.4" customHeight="1" x14ac:dyDescent="0.3">
      <c r="A724" s="2" t="s">
        <v>139</v>
      </c>
      <c r="B724" s="4" t="s">
        <v>379</v>
      </c>
      <c r="C724" s="5" t="s">
        <v>38</v>
      </c>
      <c r="D724" t="s">
        <v>529</v>
      </c>
      <c r="E724">
        <v>4</v>
      </c>
      <c r="F724">
        <f t="shared" si="23"/>
        <v>480</v>
      </c>
      <c r="G724">
        <f t="shared" si="26"/>
        <v>484</v>
      </c>
      <c r="H724" t="s">
        <v>514</v>
      </c>
      <c r="K724">
        <v>4.31737851315836</v>
      </c>
      <c r="L724" t="s">
        <v>458</v>
      </c>
      <c r="M724" t="s">
        <v>535</v>
      </c>
      <c r="Q724" t="s">
        <v>468</v>
      </c>
      <c r="R724" t="s">
        <v>4</v>
      </c>
      <c r="S724" t="s">
        <v>39</v>
      </c>
    </row>
    <row r="725" spans="1:19" ht="14.4" customHeight="1" x14ac:dyDescent="0.3">
      <c r="A725" s="2" t="s">
        <v>139</v>
      </c>
      <c r="B725" s="4" t="s">
        <v>379</v>
      </c>
      <c r="C725" s="5" t="s">
        <v>38</v>
      </c>
      <c r="D725" t="s">
        <v>529</v>
      </c>
      <c r="E725">
        <v>8</v>
      </c>
      <c r="F725">
        <f t="shared" si="23"/>
        <v>480</v>
      </c>
      <c r="G725">
        <f t="shared" si="26"/>
        <v>488</v>
      </c>
      <c r="H725" t="s">
        <v>514</v>
      </c>
      <c r="K725">
        <v>2.6901059932201399</v>
      </c>
      <c r="L725" t="s">
        <v>458</v>
      </c>
      <c r="M725" t="s">
        <v>535</v>
      </c>
      <c r="Q725" t="s">
        <v>468</v>
      </c>
      <c r="R725" t="s">
        <v>4</v>
      </c>
      <c r="S725" t="s">
        <v>39</v>
      </c>
    </row>
    <row r="726" spans="1:19" ht="14.4" customHeight="1" x14ac:dyDescent="0.3">
      <c r="A726" s="2" t="s">
        <v>139</v>
      </c>
      <c r="B726" s="4" t="s">
        <v>379</v>
      </c>
      <c r="C726" s="5" t="s">
        <v>38</v>
      </c>
      <c r="D726" t="s">
        <v>529</v>
      </c>
      <c r="E726">
        <v>12</v>
      </c>
      <c r="F726">
        <f t="shared" si="23"/>
        <v>480</v>
      </c>
      <c r="G726">
        <f t="shared" si="26"/>
        <v>492</v>
      </c>
      <c r="H726" t="s">
        <v>514</v>
      </c>
      <c r="K726">
        <v>1.8820585226167399</v>
      </c>
      <c r="L726" t="s">
        <v>458</v>
      </c>
      <c r="M726" t="s">
        <v>535</v>
      </c>
      <c r="Q726" t="s">
        <v>468</v>
      </c>
      <c r="R726" t="s">
        <v>4</v>
      </c>
      <c r="S726" t="s">
        <v>39</v>
      </c>
    </row>
    <row r="727" spans="1:19" ht="14.4" customHeight="1" x14ac:dyDescent="0.3">
      <c r="A727" s="2" t="s">
        <v>139</v>
      </c>
      <c r="B727" s="4" t="s">
        <v>379</v>
      </c>
      <c r="C727" s="5" t="s">
        <v>38</v>
      </c>
      <c r="D727" t="s">
        <v>529</v>
      </c>
      <c r="E727">
        <v>18</v>
      </c>
      <c r="F727">
        <f t="shared" si="23"/>
        <v>480</v>
      </c>
      <c r="G727">
        <f t="shared" si="26"/>
        <v>498</v>
      </c>
      <c r="H727" t="s">
        <v>514</v>
      </c>
      <c r="K727">
        <v>1.16704057034604</v>
      </c>
      <c r="L727" t="s">
        <v>458</v>
      </c>
      <c r="M727" t="s">
        <v>535</v>
      </c>
      <c r="Q727" t="s">
        <v>468</v>
      </c>
      <c r="R727" t="s">
        <v>4</v>
      </c>
      <c r="S727" t="s">
        <v>39</v>
      </c>
    </row>
    <row r="728" spans="1:19" ht="14.4" customHeight="1" x14ac:dyDescent="0.3">
      <c r="A728" s="2" t="s">
        <v>139</v>
      </c>
      <c r="B728" s="4" t="s">
        <v>379</v>
      </c>
      <c r="C728" s="5" t="s">
        <v>38</v>
      </c>
      <c r="D728" t="s">
        <v>529</v>
      </c>
      <c r="E728">
        <v>24</v>
      </c>
      <c r="F728">
        <f t="shared" si="23"/>
        <v>480</v>
      </c>
      <c r="G728">
        <f t="shared" si="26"/>
        <v>504</v>
      </c>
      <c r="H728" t="s">
        <v>514</v>
      </c>
      <c r="K728">
        <v>0.86936740709122395</v>
      </c>
      <c r="L728" t="s">
        <v>458</v>
      </c>
      <c r="M728" t="s">
        <v>535</v>
      </c>
      <c r="Q728" t="s">
        <v>468</v>
      </c>
      <c r="R728" t="s">
        <v>4</v>
      </c>
      <c r="S728" t="s">
        <v>39</v>
      </c>
    </row>
    <row r="729" spans="1:19" ht="14.4" customHeight="1" x14ac:dyDescent="0.3">
      <c r="A729" s="2" t="s">
        <v>140</v>
      </c>
      <c r="B729" s="4" t="s">
        <v>381</v>
      </c>
      <c r="C729" s="5" t="s">
        <v>42</v>
      </c>
      <c r="D729" t="s">
        <v>564</v>
      </c>
      <c r="G729">
        <v>0.25</v>
      </c>
      <c r="H729" t="s">
        <v>514</v>
      </c>
      <c r="K729">
        <v>0.17698395026962399</v>
      </c>
      <c r="L729" t="s">
        <v>458</v>
      </c>
      <c r="M729" t="s">
        <v>535</v>
      </c>
      <c r="Q729" t="s">
        <v>468</v>
      </c>
      <c r="R729" t="s">
        <v>4</v>
      </c>
      <c r="S729" t="s">
        <v>39</v>
      </c>
    </row>
    <row r="730" spans="1:19" ht="14.4" customHeight="1" x14ac:dyDescent="0.3">
      <c r="A730" s="2" t="s">
        <v>140</v>
      </c>
      <c r="B730" s="4" t="s">
        <v>381</v>
      </c>
      <c r="C730" s="5" t="s">
        <v>42</v>
      </c>
      <c r="D730" t="s">
        <v>564</v>
      </c>
      <c r="G730">
        <v>0.5</v>
      </c>
      <c r="H730" t="s">
        <v>514</v>
      </c>
      <c r="K730">
        <v>0.39358752279665499</v>
      </c>
      <c r="L730" t="s">
        <v>458</v>
      </c>
      <c r="M730" t="s">
        <v>535</v>
      </c>
      <c r="Q730" t="s">
        <v>468</v>
      </c>
      <c r="R730" t="s">
        <v>4</v>
      </c>
      <c r="S730" t="s">
        <v>39</v>
      </c>
    </row>
    <row r="731" spans="1:19" ht="14.4" customHeight="1" x14ac:dyDescent="0.3">
      <c r="A731" s="2" t="s">
        <v>140</v>
      </c>
      <c r="B731" s="4" t="s">
        <v>381</v>
      </c>
      <c r="C731" s="5" t="s">
        <v>42</v>
      </c>
      <c r="D731" t="s">
        <v>564</v>
      </c>
      <c r="G731">
        <v>1</v>
      </c>
      <c r="H731" t="s">
        <v>514</v>
      </c>
      <c r="K731">
        <v>0.74958864664746905</v>
      </c>
      <c r="L731" t="s">
        <v>458</v>
      </c>
      <c r="M731" t="s">
        <v>535</v>
      </c>
      <c r="Q731" t="s">
        <v>468</v>
      </c>
      <c r="R731" t="s">
        <v>4</v>
      </c>
      <c r="S731" t="s">
        <v>39</v>
      </c>
    </row>
    <row r="732" spans="1:19" ht="14.4" customHeight="1" x14ac:dyDescent="0.3">
      <c r="A732" s="2" t="s">
        <v>140</v>
      </c>
      <c r="B732" s="4" t="s">
        <v>381</v>
      </c>
      <c r="C732" s="5" t="s">
        <v>42</v>
      </c>
      <c r="D732" t="s">
        <v>564</v>
      </c>
      <c r="G732">
        <v>1.5</v>
      </c>
      <c r="H732" t="s">
        <v>514</v>
      </c>
      <c r="K732">
        <v>0.85039592760180904</v>
      </c>
      <c r="L732" t="s">
        <v>458</v>
      </c>
      <c r="M732" t="s">
        <v>535</v>
      </c>
      <c r="Q732" t="s">
        <v>468</v>
      </c>
      <c r="R732" t="s">
        <v>4</v>
      </c>
      <c r="S732" t="s">
        <v>39</v>
      </c>
    </row>
    <row r="733" spans="1:19" ht="14.4" customHeight="1" x14ac:dyDescent="0.3">
      <c r="A733" s="2" t="s">
        <v>140</v>
      </c>
      <c r="B733" s="4" t="s">
        <v>381</v>
      </c>
      <c r="C733" s="5" t="s">
        <v>42</v>
      </c>
      <c r="D733" t="s">
        <v>564</v>
      </c>
      <c r="G733">
        <v>2</v>
      </c>
      <c r="H733" t="s">
        <v>514</v>
      </c>
      <c r="K733">
        <v>1.1097542163718599</v>
      </c>
      <c r="L733" t="s">
        <v>458</v>
      </c>
      <c r="M733" t="s">
        <v>535</v>
      </c>
      <c r="Q733" t="s">
        <v>468</v>
      </c>
      <c r="R733" t="s">
        <v>4</v>
      </c>
      <c r="S733" t="s">
        <v>39</v>
      </c>
    </row>
    <row r="734" spans="1:19" ht="14.4" customHeight="1" x14ac:dyDescent="0.3">
      <c r="A734" s="2" t="s">
        <v>140</v>
      </c>
      <c r="B734" s="4" t="s">
        <v>381</v>
      </c>
      <c r="C734" s="5" t="s">
        <v>42</v>
      </c>
      <c r="D734" t="s">
        <v>564</v>
      </c>
      <c r="G734">
        <v>3</v>
      </c>
      <c r="H734" t="s">
        <v>514</v>
      </c>
      <c r="K734">
        <v>1.05170197449609</v>
      </c>
      <c r="L734" t="s">
        <v>458</v>
      </c>
      <c r="M734" t="s">
        <v>535</v>
      </c>
      <c r="Q734" t="s">
        <v>468</v>
      </c>
      <c r="R734" t="s">
        <v>4</v>
      </c>
      <c r="S734" t="s">
        <v>39</v>
      </c>
    </row>
    <row r="735" spans="1:19" ht="14.4" customHeight="1" x14ac:dyDescent="0.3">
      <c r="A735" s="2" t="s">
        <v>140</v>
      </c>
      <c r="B735" s="4" t="s">
        <v>381</v>
      </c>
      <c r="C735" s="5" t="s">
        <v>42</v>
      </c>
      <c r="D735" t="s">
        <v>564</v>
      </c>
      <c r="G735">
        <v>4</v>
      </c>
      <c r="H735" t="s">
        <v>514</v>
      </c>
      <c r="K735">
        <v>0.97917523652817595</v>
      </c>
      <c r="L735" t="s">
        <v>458</v>
      </c>
      <c r="M735" t="s">
        <v>535</v>
      </c>
      <c r="Q735" t="s">
        <v>468</v>
      </c>
      <c r="R735" t="s">
        <v>4</v>
      </c>
      <c r="S735" t="s">
        <v>39</v>
      </c>
    </row>
    <row r="736" spans="1:19" ht="14.4" customHeight="1" x14ac:dyDescent="0.3">
      <c r="A736" s="2" t="s">
        <v>140</v>
      </c>
      <c r="B736" s="4" t="s">
        <v>381</v>
      </c>
      <c r="C736" s="5" t="s">
        <v>42</v>
      </c>
      <c r="D736" t="s">
        <v>564</v>
      </c>
      <c r="G736">
        <v>5</v>
      </c>
      <c r="H736" t="s">
        <v>514</v>
      </c>
      <c r="K736">
        <v>0.89222542163718599</v>
      </c>
      <c r="L736" t="s">
        <v>458</v>
      </c>
      <c r="M736" t="s">
        <v>535</v>
      </c>
      <c r="Q736" t="s">
        <v>468</v>
      </c>
      <c r="R736" t="s">
        <v>4</v>
      </c>
      <c r="S736" t="s">
        <v>39</v>
      </c>
    </row>
    <row r="737" spans="1:19" ht="14.4" customHeight="1" x14ac:dyDescent="0.3">
      <c r="A737" s="2" t="s">
        <v>140</v>
      </c>
      <c r="B737" s="4" t="s">
        <v>381</v>
      </c>
      <c r="C737" s="5" t="s">
        <v>42</v>
      </c>
      <c r="D737" t="s">
        <v>564</v>
      </c>
      <c r="G737">
        <v>6</v>
      </c>
      <c r="H737" t="s">
        <v>514</v>
      </c>
      <c r="K737">
        <v>0.86296791443850196</v>
      </c>
      <c r="L737" t="s">
        <v>458</v>
      </c>
      <c r="M737" t="s">
        <v>535</v>
      </c>
      <c r="Q737" t="s">
        <v>468</v>
      </c>
      <c r="R737" t="s">
        <v>4</v>
      </c>
      <c r="S737" t="s">
        <v>39</v>
      </c>
    </row>
    <row r="738" spans="1:19" ht="14.4" customHeight="1" x14ac:dyDescent="0.3">
      <c r="A738" s="2" t="s">
        <v>140</v>
      </c>
      <c r="B738" s="4" t="s">
        <v>381</v>
      </c>
      <c r="C738" s="5" t="s">
        <v>42</v>
      </c>
      <c r="D738" t="s">
        <v>564</v>
      </c>
      <c r="G738">
        <v>8</v>
      </c>
      <c r="H738" t="s">
        <v>514</v>
      </c>
      <c r="K738">
        <v>0.67469662690250798</v>
      </c>
      <c r="L738" t="s">
        <v>458</v>
      </c>
      <c r="M738" t="s">
        <v>535</v>
      </c>
      <c r="Q738" t="s">
        <v>468</v>
      </c>
      <c r="R738" t="s">
        <v>4</v>
      </c>
      <c r="S738" t="s">
        <v>39</v>
      </c>
    </row>
    <row r="739" spans="1:19" ht="14.4" customHeight="1" x14ac:dyDescent="0.3">
      <c r="A739" s="2" t="s">
        <v>140</v>
      </c>
      <c r="B739" s="4" t="s">
        <v>381</v>
      </c>
      <c r="C739" s="5" t="s">
        <v>42</v>
      </c>
      <c r="D739" t="s">
        <v>564</v>
      </c>
      <c r="G739">
        <v>10</v>
      </c>
      <c r="H739" t="s">
        <v>514</v>
      </c>
      <c r="K739">
        <v>0.56502298568687104</v>
      </c>
      <c r="L739" t="s">
        <v>458</v>
      </c>
      <c r="M739" t="s">
        <v>535</v>
      </c>
      <c r="Q739" t="s">
        <v>468</v>
      </c>
      <c r="R739" t="s">
        <v>4</v>
      </c>
      <c r="S739" t="s">
        <v>39</v>
      </c>
    </row>
    <row r="740" spans="1:19" ht="14.4" customHeight="1" x14ac:dyDescent="0.3">
      <c r="A740" s="2" t="s">
        <v>140</v>
      </c>
      <c r="B740" s="4" t="s">
        <v>381</v>
      </c>
      <c r="C740" s="5" t="s">
        <v>42</v>
      </c>
      <c r="D740" t="s">
        <v>564</v>
      </c>
      <c r="G740">
        <v>14</v>
      </c>
      <c r="H740" t="s">
        <v>514</v>
      </c>
      <c r="K740">
        <v>0.41671075626534299</v>
      </c>
      <c r="L740" t="s">
        <v>458</v>
      </c>
      <c r="M740" t="s">
        <v>535</v>
      </c>
      <c r="Q740" t="s">
        <v>468</v>
      </c>
      <c r="R740" t="s">
        <v>4</v>
      </c>
      <c r="S740" t="s">
        <v>39</v>
      </c>
    </row>
    <row r="741" spans="1:19" ht="14.4" customHeight="1" x14ac:dyDescent="0.3">
      <c r="A741" s="2" t="s">
        <v>140</v>
      </c>
      <c r="B741" s="4" t="s">
        <v>381</v>
      </c>
      <c r="C741" s="5" t="s">
        <v>42</v>
      </c>
      <c r="D741" t="s">
        <v>564</v>
      </c>
      <c r="G741">
        <v>26</v>
      </c>
      <c r="H741" t="s">
        <v>514</v>
      </c>
      <c r="K741">
        <v>0.20220184963444299</v>
      </c>
      <c r="L741" t="s">
        <v>458</v>
      </c>
      <c r="M741" t="s">
        <v>535</v>
      </c>
      <c r="Q741" t="s">
        <v>468</v>
      </c>
      <c r="R741" t="s">
        <v>4</v>
      </c>
      <c r="S741" t="s">
        <v>39</v>
      </c>
    </row>
    <row r="742" spans="1:19" ht="14.4" customHeight="1" x14ac:dyDescent="0.3">
      <c r="A742" s="2" t="s">
        <v>140</v>
      </c>
      <c r="B742" s="4" t="s">
        <v>381</v>
      </c>
      <c r="C742" s="5" t="s">
        <v>42</v>
      </c>
      <c r="D742" t="s">
        <v>564</v>
      </c>
      <c r="G742">
        <v>50</v>
      </c>
      <c r="H742" t="s">
        <v>514</v>
      </c>
      <c r="K742">
        <v>5.0405663850534903E-2</v>
      </c>
      <c r="L742" t="s">
        <v>458</v>
      </c>
      <c r="M742" t="s">
        <v>535</v>
      </c>
      <c r="Q742" t="s">
        <v>468</v>
      </c>
      <c r="R742" t="s">
        <v>4</v>
      </c>
      <c r="S742" t="s">
        <v>39</v>
      </c>
    </row>
    <row r="743" spans="1:19" ht="14.4" customHeight="1" x14ac:dyDescent="0.3">
      <c r="A743" s="2" t="s">
        <v>140</v>
      </c>
      <c r="B743" s="4" t="s">
        <v>381</v>
      </c>
      <c r="C743" s="5" t="s">
        <v>42</v>
      </c>
      <c r="D743" t="s">
        <v>564</v>
      </c>
      <c r="G743">
        <v>74</v>
      </c>
      <c r="H743" t="s">
        <v>514</v>
      </c>
      <c r="K743">
        <v>1.7364785438723399E-2</v>
      </c>
      <c r="L743" t="s">
        <v>458</v>
      </c>
      <c r="M743" t="s">
        <v>535</v>
      </c>
      <c r="Q743" t="s">
        <v>468</v>
      </c>
      <c r="R743" t="s">
        <v>4</v>
      </c>
      <c r="S743" t="s">
        <v>39</v>
      </c>
    </row>
    <row r="744" spans="1:19" ht="14.4" customHeight="1" x14ac:dyDescent="0.3">
      <c r="A744" s="2" t="s">
        <v>141</v>
      </c>
      <c r="B744" s="4" t="s">
        <v>380</v>
      </c>
      <c r="C744" s="5" t="s">
        <v>42</v>
      </c>
      <c r="D744" t="s">
        <v>564</v>
      </c>
      <c r="G744">
        <v>0.25</v>
      </c>
      <c r="H744" t="s">
        <v>514</v>
      </c>
      <c r="K744">
        <v>0.432876128108306</v>
      </c>
      <c r="L744" t="s">
        <v>458</v>
      </c>
      <c r="M744" t="s">
        <v>535</v>
      </c>
      <c r="Q744" t="s">
        <v>468</v>
      </c>
      <c r="R744" t="s">
        <v>4</v>
      </c>
      <c r="S744" t="s">
        <v>39</v>
      </c>
    </row>
    <row r="745" spans="1:19" ht="14.4" customHeight="1" x14ac:dyDescent="0.3">
      <c r="A745" s="2" t="s">
        <v>141</v>
      </c>
      <c r="B745" s="4" t="s">
        <v>380</v>
      </c>
      <c r="C745" s="5" t="s">
        <v>42</v>
      </c>
      <c r="D745" t="s">
        <v>564</v>
      </c>
      <c r="G745">
        <v>1</v>
      </c>
      <c r="H745" t="s">
        <v>514</v>
      </c>
      <c r="K745">
        <v>1.64381941587823</v>
      </c>
      <c r="L745" t="s">
        <v>458</v>
      </c>
      <c r="M745" t="s">
        <v>535</v>
      </c>
      <c r="Q745" t="s">
        <v>468</v>
      </c>
      <c r="R745" t="s">
        <v>4</v>
      </c>
      <c r="S745" t="s">
        <v>39</v>
      </c>
    </row>
    <row r="746" spans="1:19" ht="14.4" customHeight="1" x14ac:dyDescent="0.3">
      <c r="A746" s="2" t="s">
        <v>141</v>
      </c>
      <c r="B746" s="4" t="s">
        <v>380</v>
      </c>
      <c r="C746" s="5" t="s">
        <v>42</v>
      </c>
      <c r="D746" t="s">
        <v>564</v>
      </c>
      <c r="G746">
        <v>1.5</v>
      </c>
      <c r="H746" t="s">
        <v>514</v>
      </c>
      <c r="K746">
        <v>2.1772675853558199</v>
      </c>
      <c r="L746" t="s">
        <v>458</v>
      </c>
      <c r="M746" t="s">
        <v>535</v>
      </c>
      <c r="Q746" t="s">
        <v>468</v>
      </c>
      <c r="R746" t="s">
        <v>4</v>
      </c>
      <c r="S746" t="s">
        <v>39</v>
      </c>
    </row>
    <row r="747" spans="1:19" ht="14.4" customHeight="1" x14ac:dyDescent="0.3">
      <c r="A747" s="2" t="s">
        <v>141</v>
      </c>
      <c r="B747" s="4" t="s">
        <v>380</v>
      </c>
      <c r="C747" s="5" t="s">
        <v>42</v>
      </c>
      <c r="D747" t="s">
        <v>564</v>
      </c>
      <c r="G747">
        <v>2</v>
      </c>
      <c r="H747" t="s">
        <v>514</v>
      </c>
      <c r="K747">
        <v>2.7539849856026302</v>
      </c>
      <c r="L747" t="s">
        <v>458</v>
      </c>
      <c r="M747" t="s">
        <v>535</v>
      </c>
      <c r="Q747" t="s">
        <v>468</v>
      </c>
      <c r="R747" t="s">
        <v>4</v>
      </c>
      <c r="S747" t="s">
        <v>39</v>
      </c>
    </row>
    <row r="748" spans="1:19" ht="14.4" customHeight="1" x14ac:dyDescent="0.3">
      <c r="A748" s="2" t="s">
        <v>141</v>
      </c>
      <c r="B748" s="4" t="s">
        <v>380</v>
      </c>
      <c r="C748" s="5" t="s">
        <v>42</v>
      </c>
      <c r="D748" t="s">
        <v>564</v>
      </c>
      <c r="G748">
        <v>2.25</v>
      </c>
      <c r="H748" t="s">
        <v>514</v>
      </c>
      <c r="K748">
        <v>2.5663821472644899</v>
      </c>
      <c r="L748" t="s">
        <v>458</v>
      </c>
      <c r="M748" t="s">
        <v>535</v>
      </c>
      <c r="Q748" t="s">
        <v>468</v>
      </c>
      <c r="R748" t="s">
        <v>4</v>
      </c>
      <c r="S748" t="s">
        <v>39</v>
      </c>
    </row>
    <row r="749" spans="1:19" ht="14.4" customHeight="1" x14ac:dyDescent="0.3">
      <c r="A749" s="2" t="s">
        <v>141</v>
      </c>
      <c r="B749" s="4" t="s">
        <v>380</v>
      </c>
      <c r="C749" s="5" t="s">
        <v>42</v>
      </c>
      <c r="D749" t="s">
        <v>564</v>
      </c>
      <c r="G749">
        <v>2.5</v>
      </c>
      <c r="H749" t="s">
        <v>514</v>
      </c>
      <c r="K749">
        <v>2.4220999588646599</v>
      </c>
      <c r="L749" t="s">
        <v>458</v>
      </c>
      <c r="M749" t="s">
        <v>535</v>
      </c>
      <c r="Q749" t="s">
        <v>468</v>
      </c>
      <c r="R749" t="s">
        <v>4</v>
      </c>
      <c r="S749" t="s">
        <v>39</v>
      </c>
    </row>
    <row r="750" spans="1:19" ht="14.4" customHeight="1" x14ac:dyDescent="0.3">
      <c r="A750" s="2" t="s">
        <v>141</v>
      </c>
      <c r="B750" s="4" t="s">
        <v>380</v>
      </c>
      <c r="C750" s="5" t="s">
        <v>42</v>
      </c>
      <c r="D750" t="s">
        <v>564</v>
      </c>
      <c r="G750">
        <v>3</v>
      </c>
      <c r="H750" t="s">
        <v>514</v>
      </c>
      <c r="K750">
        <v>2.2631890168654798</v>
      </c>
      <c r="L750" t="s">
        <v>458</v>
      </c>
      <c r="M750" t="s">
        <v>535</v>
      </c>
      <c r="Q750" t="s">
        <v>468</v>
      </c>
      <c r="R750" t="s">
        <v>4</v>
      </c>
      <c r="S750" t="s">
        <v>39</v>
      </c>
    </row>
    <row r="751" spans="1:19" ht="14.4" customHeight="1" x14ac:dyDescent="0.3">
      <c r="A751" s="2" t="s">
        <v>141</v>
      </c>
      <c r="B751" s="4" t="s">
        <v>380</v>
      </c>
      <c r="C751" s="5" t="s">
        <v>42</v>
      </c>
      <c r="D751" t="s">
        <v>564</v>
      </c>
      <c r="G751">
        <v>4</v>
      </c>
      <c r="H751" t="s">
        <v>514</v>
      </c>
      <c r="K751">
        <v>2.1185983134512498</v>
      </c>
      <c r="L751" t="s">
        <v>458</v>
      </c>
      <c r="M751" t="s">
        <v>535</v>
      </c>
      <c r="Q751" t="s">
        <v>468</v>
      </c>
      <c r="R751" t="s">
        <v>4</v>
      </c>
      <c r="S751" t="s">
        <v>39</v>
      </c>
    </row>
    <row r="752" spans="1:19" ht="14.4" customHeight="1" x14ac:dyDescent="0.3">
      <c r="A752" s="2" t="s">
        <v>141</v>
      </c>
      <c r="B752" s="4" t="s">
        <v>380</v>
      </c>
      <c r="C752" s="5" t="s">
        <v>42</v>
      </c>
      <c r="D752" t="s">
        <v>564</v>
      </c>
      <c r="G752">
        <v>5</v>
      </c>
      <c r="H752" t="s">
        <v>514</v>
      </c>
      <c r="K752">
        <v>1.8729946524064101</v>
      </c>
      <c r="L752" t="s">
        <v>458</v>
      </c>
      <c r="M752" t="s">
        <v>535</v>
      </c>
      <c r="Q752" t="s">
        <v>468</v>
      </c>
      <c r="R752" t="s">
        <v>4</v>
      </c>
      <c r="S752" t="s">
        <v>39</v>
      </c>
    </row>
    <row r="753" spans="1:19" ht="14.4" customHeight="1" x14ac:dyDescent="0.3">
      <c r="A753" s="2" t="s">
        <v>141</v>
      </c>
      <c r="B753" s="4" t="s">
        <v>380</v>
      </c>
      <c r="C753" s="5" t="s">
        <v>42</v>
      </c>
      <c r="D753" t="s">
        <v>564</v>
      </c>
      <c r="G753">
        <v>6</v>
      </c>
      <c r="H753" t="s">
        <v>514</v>
      </c>
      <c r="K753">
        <v>1.77167317976141</v>
      </c>
      <c r="L753" t="s">
        <v>458</v>
      </c>
      <c r="M753" t="s">
        <v>535</v>
      </c>
      <c r="Q753" t="s">
        <v>468</v>
      </c>
      <c r="R753" t="s">
        <v>4</v>
      </c>
      <c r="S753" t="s">
        <v>39</v>
      </c>
    </row>
    <row r="754" spans="1:19" ht="14.4" customHeight="1" x14ac:dyDescent="0.3">
      <c r="A754" s="2" t="s">
        <v>141</v>
      </c>
      <c r="B754" s="4" t="s">
        <v>380</v>
      </c>
      <c r="C754" s="5" t="s">
        <v>42</v>
      </c>
      <c r="D754" t="s">
        <v>564</v>
      </c>
      <c r="G754">
        <v>8</v>
      </c>
      <c r="H754" t="s">
        <v>514</v>
      </c>
      <c r="K754">
        <v>1.33815816536404</v>
      </c>
      <c r="L754" t="s">
        <v>458</v>
      </c>
      <c r="M754" t="s">
        <v>535</v>
      </c>
      <c r="Q754" t="s">
        <v>468</v>
      </c>
      <c r="R754" t="s">
        <v>4</v>
      </c>
      <c r="S754" t="s">
        <v>39</v>
      </c>
    </row>
    <row r="755" spans="1:19" ht="14.4" customHeight="1" x14ac:dyDescent="0.3">
      <c r="A755" s="2" t="s">
        <v>141</v>
      </c>
      <c r="B755" s="4" t="s">
        <v>382</v>
      </c>
      <c r="C755" s="5" t="s">
        <v>42</v>
      </c>
      <c r="D755" t="s">
        <v>564</v>
      </c>
      <c r="G755">
        <v>10</v>
      </c>
      <c r="H755" t="s">
        <v>514</v>
      </c>
      <c r="K755">
        <v>1.1354123817359101</v>
      </c>
      <c r="L755" t="s">
        <v>458</v>
      </c>
      <c r="M755" t="s">
        <v>535</v>
      </c>
      <c r="Q755" t="s">
        <v>468</v>
      </c>
      <c r="R755" t="s">
        <v>4</v>
      </c>
      <c r="S755" t="s">
        <v>39</v>
      </c>
    </row>
    <row r="756" spans="1:19" ht="14.4" customHeight="1" x14ac:dyDescent="0.3">
      <c r="A756" s="2" t="s">
        <v>141</v>
      </c>
      <c r="B756" s="4" t="s">
        <v>382</v>
      </c>
      <c r="C756" s="5" t="s">
        <v>42</v>
      </c>
      <c r="D756" t="s">
        <v>564</v>
      </c>
      <c r="G756">
        <v>14</v>
      </c>
      <c r="H756" t="s">
        <v>514</v>
      </c>
      <c r="K756">
        <v>0.73751115763683195</v>
      </c>
      <c r="L756" t="s">
        <v>458</v>
      </c>
      <c r="M756" t="s">
        <v>535</v>
      </c>
      <c r="Q756" t="s">
        <v>468</v>
      </c>
      <c r="R756" t="s">
        <v>4</v>
      </c>
      <c r="S756" t="s">
        <v>39</v>
      </c>
    </row>
    <row r="757" spans="1:19" ht="14.4" customHeight="1" x14ac:dyDescent="0.3">
      <c r="A757" s="2" t="s">
        <v>141</v>
      </c>
      <c r="B757" s="4" t="s">
        <v>382</v>
      </c>
      <c r="C757" s="5" t="s">
        <v>42</v>
      </c>
      <c r="D757" t="s">
        <v>564</v>
      </c>
      <c r="G757">
        <v>26</v>
      </c>
      <c r="H757" t="s">
        <v>514</v>
      </c>
      <c r="K757">
        <v>0.338006941928507</v>
      </c>
      <c r="L757" t="s">
        <v>458</v>
      </c>
      <c r="M757" t="s">
        <v>535</v>
      </c>
      <c r="Q757" t="s">
        <v>468</v>
      </c>
      <c r="R757" t="s">
        <v>4</v>
      </c>
      <c r="S757" t="s">
        <v>39</v>
      </c>
    </row>
    <row r="758" spans="1:19" ht="14.4" customHeight="1" x14ac:dyDescent="0.3">
      <c r="A758" s="2" t="s">
        <v>141</v>
      </c>
      <c r="B758" s="4" t="s">
        <v>382</v>
      </c>
      <c r="C758" s="5" t="s">
        <v>42</v>
      </c>
      <c r="D758" t="s">
        <v>564</v>
      </c>
      <c r="G758">
        <v>50</v>
      </c>
      <c r="H758" t="s">
        <v>514</v>
      </c>
      <c r="K758">
        <v>5.9821803801062799E-2</v>
      </c>
      <c r="L758" t="s">
        <v>458</v>
      </c>
      <c r="M758" t="s">
        <v>535</v>
      </c>
      <c r="Q758" t="s">
        <v>468</v>
      </c>
      <c r="R758" t="s">
        <v>4</v>
      </c>
      <c r="S758" t="s">
        <v>39</v>
      </c>
    </row>
    <row r="759" spans="1:19" ht="14.4" customHeight="1" x14ac:dyDescent="0.3">
      <c r="A759" s="2" t="s">
        <v>141</v>
      </c>
      <c r="B759" s="4" t="s">
        <v>382</v>
      </c>
      <c r="C759" s="5" t="s">
        <v>42</v>
      </c>
      <c r="D759" t="s">
        <v>564</v>
      </c>
      <c r="G759">
        <v>74</v>
      </c>
      <c r="H759" t="s">
        <v>514</v>
      </c>
      <c r="K759">
        <v>1.7364785438723399E-2</v>
      </c>
      <c r="L759" t="s">
        <v>458</v>
      </c>
      <c r="M759" t="s">
        <v>535</v>
      </c>
      <c r="Q759" t="s">
        <v>468</v>
      </c>
      <c r="R759" t="s">
        <v>4</v>
      </c>
      <c r="S759" t="s">
        <v>39</v>
      </c>
    </row>
    <row r="760" spans="1:19" ht="14.4" customHeight="1" x14ac:dyDescent="0.3">
      <c r="A760" s="2" t="s">
        <v>142</v>
      </c>
      <c r="B760" s="4" t="s">
        <v>382</v>
      </c>
      <c r="C760" s="5" t="s">
        <v>42</v>
      </c>
      <c r="D760" t="s">
        <v>564</v>
      </c>
      <c r="G760">
        <v>0.25</v>
      </c>
      <c r="H760" t="s">
        <v>514</v>
      </c>
      <c r="K760">
        <v>1.06720485396955</v>
      </c>
      <c r="L760" t="s">
        <v>458</v>
      </c>
      <c r="M760" t="s">
        <v>535</v>
      </c>
      <c r="Q760" t="s">
        <v>468</v>
      </c>
      <c r="R760" t="s">
        <v>4</v>
      </c>
      <c r="S760" t="s">
        <v>39</v>
      </c>
    </row>
    <row r="761" spans="1:19" ht="14.4" customHeight="1" x14ac:dyDescent="0.3">
      <c r="A761" s="2" t="s">
        <v>142</v>
      </c>
      <c r="B761" s="4" t="s">
        <v>382</v>
      </c>
      <c r="C761" s="5" t="s">
        <v>42</v>
      </c>
      <c r="D761" t="s">
        <v>564</v>
      </c>
      <c r="G761">
        <v>0.5</v>
      </c>
      <c r="H761" t="s">
        <v>514</v>
      </c>
      <c r="K761">
        <v>2.1344097079391098</v>
      </c>
      <c r="L761" t="s">
        <v>458</v>
      </c>
      <c r="M761" t="s">
        <v>535</v>
      </c>
      <c r="Q761" t="s">
        <v>468</v>
      </c>
      <c r="R761" t="s">
        <v>4</v>
      </c>
      <c r="S761" t="s">
        <v>39</v>
      </c>
    </row>
    <row r="762" spans="1:19" ht="14.4" customHeight="1" x14ac:dyDescent="0.3">
      <c r="A762" s="2" t="s">
        <v>142</v>
      </c>
      <c r="B762" s="4" t="s">
        <v>382</v>
      </c>
      <c r="C762" s="5" t="s">
        <v>42</v>
      </c>
      <c r="D762" t="s">
        <v>564</v>
      </c>
      <c r="G762">
        <v>1</v>
      </c>
      <c r="H762" t="s">
        <v>514</v>
      </c>
      <c r="K762">
        <v>4.0236271081859298</v>
      </c>
      <c r="L762" t="s">
        <v>458</v>
      </c>
      <c r="M762" t="s">
        <v>535</v>
      </c>
      <c r="Q762" t="s">
        <v>468</v>
      </c>
      <c r="R762" t="s">
        <v>4</v>
      </c>
      <c r="S762" t="s">
        <v>39</v>
      </c>
    </row>
    <row r="763" spans="1:19" ht="14.4" customHeight="1" x14ac:dyDescent="0.3">
      <c r="A763" s="2" t="s">
        <v>142</v>
      </c>
      <c r="B763" s="4" t="s">
        <v>382</v>
      </c>
      <c r="C763" s="5" t="s">
        <v>42</v>
      </c>
      <c r="D763" t="s">
        <v>564</v>
      </c>
      <c r="G763">
        <v>2</v>
      </c>
      <c r="H763" t="s">
        <v>514</v>
      </c>
      <c r="K763">
        <v>3.8357671740024601</v>
      </c>
      <c r="L763" t="s">
        <v>458</v>
      </c>
      <c r="M763" t="s">
        <v>535</v>
      </c>
      <c r="Q763" t="s">
        <v>468</v>
      </c>
      <c r="R763" t="s">
        <v>4</v>
      </c>
      <c r="S763" t="s">
        <v>39</v>
      </c>
    </row>
    <row r="764" spans="1:19" ht="14.4" customHeight="1" x14ac:dyDescent="0.3">
      <c r="A764" s="2" t="s">
        <v>142</v>
      </c>
      <c r="B764" s="4" t="s">
        <v>382</v>
      </c>
      <c r="C764" s="5" t="s">
        <v>42</v>
      </c>
      <c r="D764" t="s">
        <v>564</v>
      </c>
      <c r="G764">
        <v>3</v>
      </c>
      <c r="H764" t="s">
        <v>514</v>
      </c>
      <c r="K764">
        <v>3.4459327437268601</v>
      </c>
      <c r="L764" t="s">
        <v>458</v>
      </c>
      <c r="M764" t="s">
        <v>535</v>
      </c>
      <c r="Q764" t="s">
        <v>468</v>
      </c>
      <c r="R764" t="s">
        <v>4</v>
      </c>
      <c r="S764" t="s">
        <v>39</v>
      </c>
    </row>
    <row r="765" spans="1:19" ht="14.4" customHeight="1" x14ac:dyDescent="0.3">
      <c r="A765" s="2" t="s">
        <v>142</v>
      </c>
      <c r="B765" s="4" t="s">
        <v>382</v>
      </c>
      <c r="C765" s="5" t="s">
        <v>42</v>
      </c>
      <c r="D765" t="s">
        <v>564</v>
      </c>
      <c r="G765">
        <v>4</v>
      </c>
      <c r="H765" t="s">
        <v>514</v>
      </c>
      <c r="K765">
        <v>3.2435983134512498</v>
      </c>
      <c r="L765" t="s">
        <v>458</v>
      </c>
      <c r="M765" t="s">
        <v>535</v>
      </c>
      <c r="Q765" t="s">
        <v>468</v>
      </c>
      <c r="R765" t="s">
        <v>4</v>
      </c>
      <c r="S765" t="s">
        <v>39</v>
      </c>
    </row>
    <row r="766" spans="1:19" ht="14.4" customHeight="1" x14ac:dyDescent="0.3">
      <c r="A766" s="2" t="s">
        <v>142</v>
      </c>
      <c r="B766" s="4" t="s">
        <v>382</v>
      </c>
      <c r="C766" s="5" t="s">
        <v>42</v>
      </c>
      <c r="D766" t="s">
        <v>564</v>
      </c>
      <c r="G766">
        <v>5</v>
      </c>
      <c r="H766" t="s">
        <v>514</v>
      </c>
      <c r="K766">
        <v>2.9979946524064101</v>
      </c>
      <c r="L766" t="s">
        <v>458</v>
      </c>
      <c r="M766" t="s">
        <v>535</v>
      </c>
      <c r="Q766" t="s">
        <v>468</v>
      </c>
      <c r="R766" t="s">
        <v>4</v>
      </c>
      <c r="S766" t="s">
        <v>39</v>
      </c>
    </row>
    <row r="767" spans="1:19" ht="14.4" customHeight="1" x14ac:dyDescent="0.3">
      <c r="A767" s="2" t="s">
        <v>142</v>
      </c>
      <c r="B767" s="4" t="s">
        <v>382</v>
      </c>
      <c r="C767" s="5" t="s">
        <v>42</v>
      </c>
      <c r="D767" t="s">
        <v>564</v>
      </c>
      <c r="G767">
        <v>7</v>
      </c>
      <c r="H767" t="s">
        <v>514</v>
      </c>
      <c r="K767">
        <v>2.3626079802550302</v>
      </c>
      <c r="L767" t="s">
        <v>458</v>
      </c>
      <c r="M767" t="s">
        <v>535</v>
      </c>
      <c r="Q767" t="s">
        <v>468</v>
      </c>
      <c r="R767" t="s">
        <v>4</v>
      </c>
      <c r="S767" t="s">
        <v>39</v>
      </c>
    </row>
    <row r="768" spans="1:19" ht="14.4" customHeight="1" x14ac:dyDescent="0.3">
      <c r="A768" s="2" t="s">
        <v>142</v>
      </c>
      <c r="B768" s="4" t="s">
        <v>382</v>
      </c>
      <c r="C768" s="5" t="s">
        <v>42</v>
      </c>
      <c r="D768" t="s">
        <v>564</v>
      </c>
      <c r="G768">
        <v>9</v>
      </c>
      <c r="H768" t="s">
        <v>514</v>
      </c>
      <c r="K768">
        <v>1.9435160427807401</v>
      </c>
      <c r="L768" t="s">
        <v>458</v>
      </c>
      <c r="M768" t="s">
        <v>535</v>
      </c>
      <c r="Q768" t="s">
        <v>468</v>
      </c>
      <c r="R768" t="s">
        <v>4</v>
      </c>
      <c r="S768" t="s">
        <v>39</v>
      </c>
    </row>
    <row r="769" spans="1:19" ht="14.4" customHeight="1" x14ac:dyDescent="0.3">
      <c r="A769" s="2" t="s">
        <v>142</v>
      </c>
      <c r="B769" s="4" t="s">
        <v>382</v>
      </c>
      <c r="C769" s="5" t="s">
        <v>42</v>
      </c>
      <c r="D769" t="s">
        <v>564</v>
      </c>
      <c r="G769">
        <v>13</v>
      </c>
      <c r="H769" t="s">
        <v>514</v>
      </c>
      <c r="K769">
        <v>1.36499897161661</v>
      </c>
      <c r="L769" t="s">
        <v>458</v>
      </c>
      <c r="M769" t="s">
        <v>535</v>
      </c>
      <c r="Q769" t="s">
        <v>468</v>
      </c>
      <c r="R769" t="s">
        <v>4</v>
      </c>
      <c r="S769" t="s">
        <v>39</v>
      </c>
    </row>
    <row r="770" spans="1:19" ht="14.4" customHeight="1" x14ac:dyDescent="0.3">
      <c r="A770" s="2" t="s">
        <v>142</v>
      </c>
      <c r="B770" s="4" t="s">
        <v>382</v>
      </c>
      <c r="C770" s="5" t="s">
        <v>42</v>
      </c>
      <c r="D770" t="s">
        <v>564</v>
      </c>
      <c r="G770">
        <v>25</v>
      </c>
      <c r="H770" t="s">
        <v>514</v>
      </c>
      <c r="K770">
        <v>0.63336329683339398</v>
      </c>
      <c r="L770" t="s">
        <v>458</v>
      </c>
      <c r="M770" t="s">
        <v>535</v>
      </c>
      <c r="Q770" t="s">
        <v>468</v>
      </c>
      <c r="R770" t="s">
        <v>4</v>
      </c>
      <c r="S770" t="s">
        <v>39</v>
      </c>
    </row>
    <row r="771" spans="1:19" ht="14.4" customHeight="1" x14ac:dyDescent="0.3">
      <c r="A771" s="2" t="s">
        <v>143</v>
      </c>
      <c r="B771" s="4" t="s">
        <v>383</v>
      </c>
      <c r="C771" s="5" t="s">
        <v>42</v>
      </c>
      <c r="D771" t="s">
        <v>564</v>
      </c>
      <c r="G771">
        <v>0.25</v>
      </c>
      <c r="H771" t="s">
        <v>514</v>
      </c>
      <c r="K771">
        <v>0.892099350423048</v>
      </c>
      <c r="L771" t="s">
        <v>458</v>
      </c>
      <c r="M771" t="s">
        <v>535</v>
      </c>
      <c r="Q771" t="s">
        <v>468</v>
      </c>
      <c r="R771" t="s">
        <v>4</v>
      </c>
      <c r="S771" t="s">
        <v>39</v>
      </c>
    </row>
    <row r="772" spans="1:19" ht="14.4" customHeight="1" x14ac:dyDescent="0.3">
      <c r="A772" s="2" t="s">
        <v>143</v>
      </c>
      <c r="B772" s="4" t="s">
        <v>383</v>
      </c>
      <c r="C772" s="5" t="s">
        <v>42</v>
      </c>
      <c r="D772" t="s">
        <v>564</v>
      </c>
      <c r="G772">
        <v>0.5</v>
      </c>
      <c r="H772" t="s">
        <v>514</v>
      </c>
      <c r="K772">
        <v>1.8892174002468101</v>
      </c>
      <c r="L772" t="s">
        <v>458</v>
      </c>
      <c r="M772" t="s">
        <v>535</v>
      </c>
      <c r="Q772" t="s">
        <v>468</v>
      </c>
      <c r="R772" t="s">
        <v>4</v>
      </c>
      <c r="S772" t="s">
        <v>39</v>
      </c>
    </row>
    <row r="773" spans="1:19" ht="14.4" customHeight="1" x14ac:dyDescent="0.3">
      <c r="A773" s="2" t="s">
        <v>143</v>
      </c>
      <c r="B773" s="4" t="s">
        <v>383</v>
      </c>
      <c r="C773" s="5" t="s">
        <v>42</v>
      </c>
      <c r="D773" t="s">
        <v>564</v>
      </c>
      <c r="F773" s="22"/>
      <c r="G773">
        <v>1</v>
      </c>
      <c r="H773" t="s">
        <v>514</v>
      </c>
      <c r="K773" s="23">
        <v>3.4467040312628501</v>
      </c>
      <c r="L773" t="s">
        <v>458</v>
      </c>
      <c r="M773" t="s">
        <v>535</v>
      </c>
      <c r="Q773" t="s">
        <v>468</v>
      </c>
      <c r="R773" t="s">
        <v>4</v>
      </c>
      <c r="S773" t="s">
        <v>39</v>
      </c>
    </row>
    <row r="774" spans="1:19" ht="14.4" customHeight="1" x14ac:dyDescent="0.3">
      <c r="A774" s="2" t="s">
        <v>143</v>
      </c>
      <c r="B774" s="4" t="s">
        <v>383</v>
      </c>
      <c r="C774" s="5" t="s">
        <v>42</v>
      </c>
      <c r="D774" t="s">
        <v>564</v>
      </c>
      <c r="F774" s="22"/>
      <c r="G774">
        <v>1.5</v>
      </c>
      <c r="H774" t="s">
        <v>514</v>
      </c>
      <c r="K774" s="23">
        <v>4.25424208144796</v>
      </c>
      <c r="L774" t="s">
        <v>458</v>
      </c>
      <c r="M774" t="s">
        <v>535</v>
      </c>
      <c r="Q774" t="s">
        <v>468</v>
      </c>
      <c r="R774" t="s">
        <v>4</v>
      </c>
      <c r="S774" t="s">
        <v>39</v>
      </c>
    </row>
    <row r="775" spans="1:19" ht="14.4" customHeight="1" x14ac:dyDescent="0.3">
      <c r="A775" s="2" t="s">
        <v>143</v>
      </c>
      <c r="B775" s="4" t="s">
        <v>383</v>
      </c>
      <c r="C775" s="5" t="s">
        <v>42</v>
      </c>
      <c r="D775" t="s">
        <v>564</v>
      </c>
      <c r="F775" s="22"/>
      <c r="G775">
        <v>2</v>
      </c>
      <c r="H775" t="s">
        <v>514</v>
      </c>
      <c r="K775" s="23">
        <v>4.7875874125874098</v>
      </c>
      <c r="L775" t="s">
        <v>458</v>
      </c>
      <c r="M775" t="s">
        <v>535</v>
      </c>
      <c r="Q775" t="s">
        <v>468</v>
      </c>
      <c r="R775" t="s">
        <v>4</v>
      </c>
      <c r="S775" t="s">
        <v>39</v>
      </c>
    </row>
    <row r="776" spans="1:19" ht="14.4" customHeight="1" x14ac:dyDescent="0.3">
      <c r="A776" s="2" t="s">
        <v>143</v>
      </c>
      <c r="B776" s="4" t="s">
        <v>383</v>
      </c>
      <c r="C776" s="5" t="s">
        <v>42</v>
      </c>
      <c r="D776" t="s">
        <v>564</v>
      </c>
      <c r="F776" s="22"/>
      <c r="G776">
        <v>2.5</v>
      </c>
      <c r="H776" t="s">
        <v>514</v>
      </c>
      <c r="K776" s="23">
        <v>4.6143562320032903</v>
      </c>
      <c r="L776" t="s">
        <v>458</v>
      </c>
      <c r="M776" t="s">
        <v>535</v>
      </c>
      <c r="Q776" t="s">
        <v>468</v>
      </c>
      <c r="R776" t="s">
        <v>4</v>
      </c>
      <c r="S776" t="s">
        <v>39</v>
      </c>
    </row>
    <row r="777" spans="1:19" ht="14.4" customHeight="1" x14ac:dyDescent="0.3">
      <c r="A777" s="2" t="s">
        <v>143</v>
      </c>
      <c r="B777" s="4" t="s">
        <v>383</v>
      </c>
      <c r="C777" s="5" t="s">
        <v>42</v>
      </c>
      <c r="D777" t="s">
        <v>564</v>
      </c>
      <c r="F777" s="22"/>
      <c r="G777">
        <v>3</v>
      </c>
      <c r="H777" t="s">
        <v>514</v>
      </c>
      <c r="K777" s="23">
        <v>4.3978558206499301</v>
      </c>
      <c r="L777" t="s">
        <v>458</v>
      </c>
      <c r="M777" t="s">
        <v>535</v>
      </c>
      <c r="Q777" t="s">
        <v>468</v>
      </c>
      <c r="R777" t="s">
        <v>4</v>
      </c>
      <c r="S777" t="s">
        <v>39</v>
      </c>
    </row>
    <row r="778" spans="1:19" ht="14.4" customHeight="1" x14ac:dyDescent="0.3">
      <c r="A778" s="2" t="s">
        <v>143</v>
      </c>
      <c r="B778" s="4" t="s">
        <v>383</v>
      </c>
      <c r="C778" s="5" t="s">
        <v>42</v>
      </c>
      <c r="D778" t="s">
        <v>564</v>
      </c>
      <c r="F778" s="22"/>
      <c r="G778">
        <v>4</v>
      </c>
      <c r="H778" t="s">
        <v>514</v>
      </c>
      <c r="K778" s="23">
        <v>3.7195598519127899</v>
      </c>
      <c r="L778" t="s">
        <v>458</v>
      </c>
      <c r="M778" t="s">
        <v>535</v>
      </c>
      <c r="Q778" t="s">
        <v>468</v>
      </c>
      <c r="R778" t="s">
        <v>4</v>
      </c>
      <c r="S778" t="s">
        <v>39</v>
      </c>
    </row>
    <row r="779" spans="1:19" ht="14.4" customHeight="1" x14ac:dyDescent="0.3">
      <c r="A779" s="2" t="s">
        <v>143</v>
      </c>
      <c r="B779" s="4" t="s">
        <v>383</v>
      </c>
      <c r="C779" s="5" t="s">
        <v>42</v>
      </c>
      <c r="D779" t="s">
        <v>564</v>
      </c>
      <c r="F779" s="22"/>
      <c r="G779">
        <v>5</v>
      </c>
      <c r="H779" t="s">
        <v>514</v>
      </c>
      <c r="K779" s="23">
        <v>3.5316484985602599</v>
      </c>
      <c r="L779" t="s">
        <v>458</v>
      </c>
      <c r="M779" t="s">
        <v>535</v>
      </c>
      <c r="Q779" t="s">
        <v>468</v>
      </c>
      <c r="R779" t="s">
        <v>4</v>
      </c>
      <c r="S779" t="s">
        <v>39</v>
      </c>
    </row>
    <row r="780" spans="1:19" ht="14.4" customHeight="1" x14ac:dyDescent="0.3">
      <c r="A780" s="2" t="s">
        <v>143</v>
      </c>
      <c r="B780" s="4" t="s">
        <v>383</v>
      </c>
      <c r="C780" s="5" t="s">
        <v>42</v>
      </c>
      <c r="D780" t="s">
        <v>564</v>
      </c>
      <c r="F780" s="22"/>
      <c r="G780">
        <v>6</v>
      </c>
      <c r="H780" t="s">
        <v>514</v>
      </c>
      <c r="K780" s="23">
        <v>3.17066022213081</v>
      </c>
      <c r="L780" t="s">
        <v>458</v>
      </c>
      <c r="M780" t="s">
        <v>535</v>
      </c>
      <c r="Q780" t="s">
        <v>468</v>
      </c>
      <c r="R780" t="s">
        <v>4</v>
      </c>
      <c r="S780" t="s">
        <v>39</v>
      </c>
    </row>
    <row r="781" spans="1:19" ht="14.4" customHeight="1" x14ac:dyDescent="0.3">
      <c r="A781" s="2" t="s">
        <v>143</v>
      </c>
      <c r="B781" s="4" t="s">
        <v>383</v>
      </c>
      <c r="C781" s="5" t="s">
        <v>42</v>
      </c>
      <c r="D781" t="s">
        <v>564</v>
      </c>
      <c r="F781" s="22"/>
      <c r="G781">
        <v>8</v>
      </c>
      <c r="H781" t="s">
        <v>514</v>
      </c>
      <c r="K781" s="23">
        <v>2.4487350884409702</v>
      </c>
      <c r="L781" t="s">
        <v>458</v>
      </c>
      <c r="M781" t="s">
        <v>535</v>
      </c>
      <c r="Q781" t="s">
        <v>468</v>
      </c>
      <c r="R781" t="s">
        <v>4</v>
      </c>
      <c r="S781" t="s">
        <v>39</v>
      </c>
    </row>
    <row r="782" spans="1:19" ht="14.4" customHeight="1" x14ac:dyDescent="0.3">
      <c r="A782" s="2" t="s">
        <v>143</v>
      </c>
      <c r="B782" s="4" t="s">
        <v>383</v>
      </c>
      <c r="C782" s="5" t="s">
        <v>42</v>
      </c>
      <c r="D782" t="s">
        <v>564</v>
      </c>
      <c r="F782" s="22"/>
      <c r="G782">
        <v>10</v>
      </c>
      <c r="H782" t="s">
        <v>514</v>
      </c>
      <c r="K782" s="23">
        <v>2.0729123817359101</v>
      </c>
      <c r="L782" t="s">
        <v>458</v>
      </c>
      <c r="M782" t="s">
        <v>535</v>
      </c>
      <c r="Q782" t="s">
        <v>468</v>
      </c>
      <c r="R782" t="s">
        <v>4</v>
      </c>
      <c r="S782" t="s">
        <v>39</v>
      </c>
    </row>
    <row r="783" spans="1:19" ht="14.4" customHeight="1" x14ac:dyDescent="0.3">
      <c r="A783" s="2" t="s">
        <v>143</v>
      </c>
      <c r="B783" s="4" t="s">
        <v>383</v>
      </c>
      <c r="C783" s="5" t="s">
        <v>42</v>
      </c>
      <c r="D783" t="s">
        <v>564</v>
      </c>
      <c r="F783" s="22"/>
      <c r="G783">
        <v>14</v>
      </c>
      <c r="H783" t="s">
        <v>514</v>
      </c>
      <c r="K783" s="23">
        <v>1.3790106951871599</v>
      </c>
      <c r="L783" t="s">
        <v>458</v>
      </c>
      <c r="M783" t="s">
        <v>535</v>
      </c>
      <c r="Q783" t="s">
        <v>468</v>
      </c>
      <c r="R783" t="s">
        <v>4</v>
      </c>
      <c r="S783" t="s">
        <v>39</v>
      </c>
    </row>
    <row r="784" spans="1:19" ht="14.4" customHeight="1" x14ac:dyDescent="0.3">
      <c r="A784" s="2" t="s">
        <v>143</v>
      </c>
      <c r="B784" s="4" t="s">
        <v>383</v>
      </c>
      <c r="C784" s="5" t="s">
        <v>42</v>
      </c>
      <c r="D784" t="s">
        <v>564</v>
      </c>
      <c r="G784">
        <v>26</v>
      </c>
      <c r="H784" t="s">
        <v>514</v>
      </c>
      <c r="K784">
        <v>0.52361040060253905</v>
      </c>
      <c r="L784" t="s">
        <v>458</v>
      </c>
      <c r="M784" t="s">
        <v>535</v>
      </c>
      <c r="Q784" t="s">
        <v>468</v>
      </c>
      <c r="R784" t="s">
        <v>4</v>
      </c>
      <c r="S784" t="s">
        <v>39</v>
      </c>
    </row>
    <row r="785" spans="1:19" ht="14.4" customHeight="1" x14ac:dyDescent="0.3">
      <c r="A785" s="2" t="s">
        <v>143</v>
      </c>
      <c r="B785" s="4" t="s">
        <v>383</v>
      </c>
      <c r="C785" s="5" t="s">
        <v>42</v>
      </c>
      <c r="D785" t="s">
        <v>564</v>
      </c>
      <c r="G785">
        <v>50</v>
      </c>
      <c r="H785" t="s">
        <v>514</v>
      </c>
      <c r="K785">
        <v>9.8115029143994295E-2</v>
      </c>
      <c r="L785" t="s">
        <v>458</v>
      </c>
      <c r="M785" t="s">
        <v>535</v>
      </c>
      <c r="Q785" t="s">
        <v>468</v>
      </c>
      <c r="R785" t="s">
        <v>4</v>
      </c>
      <c r="S785" t="s">
        <v>39</v>
      </c>
    </row>
    <row r="786" spans="1:19" ht="14.4" customHeight="1" x14ac:dyDescent="0.3">
      <c r="A786" s="2" t="s">
        <v>143</v>
      </c>
      <c r="B786" s="4" t="s">
        <v>383</v>
      </c>
      <c r="C786" s="5" t="s">
        <v>42</v>
      </c>
      <c r="D786" t="s">
        <v>564</v>
      </c>
      <c r="G786">
        <v>74</v>
      </c>
      <c r="H786" t="s">
        <v>514</v>
      </c>
      <c r="K786">
        <v>3.0153577333290198E-2</v>
      </c>
      <c r="L786" t="s">
        <v>458</v>
      </c>
      <c r="M786" t="s">
        <v>535</v>
      </c>
      <c r="Q786" t="s">
        <v>468</v>
      </c>
      <c r="R786" t="s">
        <v>4</v>
      </c>
      <c r="S786" t="s">
        <v>39</v>
      </c>
    </row>
    <row r="787" spans="1:19" ht="14.4" customHeight="1" x14ac:dyDescent="0.3">
      <c r="A787" s="2" t="s">
        <v>144</v>
      </c>
      <c r="B787" s="4" t="s">
        <v>384</v>
      </c>
      <c r="C787" s="5" t="s">
        <v>42</v>
      </c>
      <c r="D787" t="s">
        <v>565</v>
      </c>
      <c r="F787" s="22"/>
      <c r="G787">
        <v>0.25</v>
      </c>
      <c r="H787" t="s">
        <v>514</v>
      </c>
      <c r="K787" s="23">
        <v>0.61540122226650396</v>
      </c>
      <c r="L787" t="s">
        <v>458</v>
      </c>
      <c r="M787" t="s">
        <v>535</v>
      </c>
      <c r="Q787" t="s">
        <v>468</v>
      </c>
      <c r="R787" t="s">
        <v>4</v>
      </c>
      <c r="S787" t="s">
        <v>39</v>
      </c>
    </row>
    <row r="788" spans="1:19" ht="14.4" customHeight="1" x14ac:dyDescent="0.3">
      <c r="A788" s="2" t="s">
        <v>144</v>
      </c>
      <c r="B788" s="4" t="s">
        <v>384</v>
      </c>
      <c r="C788" s="5" t="s">
        <v>42</v>
      </c>
      <c r="D788" t="s">
        <v>565</v>
      </c>
      <c r="F788" s="22"/>
      <c r="G788">
        <v>0.5</v>
      </c>
      <c r="H788" t="s">
        <v>514</v>
      </c>
      <c r="K788">
        <v>1.2404178291484</v>
      </c>
      <c r="L788" t="s">
        <v>458</v>
      </c>
      <c r="M788" t="s">
        <v>535</v>
      </c>
      <c r="Q788" t="s">
        <v>468</v>
      </c>
      <c r="R788" t="s">
        <v>4</v>
      </c>
      <c r="S788" t="s">
        <v>39</v>
      </c>
    </row>
    <row r="789" spans="1:19" ht="14.4" customHeight="1" x14ac:dyDescent="0.3">
      <c r="A789" s="2" t="s">
        <v>144</v>
      </c>
      <c r="B789" s="4" t="s">
        <v>384</v>
      </c>
      <c r="C789" s="5" t="s">
        <v>42</v>
      </c>
      <c r="D789" t="s">
        <v>565</v>
      </c>
      <c r="G789">
        <v>1</v>
      </c>
      <c r="H789" t="s">
        <v>514</v>
      </c>
      <c r="K789">
        <v>2.3077587352198701</v>
      </c>
      <c r="L789" t="s">
        <v>458</v>
      </c>
      <c r="M789" t="s">
        <v>535</v>
      </c>
      <c r="Q789" t="s">
        <v>468</v>
      </c>
      <c r="R789" t="s">
        <v>4</v>
      </c>
      <c r="S789" t="s">
        <v>39</v>
      </c>
    </row>
    <row r="790" spans="1:19" ht="14.4" customHeight="1" x14ac:dyDescent="0.3">
      <c r="A790" s="2" t="s">
        <v>144</v>
      </c>
      <c r="B790" s="4" t="s">
        <v>384</v>
      </c>
      <c r="C790" s="5" t="s">
        <v>42</v>
      </c>
      <c r="D790" t="s">
        <v>565</v>
      </c>
      <c r="G790">
        <v>1.5</v>
      </c>
      <c r="H790" t="s">
        <v>514</v>
      </c>
      <c r="K790">
        <v>2.25008303440945</v>
      </c>
      <c r="L790" t="s">
        <v>458</v>
      </c>
      <c r="M790" t="s">
        <v>535</v>
      </c>
      <c r="Q790" t="s">
        <v>468</v>
      </c>
      <c r="R790" t="s">
        <v>4</v>
      </c>
      <c r="S790" t="s">
        <v>39</v>
      </c>
    </row>
    <row r="791" spans="1:19" ht="14.4" customHeight="1" x14ac:dyDescent="0.3">
      <c r="A791" s="2" t="s">
        <v>144</v>
      </c>
      <c r="B791" s="4" t="s">
        <v>384</v>
      </c>
      <c r="C791" s="5" t="s">
        <v>42</v>
      </c>
      <c r="D791" t="s">
        <v>565</v>
      </c>
      <c r="G791">
        <v>2</v>
      </c>
      <c r="H791" t="s">
        <v>514</v>
      </c>
      <c r="K791">
        <v>2.0097316327886201</v>
      </c>
      <c r="L791" t="s">
        <v>458</v>
      </c>
      <c r="M791" t="s">
        <v>535</v>
      </c>
      <c r="Q791" t="s">
        <v>468</v>
      </c>
      <c r="R791" t="s">
        <v>4</v>
      </c>
      <c r="S791" t="s">
        <v>39</v>
      </c>
    </row>
    <row r="792" spans="1:19" ht="14.4" customHeight="1" x14ac:dyDescent="0.3">
      <c r="A792" s="2" t="s">
        <v>144</v>
      </c>
      <c r="B792" s="4" t="s">
        <v>384</v>
      </c>
      <c r="C792" s="5" t="s">
        <v>42</v>
      </c>
      <c r="D792" t="s">
        <v>565</v>
      </c>
      <c r="G792">
        <v>3</v>
      </c>
      <c r="H792" t="s">
        <v>514</v>
      </c>
      <c r="K792">
        <v>1.86556729108542</v>
      </c>
      <c r="L792" t="s">
        <v>458</v>
      </c>
      <c r="M792" t="s">
        <v>535</v>
      </c>
      <c r="Q792" t="s">
        <v>468</v>
      </c>
      <c r="R792" t="s">
        <v>4</v>
      </c>
      <c r="S792" t="s">
        <v>39</v>
      </c>
    </row>
    <row r="793" spans="1:19" ht="14.4" customHeight="1" x14ac:dyDescent="0.3">
      <c r="A793" s="2" t="s">
        <v>144</v>
      </c>
      <c r="B793" s="4" t="s">
        <v>384</v>
      </c>
      <c r="C793" s="5" t="s">
        <v>42</v>
      </c>
      <c r="D793" t="s">
        <v>565</v>
      </c>
      <c r="G793">
        <v>4</v>
      </c>
      <c r="H793" t="s">
        <v>514</v>
      </c>
      <c r="K793">
        <v>1.7021555732695599</v>
      </c>
      <c r="L793" t="s">
        <v>458</v>
      </c>
      <c r="M793" t="s">
        <v>535</v>
      </c>
      <c r="Q793" t="s">
        <v>468</v>
      </c>
      <c r="R793" t="s">
        <v>4</v>
      </c>
      <c r="S793" t="s">
        <v>39</v>
      </c>
    </row>
    <row r="794" spans="1:19" ht="14.4" customHeight="1" x14ac:dyDescent="0.3">
      <c r="A794" s="2" t="s">
        <v>144</v>
      </c>
      <c r="B794" s="4" t="s">
        <v>384</v>
      </c>
      <c r="C794" s="5" t="s">
        <v>42</v>
      </c>
      <c r="D794" t="s">
        <v>565</v>
      </c>
      <c r="G794">
        <v>5</v>
      </c>
      <c r="H794" t="s">
        <v>514</v>
      </c>
      <c r="K794">
        <v>1.52914507772021</v>
      </c>
      <c r="L794" t="s">
        <v>458</v>
      </c>
      <c r="M794" t="s">
        <v>535</v>
      </c>
      <c r="Q794" t="s">
        <v>468</v>
      </c>
      <c r="R794" t="s">
        <v>4</v>
      </c>
      <c r="S794" t="s">
        <v>39</v>
      </c>
    </row>
    <row r="795" spans="1:19" ht="14.4" customHeight="1" x14ac:dyDescent="0.3">
      <c r="A795" s="2" t="s">
        <v>144</v>
      </c>
      <c r="B795" s="4" t="s">
        <v>384</v>
      </c>
      <c r="C795" s="5" t="s">
        <v>42</v>
      </c>
      <c r="D795" t="s">
        <v>565</v>
      </c>
      <c r="G795">
        <v>7</v>
      </c>
      <c r="H795" t="s">
        <v>514</v>
      </c>
      <c r="K795">
        <v>1.19270625747309</v>
      </c>
      <c r="L795" t="s">
        <v>458</v>
      </c>
      <c r="M795" t="s">
        <v>535</v>
      </c>
      <c r="Q795" t="s">
        <v>468</v>
      </c>
      <c r="R795" t="s">
        <v>4</v>
      </c>
      <c r="S795" t="s">
        <v>39</v>
      </c>
    </row>
    <row r="796" spans="1:19" ht="14.4" customHeight="1" x14ac:dyDescent="0.3">
      <c r="A796" s="2" t="s">
        <v>144</v>
      </c>
      <c r="B796" s="4" t="s">
        <v>384</v>
      </c>
      <c r="C796" s="5" t="s">
        <v>42</v>
      </c>
      <c r="D796" t="s">
        <v>565</v>
      </c>
      <c r="G796">
        <v>9</v>
      </c>
      <c r="H796" t="s">
        <v>514</v>
      </c>
      <c r="K796">
        <v>0.99091603560515595</v>
      </c>
      <c r="L796" t="s">
        <v>458</v>
      </c>
      <c r="M796" t="s">
        <v>535</v>
      </c>
      <c r="Q796" t="s">
        <v>468</v>
      </c>
      <c r="R796" t="s">
        <v>4</v>
      </c>
      <c r="S796" t="s">
        <v>39</v>
      </c>
    </row>
    <row r="797" spans="1:19" ht="14.4" customHeight="1" x14ac:dyDescent="0.3">
      <c r="A797" s="2" t="s">
        <v>144</v>
      </c>
      <c r="B797" s="4" t="s">
        <v>384</v>
      </c>
      <c r="C797" s="5" t="s">
        <v>42</v>
      </c>
      <c r="D797" t="s">
        <v>565</v>
      </c>
      <c r="G797">
        <v>13</v>
      </c>
      <c r="H797" t="s">
        <v>514</v>
      </c>
      <c r="K797">
        <v>0.69339414529185905</v>
      </c>
      <c r="L797" t="s">
        <v>458</v>
      </c>
      <c r="M797" t="s">
        <v>535</v>
      </c>
      <c r="Q797" t="s">
        <v>468</v>
      </c>
      <c r="R797" t="s">
        <v>4</v>
      </c>
      <c r="S797" t="s">
        <v>39</v>
      </c>
    </row>
    <row r="798" spans="1:19" ht="14.4" customHeight="1" x14ac:dyDescent="0.3">
      <c r="A798" s="2" t="s">
        <v>144</v>
      </c>
      <c r="B798" s="4" t="s">
        <v>384</v>
      </c>
      <c r="C798" s="5" t="s">
        <v>42</v>
      </c>
      <c r="D798" t="s">
        <v>565</v>
      </c>
      <c r="G798">
        <v>25</v>
      </c>
      <c r="H798" t="s">
        <v>514</v>
      </c>
      <c r="K798">
        <v>0.31570733238994397</v>
      </c>
      <c r="L798" t="s">
        <v>458</v>
      </c>
      <c r="M798" t="s">
        <v>535</v>
      </c>
      <c r="Q798" t="s">
        <v>468</v>
      </c>
      <c r="R798" t="s">
        <v>4</v>
      </c>
      <c r="S798" t="s">
        <v>39</v>
      </c>
    </row>
    <row r="799" spans="1:19" ht="14.4" customHeight="1" x14ac:dyDescent="0.3">
      <c r="A799" s="2" t="s">
        <v>144</v>
      </c>
      <c r="B799" s="4" t="s">
        <v>384</v>
      </c>
      <c r="C799" s="5" t="s">
        <v>42</v>
      </c>
      <c r="D799" t="s">
        <v>565</v>
      </c>
      <c r="G799">
        <v>49</v>
      </c>
      <c r="H799" t="s">
        <v>514</v>
      </c>
      <c r="K799">
        <v>0.34440079629755899</v>
      </c>
      <c r="L799" t="s">
        <v>458</v>
      </c>
      <c r="M799" t="s">
        <v>535</v>
      </c>
      <c r="Q799" t="s">
        <v>468</v>
      </c>
      <c r="R799" t="s">
        <v>4</v>
      </c>
      <c r="S799" t="s">
        <v>39</v>
      </c>
    </row>
    <row r="800" spans="1:19" ht="14.4" customHeight="1" x14ac:dyDescent="0.3">
      <c r="A800" s="2" t="s">
        <v>144</v>
      </c>
      <c r="B800" s="4" t="s">
        <v>384</v>
      </c>
      <c r="C800" s="5" t="s">
        <v>42</v>
      </c>
      <c r="D800" t="s">
        <v>565</v>
      </c>
      <c r="G800">
        <v>73</v>
      </c>
      <c r="H800" t="s">
        <v>514</v>
      </c>
      <c r="K800">
        <v>0.33262178667939302</v>
      </c>
      <c r="L800" t="s">
        <v>458</v>
      </c>
      <c r="M800" t="s">
        <v>535</v>
      </c>
      <c r="Q800" t="s">
        <v>468</v>
      </c>
      <c r="R800" t="s">
        <v>4</v>
      </c>
      <c r="S800" t="s">
        <v>39</v>
      </c>
    </row>
    <row r="801" spans="1:19" ht="14.4" customHeight="1" x14ac:dyDescent="0.3">
      <c r="A801" s="2" t="s">
        <v>144</v>
      </c>
      <c r="B801" s="4" t="s">
        <v>384</v>
      </c>
      <c r="C801" s="5" t="s">
        <v>42</v>
      </c>
      <c r="D801" t="s">
        <v>565</v>
      </c>
      <c r="G801">
        <v>97</v>
      </c>
      <c r="H801" t="s">
        <v>514</v>
      </c>
      <c r="K801">
        <v>0.33209981363686603</v>
      </c>
      <c r="L801" t="s">
        <v>458</v>
      </c>
      <c r="M801" t="s">
        <v>535</v>
      </c>
      <c r="Q801" t="s">
        <v>468</v>
      </c>
      <c r="R801" t="s">
        <v>4</v>
      </c>
      <c r="S801" t="s">
        <v>39</v>
      </c>
    </row>
    <row r="802" spans="1:19" ht="14.4" customHeight="1" x14ac:dyDescent="0.3">
      <c r="A802" s="2" t="s">
        <v>144</v>
      </c>
      <c r="B802" s="4" t="s">
        <v>384</v>
      </c>
      <c r="C802" s="5" t="s">
        <v>42</v>
      </c>
      <c r="D802" t="s">
        <v>565</v>
      </c>
      <c r="G802">
        <v>121</v>
      </c>
      <c r="H802" t="s">
        <v>514</v>
      </c>
      <c r="K802">
        <v>0.35434344876514801</v>
      </c>
      <c r="L802" t="s">
        <v>458</v>
      </c>
      <c r="M802" t="s">
        <v>535</v>
      </c>
      <c r="Q802" t="s">
        <v>468</v>
      </c>
      <c r="R802" t="s">
        <v>4</v>
      </c>
      <c r="S802" t="s">
        <v>39</v>
      </c>
    </row>
    <row r="803" spans="1:19" ht="14.4" customHeight="1" x14ac:dyDescent="0.3">
      <c r="A803" s="2" t="s">
        <v>144</v>
      </c>
      <c r="B803" s="4" t="s">
        <v>384</v>
      </c>
      <c r="C803" s="5" t="s">
        <v>42</v>
      </c>
      <c r="D803" t="s">
        <v>565</v>
      </c>
      <c r="G803">
        <v>145</v>
      </c>
      <c r="H803" t="s">
        <v>514</v>
      </c>
      <c r="K803">
        <v>0.36572707004722099</v>
      </c>
      <c r="L803" t="s">
        <v>458</v>
      </c>
      <c r="M803" t="s">
        <v>535</v>
      </c>
      <c r="Q803" t="s">
        <v>468</v>
      </c>
      <c r="R803" t="s">
        <v>4</v>
      </c>
      <c r="S803" t="s">
        <v>39</v>
      </c>
    </row>
    <row r="804" spans="1:19" ht="14.4" customHeight="1" x14ac:dyDescent="0.3">
      <c r="A804" s="2" t="s">
        <v>144</v>
      </c>
      <c r="B804" s="4" t="s">
        <v>384</v>
      </c>
      <c r="C804" s="5" t="s">
        <v>42</v>
      </c>
      <c r="D804" t="s">
        <v>565</v>
      </c>
      <c r="G804">
        <v>145.25</v>
      </c>
      <c r="H804" t="s">
        <v>514</v>
      </c>
      <c r="K804">
        <v>1.00832004782782</v>
      </c>
      <c r="L804" t="s">
        <v>458</v>
      </c>
      <c r="M804" t="s">
        <v>535</v>
      </c>
      <c r="Q804" t="s">
        <v>468</v>
      </c>
      <c r="R804" t="s">
        <v>4</v>
      </c>
      <c r="S804" t="s">
        <v>39</v>
      </c>
    </row>
    <row r="805" spans="1:19" ht="14.4" customHeight="1" x14ac:dyDescent="0.3">
      <c r="A805" s="2" t="s">
        <v>144</v>
      </c>
      <c r="B805" s="4" t="s">
        <v>384</v>
      </c>
      <c r="C805" s="5" t="s">
        <v>42</v>
      </c>
      <c r="D805" t="s">
        <v>565</v>
      </c>
      <c r="G805">
        <v>145.5</v>
      </c>
      <c r="H805" t="s">
        <v>514</v>
      </c>
      <c r="K805">
        <v>1.6850081646905499</v>
      </c>
      <c r="L805" t="s">
        <v>458</v>
      </c>
      <c r="M805" t="s">
        <v>535</v>
      </c>
      <c r="Q805" t="s">
        <v>468</v>
      </c>
      <c r="R805" t="s">
        <v>4</v>
      </c>
      <c r="S805" t="s">
        <v>39</v>
      </c>
    </row>
    <row r="806" spans="1:19" ht="14.4" customHeight="1" x14ac:dyDescent="0.3">
      <c r="A806" s="2" t="s">
        <v>144</v>
      </c>
      <c r="B806" s="4" t="s">
        <v>384</v>
      </c>
      <c r="C806" s="5" t="s">
        <v>42</v>
      </c>
      <c r="D806" t="s">
        <v>565</v>
      </c>
      <c r="G806">
        <v>146</v>
      </c>
      <c r="H806" t="s">
        <v>514</v>
      </c>
      <c r="K806">
        <v>2.9314301846685198</v>
      </c>
      <c r="L806" t="s">
        <v>458</v>
      </c>
      <c r="M806" t="s">
        <v>535</v>
      </c>
      <c r="Q806" t="s">
        <v>468</v>
      </c>
      <c r="R806" t="s">
        <v>4</v>
      </c>
      <c r="S806" t="s">
        <v>39</v>
      </c>
    </row>
    <row r="807" spans="1:19" ht="14.4" customHeight="1" x14ac:dyDescent="0.3">
      <c r="A807" s="2" t="s">
        <v>144</v>
      </c>
      <c r="B807" s="4" t="s">
        <v>384</v>
      </c>
      <c r="C807" s="5" t="s">
        <v>42</v>
      </c>
      <c r="D807" t="s">
        <v>565</v>
      </c>
      <c r="G807">
        <v>146.25</v>
      </c>
      <c r="H807" t="s">
        <v>514</v>
      </c>
      <c r="K807">
        <v>2.8545237146273399</v>
      </c>
      <c r="L807" t="s">
        <v>458</v>
      </c>
      <c r="M807" t="s">
        <v>535</v>
      </c>
      <c r="Q807" t="s">
        <v>468</v>
      </c>
      <c r="R807" t="s">
        <v>4</v>
      </c>
      <c r="S807" t="s">
        <v>39</v>
      </c>
    </row>
    <row r="808" spans="1:19" ht="14.4" customHeight="1" x14ac:dyDescent="0.3">
      <c r="A808" s="2" t="s">
        <v>144</v>
      </c>
      <c r="B808" s="4" t="s">
        <v>384</v>
      </c>
      <c r="C808" s="5" t="s">
        <v>42</v>
      </c>
      <c r="D808" t="s">
        <v>565</v>
      </c>
      <c r="G808">
        <v>147</v>
      </c>
      <c r="H808" t="s">
        <v>514</v>
      </c>
      <c r="K808">
        <v>2.6622492360834298</v>
      </c>
      <c r="L808" t="s">
        <v>458</v>
      </c>
      <c r="M808" t="s">
        <v>535</v>
      </c>
      <c r="Q808" t="s">
        <v>468</v>
      </c>
      <c r="R808" t="s">
        <v>4</v>
      </c>
      <c r="S808" t="s">
        <v>39</v>
      </c>
    </row>
    <row r="809" spans="1:19" ht="14.4" customHeight="1" x14ac:dyDescent="0.3">
      <c r="A809" s="2" t="s">
        <v>144</v>
      </c>
      <c r="B809" s="4" t="s">
        <v>384</v>
      </c>
      <c r="C809" s="5" t="s">
        <v>42</v>
      </c>
      <c r="D809" t="s">
        <v>565</v>
      </c>
      <c r="G809">
        <v>148</v>
      </c>
      <c r="H809" t="s">
        <v>514</v>
      </c>
      <c r="K809">
        <v>2.3450079713033101</v>
      </c>
      <c r="L809" t="s">
        <v>458</v>
      </c>
      <c r="M809" t="s">
        <v>535</v>
      </c>
      <c r="Q809" t="s">
        <v>468</v>
      </c>
      <c r="R809" t="s">
        <v>4</v>
      </c>
      <c r="S809" t="s">
        <v>39</v>
      </c>
    </row>
    <row r="810" spans="1:19" ht="14.4" customHeight="1" x14ac:dyDescent="0.3">
      <c r="A810" s="2" t="s">
        <v>144</v>
      </c>
      <c r="B810" s="4" t="s">
        <v>384</v>
      </c>
      <c r="C810" s="5" t="s">
        <v>42</v>
      </c>
      <c r="D810" t="s">
        <v>565</v>
      </c>
      <c r="G810">
        <v>149</v>
      </c>
      <c r="H810" t="s">
        <v>514</v>
      </c>
      <c r="K810">
        <v>2.22007439883087</v>
      </c>
      <c r="L810" t="s">
        <v>458</v>
      </c>
      <c r="M810" t="s">
        <v>535</v>
      </c>
      <c r="Q810" t="s">
        <v>468</v>
      </c>
      <c r="R810" t="s">
        <v>4</v>
      </c>
      <c r="S810" t="s">
        <v>39</v>
      </c>
    </row>
    <row r="811" spans="1:19" ht="14.4" customHeight="1" x14ac:dyDescent="0.3">
      <c r="A811" s="2" t="s">
        <v>144</v>
      </c>
      <c r="B811" s="4" t="s">
        <v>384</v>
      </c>
      <c r="C811" s="5" t="s">
        <v>42</v>
      </c>
      <c r="D811" t="s">
        <v>565</v>
      </c>
      <c r="G811">
        <v>150</v>
      </c>
      <c r="H811" t="s">
        <v>514</v>
      </c>
      <c r="K811">
        <v>2.0278165271688602</v>
      </c>
      <c r="L811" t="s">
        <v>458</v>
      </c>
      <c r="M811" t="s">
        <v>535</v>
      </c>
      <c r="Q811" t="s">
        <v>468</v>
      </c>
      <c r="R811" t="s">
        <v>4</v>
      </c>
      <c r="S811" t="s">
        <v>39</v>
      </c>
    </row>
    <row r="812" spans="1:19" ht="14.4" customHeight="1" x14ac:dyDescent="0.3">
      <c r="A812" s="2" t="s">
        <v>144</v>
      </c>
      <c r="B812" s="4" t="s">
        <v>384</v>
      </c>
      <c r="C812" s="5" t="s">
        <v>42</v>
      </c>
      <c r="D812" t="s">
        <v>565</v>
      </c>
      <c r="G812">
        <v>152</v>
      </c>
      <c r="H812" t="s">
        <v>514</v>
      </c>
      <c r="K812">
        <v>1.6337020061113301</v>
      </c>
      <c r="L812" t="s">
        <v>458</v>
      </c>
      <c r="M812" t="s">
        <v>535</v>
      </c>
      <c r="Q812" t="s">
        <v>468</v>
      </c>
      <c r="R812" t="s">
        <v>4</v>
      </c>
      <c r="S812" t="s">
        <v>39</v>
      </c>
    </row>
    <row r="813" spans="1:19" ht="14.4" customHeight="1" x14ac:dyDescent="0.3">
      <c r="A813" s="2" t="s">
        <v>144</v>
      </c>
      <c r="B813" s="4" t="s">
        <v>384</v>
      </c>
      <c r="C813" s="5" t="s">
        <v>42</v>
      </c>
      <c r="D813" t="s">
        <v>565</v>
      </c>
      <c r="G813">
        <v>154</v>
      </c>
      <c r="H813" t="s">
        <v>514</v>
      </c>
      <c r="K813">
        <v>1.31651056197688</v>
      </c>
      <c r="L813" t="s">
        <v>458</v>
      </c>
      <c r="M813" t="s">
        <v>535</v>
      </c>
      <c r="Q813" t="s">
        <v>468</v>
      </c>
      <c r="R813" t="s">
        <v>4</v>
      </c>
      <c r="S813" t="s">
        <v>39</v>
      </c>
    </row>
    <row r="814" spans="1:19" ht="14.4" customHeight="1" x14ac:dyDescent="0.3">
      <c r="A814" s="2" t="s">
        <v>144</v>
      </c>
      <c r="B814" s="4" t="s">
        <v>384</v>
      </c>
      <c r="C814" s="5" t="s">
        <v>42</v>
      </c>
      <c r="D814" t="s">
        <v>565</v>
      </c>
      <c r="G814">
        <v>158</v>
      </c>
      <c r="H814" t="s">
        <v>514</v>
      </c>
      <c r="K814">
        <v>0.84755408383945996</v>
      </c>
      <c r="L814" t="s">
        <v>458</v>
      </c>
      <c r="M814" t="s">
        <v>535</v>
      </c>
      <c r="Q814" t="s">
        <v>468</v>
      </c>
      <c r="R814" t="s">
        <v>4</v>
      </c>
      <c r="S814" t="s">
        <v>39</v>
      </c>
    </row>
    <row r="815" spans="1:19" ht="14.4" customHeight="1" x14ac:dyDescent="0.3">
      <c r="A815" s="2" t="s">
        <v>144</v>
      </c>
      <c r="B815" s="4" t="s">
        <v>384</v>
      </c>
      <c r="C815" s="5" t="s">
        <v>42</v>
      </c>
      <c r="D815" t="s">
        <v>565</v>
      </c>
      <c r="G815">
        <v>170</v>
      </c>
      <c r="H815" t="s">
        <v>514</v>
      </c>
      <c r="K815">
        <v>0.35713004684135902</v>
      </c>
      <c r="L815" t="s">
        <v>458</v>
      </c>
      <c r="M815" t="s">
        <v>535</v>
      </c>
      <c r="Q815" t="s">
        <v>468</v>
      </c>
      <c r="R815" t="s">
        <v>4</v>
      </c>
      <c r="S815" t="s">
        <v>39</v>
      </c>
    </row>
    <row r="816" spans="1:19" ht="14.4" customHeight="1" x14ac:dyDescent="0.3">
      <c r="A816" s="2" t="s">
        <v>145</v>
      </c>
      <c r="B816" s="4" t="s">
        <v>380</v>
      </c>
      <c r="C816" s="5" t="s">
        <v>42</v>
      </c>
      <c r="D816" t="s">
        <v>567</v>
      </c>
      <c r="G816">
        <v>0.25</v>
      </c>
      <c r="H816" t="s">
        <v>514</v>
      </c>
      <c r="K816">
        <v>0.608376824757208</v>
      </c>
      <c r="L816" t="s">
        <v>458</v>
      </c>
      <c r="M816" t="s">
        <v>535</v>
      </c>
      <c r="Q816" t="s">
        <v>468</v>
      </c>
      <c r="R816" t="s">
        <v>4</v>
      </c>
      <c r="S816" t="s">
        <v>39</v>
      </c>
    </row>
    <row r="817" spans="1:19" ht="14.4" customHeight="1" x14ac:dyDescent="0.3">
      <c r="A817" s="2" t="s">
        <v>145</v>
      </c>
      <c r="B817" s="4" t="s">
        <v>380</v>
      </c>
      <c r="C817" s="5" t="s">
        <v>42</v>
      </c>
      <c r="D817" t="s">
        <v>567</v>
      </c>
      <c r="G817">
        <v>0.5</v>
      </c>
      <c r="H817" t="s">
        <v>514</v>
      </c>
      <c r="K817">
        <v>1.22168674698795</v>
      </c>
      <c r="L817" t="s">
        <v>458</v>
      </c>
      <c r="M817" t="s">
        <v>535</v>
      </c>
      <c r="Q817" t="s">
        <v>468</v>
      </c>
      <c r="R817" t="s">
        <v>4</v>
      </c>
      <c r="S817" t="s">
        <v>39</v>
      </c>
    </row>
    <row r="818" spans="1:19" ht="14.4" customHeight="1" x14ac:dyDescent="0.3">
      <c r="A818" s="2" t="s">
        <v>145</v>
      </c>
      <c r="B818" s="4" t="s">
        <v>380</v>
      </c>
      <c r="C818" s="5" t="s">
        <v>42</v>
      </c>
      <c r="D818" t="s">
        <v>567</v>
      </c>
      <c r="G818">
        <v>0.999999999999998</v>
      </c>
      <c r="H818" t="s">
        <v>514</v>
      </c>
      <c r="K818">
        <v>2.4289156626506001</v>
      </c>
      <c r="L818" t="s">
        <v>458</v>
      </c>
      <c r="M818" t="s">
        <v>535</v>
      </c>
      <c r="Q818" t="s">
        <v>468</v>
      </c>
      <c r="R818" t="s">
        <v>4</v>
      </c>
      <c r="S818" t="s">
        <v>39</v>
      </c>
    </row>
    <row r="819" spans="1:19" ht="14.4" customHeight="1" x14ac:dyDescent="0.3">
      <c r="A819" s="2" t="s">
        <v>145</v>
      </c>
      <c r="B819" s="4" t="s">
        <v>380</v>
      </c>
      <c r="C819" s="5" t="s">
        <v>42</v>
      </c>
      <c r="D819" t="s">
        <v>567</v>
      </c>
      <c r="G819">
        <v>1.99999999999999</v>
      </c>
      <c r="H819" t="s">
        <v>514</v>
      </c>
      <c r="K819">
        <v>2.2771084337349299</v>
      </c>
      <c r="L819" t="s">
        <v>458</v>
      </c>
      <c r="M819" t="s">
        <v>535</v>
      </c>
      <c r="Q819" t="s">
        <v>468</v>
      </c>
      <c r="R819" t="s">
        <v>4</v>
      </c>
      <c r="S819" t="s">
        <v>39</v>
      </c>
    </row>
    <row r="820" spans="1:19" ht="14.4" customHeight="1" x14ac:dyDescent="0.3">
      <c r="A820" s="2" t="s">
        <v>145</v>
      </c>
      <c r="B820" s="4" t="s">
        <v>380</v>
      </c>
      <c r="C820" s="5" t="s">
        <v>42</v>
      </c>
      <c r="D820" t="s">
        <v>567</v>
      </c>
      <c r="G820">
        <v>2.9999999999999898</v>
      </c>
      <c r="H820" t="s">
        <v>514</v>
      </c>
      <c r="K820">
        <v>2.0096385542168602</v>
      </c>
      <c r="L820" t="s">
        <v>458</v>
      </c>
      <c r="M820" t="s">
        <v>535</v>
      </c>
      <c r="Q820" t="s">
        <v>468</v>
      </c>
      <c r="R820" t="s">
        <v>4</v>
      </c>
      <c r="S820" t="s">
        <v>39</v>
      </c>
    </row>
    <row r="821" spans="1:19" ht="14.4" customHeight="1" x14ac:dyDescent="0.3">
      <c r="A821" s="2" t="s">
        <v>145</v>
      </c>
      <c r="B821" s="4" t="s">
        <v>380</v>
      </c>
      <c r="C821" s="5" t="s">
        <v>42</v>
      </c>
      <c r="D821" t="s">
        <v>567</v>
      </c>
      <c r="G821">
        <v>3.9999999999999898</v>
      </c>
      <c r="H821" t="s">
        <v>514</v>
      </c>
      <c r="K821">
        <v>1.85060240963855</v>
      </c>
      <c r="L821" t="s">
        <v>458</v>
      </c>
      <c r="M821" t="s">
        <v>535</v>
      </c>
      <c r="Q821" t="s">
        <v>468</v>
      </c>
      <c r="R821" t="s">
        <v>4</v>
      </c>
      <c r="S821" t="s">
        <v>39</v>
      </c>
    </row>
    <row r="822" spans="1:19" ht="14.4" customHeight="1" x14ac:dyDescent="0.3">
      <c r="A822" s="2" t="s">
        <v>145</v>
      </c>
      <c r="B822" s="4" t="s">
        <v>380</v>
      </c>
      <c r="C822" s="5" t="s">
        <v>42</v>
      </c>
      <c r="D822" t="s">
        <v>567</v>
      </c>
      <c r="G822">
        <v>4.9999999999999902</v>
      </c>
      <c r="H822" t="s">
        <v>514</v>
      </c>
      <c r="K822">
        <v>1.70602409638554</v>
      </c>
      <c r="L822" t="s">
        <v>458</v>
      </c>
      <c r="M822" t="s">
        <v>535</v>
      </c>
      <c r="Q822" t="s">
        <v>468</v>
      </c>
      <c r="R822" t="s">
        <v>4</v>
      </c>
      <c r="S822" t="s">
        <v>39</v>
      </c>
    </row>
    <row r="823" spans="1:19" ht="14.4" customHeight="1" x14ac:dyDescent="0.3">
      <c r="A823" s="2" t="s">
        <v>145</v>
      </c>
      <c r="B823" s="4" t="s">
        <v>380</v>
      </c>
      <c r="C823" s="5" t="s">
        <v>42</v>
      </c>
      <c r="D823" t="s">
        <v>567</v>
      </c>
      <c r="G823">
        <v>6.9999999999999902</v>
      </c>
      <c r="H823" t="s">
        <v>514</v>
      </c>
      <c r="K823">
        <v>1.2795180722891599</v>
      </c>
      <c r="L823" t="s">
        <v>458</v>
      </c>
      <c r="M823" t="s">
        <v>535</v>
      </c>
      <c r="Q823" t="s">
        <v>468</v>
      </c>
      <c r="R823" t="s">
        <v>4</v>
      </c>
      <c r="S823" t="s">
        <v>39</v>
      </c>
    </row>
    <row r="824" spans="1:19" ht="14.4" customHeight="1" x14ac:dyDescent="0.3">
      <c r="A824" s="2" t="s">
        <v>145</v>
      </c>
      <c r="B824" s="4" t="s">
        <v>380</v>
      </c>
      <c r="C824" s="5" t="s">
        <v>42</v>
      </c>
      <c r="D824" t="s">
        <v>567</v>
      </c>
      <c r="G824">
        <v>8.9999999999999893</v>
      </c>
      <c r="H824" t="s">
        <v>514</v>
      </c>
      <c r="K824">
        <v>1.06987951807229</v>
      </c>
      <c r="L824" t="s">
        <v>458</v>
      </c>
      <c r="M824" t="s">
        <v>535</v>
      </c>
      <c r="Q824" t="s">
        <v>468</v>
      </c>
      <c r="R824" t="s">
        <v>4</v>
      </c>
      <c r="S824" t="s">
        <v>39</v>
      </c>
    </row>
    <row r="825" spans="1:19" ht="14.4" customHeight="1" x14ac:dyDescent="0.3">
      <c r="A825" s="2" t="s">
        <v>145</v>
      </c>
      <c r="B825" s="4" t="s">
        <v>380</v>
      </c>
      <c r="C825" s="5" t="s">
        <v>42</v>
      </c>
      <c r="D825" t="s">
        <v>567</v>
      </c>
      <c r="G825">
        <v>12.999999999999901</v>
      </c>
      <c r="H825" t="s">
        <v>514</v>
      </c>
      <c r="K825">
        <v>0.67195181214342203</v>
      </c>
      <c r="L825" t="s">
        <v>458</v>
      </c>
      <c r="M825" t="s">
        <v>535</v>
      </c>
      <c r="Q825" t="s">
        <v>468</v>
      </c>
      <c r="R825" t="s">
        <v>4</v>
      </c>
      <c r="S825" t="s">
        <v>39</v>
      </c>
    </row>
    <row r="826" spans="1:19" ht="14.4" customHeight="1" x14ac:dyDescent="0.3">
      <c r="A826" s="2" t="s">
        <v>145</v>
      </c>
      <c r="B826" s="4" t="s">
        <v>380</v>
      </c>
      <c r="C826" s="5" t="s">
        <v>42</v>
      </c>
      <c r="D826" t="s">
        <v>567</v>
      </c>
      <c r="G826">
        <v>24.999999999999901</v>
      </c>
      <c r="H826" t="s">
        <v>514</v>
      </c>
      <c r="K826">
        <v>0.27928214120019601</v>
      </c>
      <c r="L826" t="s">
        <v>458</v>
      </c>
      <c r="M826" t="s">
        <v>535</v>
      </c>
      <c r="Q826" t="s">
        <v>468</v>
      </c>
      <c r="R826" t="s">
        <v>4</v>
      </c>
      <c r="S826" t="s">
        <v>39</v>
      </c>
    </row>
    <row r="827" spans="1:19" ht="14.4" customHeight="1" x14ac:dyDescent="0.3">
      <c r="A827" s="2" t="s">
        <v>145</v>
      </c>
      <c r="B827" s="4" t="s">
        <v>380</v>
      </c>
      <c r="C827" s="5" t="s">
        <v>42</v>
      </c>
      <c r="D827" t="s">
        <v>567</v>
      </c>
      <c r="G827">
        <v>48.999999999999901</v>
      </c>
      <c r="H827" t="s">
        <v>514</v>
      </c>
      <c r="K827">
        <v>5.8855109583614902E-2</v>
      </c>
      <c r="L827" t="s">
        <v>458</v>
      </c>
      <c r="M827" t="s">
        <v>535</v>
      </c>
      <c r="Q827" t="s">
        <v>468</v>
      </c>
      <c r="R827" t="s">
        <v>4</v>
      </c>
      <c r="S827" t="s">
        <v>39</v>
      </c>
    </row>
    <row r="828" spans="1:19" ht="14.4" customHeight="1" x14ac:dyDescent="0.3">
      <c r="A828" s="2" t="s">
        <v>145</v>
      </c>
      <c r="B828" s="4" t="s">
        <v>380</v>
      </c>
      <c r="C828" s="5" t="s">
        <v>42</v>
      </c>
      <c r="D828" t="s">
        <v>567</v>
      </c>
      <c r="G828">
        <v>72.999999999999901</v>
      </c>
      <c r="H828" t="s">
        <v>514</v>
      </c>
      <c r="K828">
        <v>1.7274682417965401E-2</v>
      </c>
      <c r="L828" t="s">
        <v>458</v>
      </c>
      <c r="M828" t="s">
        <v>535</v>
      </c>
      <c r="Q828" t="s">
        <v>468</v>
      </c>
      <c r="R828" t="s">
        <v>4</v>
      </c>
      <c r="S828" t="s">
        <v>39</v>
      </c>
    </row>
    <row r="829" spans="1:19" ht="14.4" customHeight="1" x14ac:dyDescent="0.3">
      <c r="A829" s="2" t="s">
        <v>146</v>
      </c>
      <c r="B829" s="4" t="s">
        <v>560</v>
      </c>
      <c r="C829" s="5" t="s">
        <v>42</v>
      </c>
      <c r="D829" t="s">
        <v>567</v>
      </c>
      <c r="G829">
        <v>0.5</v>
      </c>
      <c r="H829" t="s">
        <v>514</v>
      </c>
      <c r="K829">
        <v>4.7452488522415397E-2</v>
      </c>
      <c r="L829" t="s">
        <v>458</v>
      </c>
      <c r="M829" t="s">
        <v>535</v>
      </c>
      <c r="Q829" t="s">
        <v>468</v>
      </c>
      <c r="R829" t="s">
        <v>4</v>
      </c>
      <c r="S829" t="s">
        <v>39</v>
      </c>
    </row>
    <row r="830" spans="1:19" ht="14.4" customHeight="1" x14ac:dyDescent="0.3">
      <c r="A830" s="2" t="s">
        <v>146</v>
      </c>
      <c r="B830" s="4" t="s">
        <v>560</v>
      </c>
      <c r="C830" s="5" t="s">
        <v>42</v>
      </c>
      <c r="D830" t="s">
        <v>567</v>
      </c>
      <c r="G830">
        <v>0.999999999999998</v>
      </c>
      <c r="H830" t="s">
        <v>514</v>
      </c>
      <c r="K830">
        <v>0.45906111119806797</v>
      </c>
      <c r="L830" t="s">
        <v>458</v>
      </c>
      <c r="M830" t="s">
        <v>535</v>
      </c>
      <c r="Q830" t="s">
        <v>468</v>
      </c>
      <c r="R830" t="s">
        <v>4</v>
      </c>
      <c r="S830" t="s">
        <v>39</v>
      </c>
    </row>
    <row r="831" spans="1:19" ht="14.4" customHeight="1" x14ac:dyDescent="0.3">
      <c r="A831" s="2" t="s">
        <v>146</v>
      </c>
      <c r="B831" s="4" t="s">
        <v>560</v>
      </c>
      <c r="C831" s="5" t="s">
        <v>42</v>
      </c>
      <c r="D831" t="s">
        <v>567</v>
      </c>
      <c r="G831">
        <v>1.49999999999999</v>
      </c>
      <c r="H831" t="s">
        <v>514</v>
      </c>
      <c r="K831">
        <v>0.84733969860007996</v>
      </c>
      <c r="L831" t="s">
        <v>458</v>
      </c>
      <c r="M831" t="s">
        <v>535</v>
      </c>
      <c r="Q831" t="s">
        <v>468</v>
      </c>
      <c r="R831" t="s">
        <v>4</v>
      </c>
      <c r="S831" t="s">
        <v>39</v>
      </c>
    </row>
    <row r="832" spans="1:19" ht="14.4" customHeight="1" x14ac:dyDescent="0.3">
      <c r="A832" s="2" t="s">
        <v>146</v>
      </c>
      <c r="B832" s="4" t="s">
        <v>560</v>
      </c>
      <c r="C832" s="5" t="s">
        <v>42</v>
      </c>
      <c r="D832" t="s">
        <v>567</v>
      </c>
      <c r="G832">
        <v>1.99999999999999</v>
      </c>
      <c r="H832" t="s">
        <v>514</v>
      </c>
      <c r="K832">
        <v>1.19277108433735</v>
      </c>
      <c r="L832" t="s">
        <v>458</v>
      </c>
      <c r="M832" t="s">
        <v>535</v>
      </c>
      <c r="Q832" t="s">
        <v>468</v>
      </c>
      <c r="R832" t="s">
        <v>4</v>
      </c>
      <c r="S832" t="s">
        <v>39</v>
      </c>
    </row>
    <row r="833" spans="1:19" ht="14.4" customHeight="1" x14ac:dyDescent="0.3">
      <c r="A833" s="2" t="s">
        <v>146</v>
      </c>
      <c r="B833" s="4" t="s">
        <v>560</v>
      </c>
      <c r="C833" s="5" t="s">
        <v>42</v>
      </c>
      <c r="D833" t="s">
        <v>567</v>
      </c>
      <c r="G833">
        <v>2.9999999999999898</v>
      </c>
      <c r="H833" t="s">
        <v>514</v>
      </c>
      <c r="K833">
        <v>1.5325301204819199</v>
      </c>
      <c r="L833" t="s">
        <v>458</v>
      </c>
      <c r="M833" t="s">
        <v>535</v>
      </c>
      <c r="Q833" t="s">
        <v>468</v>
      </c>
      <c r="R833" t="s">
        <v>4</v>
      </c>
      <c r="S833" t="s">
        <v>39</v>
      </c>
    </row>
    <row r="834" spans="1:19" ht="14.4" customHeight="1" x14ac:dyDescent="0.3">
      <c r="A834" s="2" t="s">
        <v>146</v>
      </c>
      <c r="B834" s="4" t="s">
        <v>560</v>
      </c>
      <c r="C834" s="5" t="s">
        <v>42</v>
      </c>
      <c r="D834" t="s">
        <v>567</v>
      </c>
      <c r="G834">
        <v>3.9999999999999898</v>
      </c>
      <c r="H834" t="s">
        <v>514</v>
      </c>
      <c r="K834">
        <v>1.7204819277108401</v>
      </c>
      <c r="L834" t="s">
        <v>458</v>
      </c>
      <c r="M834" t="s">
        <v>535</v>
      </c>
      <c r="Q834" t="s">
        <v>468</v>
      </c>
      <c r="R834" t="s">
        <v>4</v>
      </c>
      <c r="S834" t="s">
        <v>39</v>
      </c>
    </row>
    <row r="835" spans="1:19" ht="14.4" customHeight="1" x14ac:dyDescent="0.3">
      <c r="A835" s="2" t="s">
        <v>146</v>
      </c>
      <c r="B835" s="4" t="s">
        <v>560</v>
      </c>
      <c r="C835" s="5" t="s">
        <v>42</v>
      </c>
      <c r="D835" t="s">
        <v>567</v>
      </c>
      <c r="G835">
        <v>5.9999999999999902</v>
      </c>
      <c r="H835" t="s">
        <v>514</v>
      </c>
      <c r="K835">
        <v>1.3807228915662499</v>
      </c>
      <c r="L835" t="s">
        <v>458</v>
      </c>
      <c r="M835" t="s">
        <v>535</v>
      </c>
      <c r="Q835" t="s">
        <v>468</v>
      </c>
      <c r="R835" t="s">
        <v>4</v>
      </c>
      <c r="S835" t="s">
        <v>39</v>
      </c>
    </row>
    <row r="836" spans="1:19" ht="14.4" customHeight="1" x14ac:dyDescent="0.3">
      <c r="A836" s="2" t="s">
        <v>146</v>
      </c>
      <c r="B836" s="4" t="s">
        <v>560</v>
      </c>
      <c r="C836" s="5" t="s">
        <v>42</v>
      </c>
      <c r="D836" t="s">
        <v>567</v>
      </c>
      <c r="G836">
        <v>7.9999999999999902</v>
      </c>
      <c r="H836" t="s">
        <v>514</v>
      </c>
      <c r="K836">
        <v>1.19277108433735</v>
      </c>
      <c r="L836" t="s">
        <v>458</v>
      </c>
      <c r="M836" t="s">
        <v>535</v>
      </c>
      <c r="Q836" t="s">
        <v>468</v>
      </c>
      <c r="R836" t="s">
        <v>4</v>
      </c>
      <c r="S836" t="s">
        <v>39</v>
      </c>
    </row>
    <row r="837" spans="1:19" ht="14.4" customHeight="1" x14ac:dyDescent="0.3">
      <c r="A837" s="2" t="s">
        <v>146</v>
      </c>
      <c r="B837" s="4" t="s">
        <v>560</v>
      </c>
      <c r="C837" s="5" t="s">
        <v>42</v>
      </c>
      <c r="D837" t="s">
        <v>567</v>
      </c>
      <c r="G837">
        <v>11.999999999999901</v>
      </c>
      <c r="H837" t="s">
        <v>514</v>
      </c>
      <c r="K837">
        <v>0.80625945407511002</v>
      </c>
      <c r="L837" t="s">
        <v>458</v>
      </c>
      <c r="M837" t="s">
        <v>535</v>
      </c>
      <c r="Q837" t="s">
        <v>468</v>
      </c>
      <c r="R837" t="s">
        <v>4</v>
      </c>
      <c r="S837" t="s">
        <v>39</v>
      </c>
    </row>
    <row r="838" spans="1:19" ht="14.4" customHeight="1" x14ac:dyDescent="0.3">
      <c r="A838" s="2" t="s">
        <v>146</v>
      </c>
      <c r="B838" s="4" t="s">
        <v>560</v>
      </c>
      <c r="C838" s="5" t="s">
        <v>42</v>
      </c>
      <c r="D838" t="s">
        <v>567</v>
      </c>
      <c r="G838">
        <v>23.999999999999901</v>
      </c>
      <c r="H838" t="s">
        <v>514</v>
      </c>
      <c r="K838">
        <v>0.33510418846662199</v>
      </c>
      <c r="L838" t="s">
        <v>458</v>
      </c>
      <c r="M838" t="s">
        <v>535</v>
      </c>
      <c r="Q838" t="s">
        <v>468</v>
      </c>
      <c r="R838" t="s">
        <v>4</v>
      </c>
      <c r="S838" t="s">
        <v>39</v>
      </c>
    </row>
    <row r="839" spans="1:19" ht="14.4" customHeight="1" x14ac:dyDescent="0.3">
      <c r="A839" s="2" t="s">
        <v>146</v>
      </c>
      <c r="B839" s="4" t="s">
        <v>560</v>
      </c>
      <c r="C839" s="5" t="s">
        <v>42</v>
      </c>
      <c r="D839" t="s">
        <v>567</v>
      </c>
      <c r="G839">
        <v>47.999999999999901</v>
      </c>
      <c r="H839" t="s">
        <v>514</v>
      </c>
      <c r="K839">
        <v>7.1798456482368697E-2</v>
      </c>
      <c r="L839" t="s">
        <v>458</v>
      </c>
      <c r="M839" t="s">
        <v>535</v>
      </c>
      <c r="Q839" t="s">
        <v>468</v>
      </c>
      <c r="R839" t="s">
        <v>4</v>
      </c>
      <c r="S839" t="s">
        <v>39</v>
      </c>
    </row>
    <row r="840" spans="1:19" ht="14.4" customHeight="1" x14ac:dyDescent="0.3">
      <c r="A840" s="2" t="s">
        <v>146</v>
      </c>
      <c r="B840" s="4" t="s">
        <v>560</v>
      </c>
      <c r="C840" s="5" t="s">
        <v>42</v>
      </c>
      <c r="D840" t="s">
        <v>567</v>
      </c>
      <c r="G840">
        <v>72</v>
      </c>
      <c r="H840" t="s">
        <v>514</v>
      </c>
      <c r="K840">
        <v>1.9398573030675399E-2</v>
      </c>
      <c r="L840" t="s">
        <v>458</v>
      </c>
      <c r="M840" t="s">
        <v>535</v>
      </c>
      <c r="Q840" t="s">
        <v>468</v>
      </c>
      <c r="R840" t="s">
        <v>4</v>
      </c>
      <c r="S840" t="s">
        <v>39</v>
      </c>
    </row>
    <row r="841" spans="1:19" ht="14.4" customHeight="1" x14ac:dyDescent="0.3">
      <c r="A841" s="2" t="s">
        <v>147</v>
      </c>
      <c r="B841" s="4" t="s">
        <v>566</v>
      </c>
      <c r="C841" s="3" t="s">
        <v>44</v>
      </c>
      <c r="D841" t="s">
        <v>528</v>
      </c>
      <c r="G841">
        <v>0.5</v>
      </c>
      <c r="H841" t="s">
        <v>514</v>
      </c>
      <c r="K841">
        <v>1.7317595089394999</v>
      </c>
      <c r="L841" t="s">
        <v>458</v>
      </c>
      <c r="M841" t="s">
        <v>535</v>
      </c>
      <c r="Q841" t="s">
        <v>468</v>
      </c>
      <c r="R841" t="s">
        <v>4</v>
      </c>
      <c r="S841" t="s">
        <v>39</v>
      </c>
    </row>
    <row r="842" spans="1:19" ht="14.4" customHeight="1" x14ac:dyDescent="0.3">
      <c r="A842" s="2" t="s">
        <v>147</v>
      </c>
      <c r="B842" s="4" t="s">
        <v>566</v>
      </c>
      <c r="C842" s="3" t="s">
        <v>44</v>
      </c>
      <c r="D842" t="s">
        <v>528</v>
      </c>
      <c r="G842">
        <v>1</v>
      </c>
      <c r="H842" t="s">
        <v>514</v>
      </c>
      <c r="K842">
        <v>3.0612848050452</v>
      </c>
      <c r="L842" t="s">
        <v>458</v>
      </c>
      <c r="M842" t="s">
        <v>535</v>
      </c>
      <c r="Q842" t="s">
        <v>468</v>
      </c>
      <c r="R842" t="s">
        <v>4</v>
      </c>
      <c r="S842" t="s">
        <v>39</v>
      </c>
    </row>
    <row r="843" spans="1:19" ht="14.4" customHeight="1" x14ac:dyDescent="0.3">
      <c r="A843" s="2" t="s">
        <v>147</v>
      </c>
      <c r="B843" s="4" t="s">
        <v>566</v>
      </c>
      <c r="C843" s="3" t="s">
        <v>44</v>
      </c>
      <c r="D843" t="s">
        <v>528</v>
      </c>
      <c r="G843">
        <v>1.5</v>
      </c>
      <c r="H843" t="s">
        <v>514</v>
      </c>
      <c r="K843">
        <v>2.8814446784496699</v>
      </c>
      <c r="L843" t="s">
        <v>458</v>
      </c>
      <c r="M843" t="s">
        <v>535</v>
      </c>
      <c r="Q843" t="s">
        <v>468</v>
      </c>
      <c r="R843" t="s">
        <v>4</v>
      </c>
      <c r="S843" t="s">
        <v>39</v>
      </c>
    </row>
    <row r="844" spans="1:19" ht="14.4" customHeight="1" x14ac:dyDescent="0.3">
      <c r="A844" s="2" t="s">
        <v>147</v>
      </c>
      <c r="B844" s="4" t="s">
        <v>566</v>
      </c>
      <c r="C844" s="3" t="s">
        <v>44</v>
      </c>
      <c r="D844" t="s">
        <v>528</v>
      </c>
      <c r="G844">
        <v>2</v>
      </c>
      <c r="H844" t="s">
        <v>514</v>
      </c>
      <c r="K844">
        <v>2.67498225568109</v>
      </c>
      <c r="L844" t="s">
        <v>458</v>
      </c>
      <c r="M844" t="s">
        <v>535</v>
      </c>
      <c r="Q844" t="s">
        <v>468</v>
      </c>
      <c r="R844" t="s">
        <v>4</v>
      </c>
      <c r="S844" t="s">
        <v>39</v>
      </c>
    </row>
    <row r="845" spans="1:19" ht="14.4" customHeight="1" x14ac:dyDescent="0.3">
      <c r="A845" s="2" t="s">
        <v>147</v>
      </c>
      <c r="B845" s="4" t="s">
        <v>566</v>
      </c>
      <c r="C845" s="3" t="s">
        <v>44</v>
      </c>
      <c r="D845" t="s">
        <v>528</v>
      </c>
      <c r="G845">
        <v>2.5</v>
      </c>
      <c r="H845" t="s">
        <v>514</v>
      </c>
      <c r="K845">
        <v>2.5550422954748999</v>
      </c>
      <c r="L845" t="s">
        <v>458</v>
      </c>
      <c r="M845" t="s">
        <v>535</v>
      </c>
      <c r="Q845" t="s">
        <v>468</v>
      </c>
      <c r="R845" t="s">
        <v>4</v>
      </c>
      <c r="S845" t="s">
        <v>39</v>
      </c>
    </row>
    <row r="846" spans="1:19" ht="14.4" customHeight="1" x14ac:dyDescent="0.3">
      <c r="A846" s="2" t="s">
        <v>147</v>
      </c>
      <c r="B846" s="4" t="s">
        <v>566</v>
      </c>
      <c r="C846" s="3" t="s">
        <v>44</v>
      </c>
      <c r="D846" t="s">
        <v>528</v>
      </c>
      <c r="G846">
        <v>3</v>
      </c>
      <c r="H846" t="s">
        <v>514</v>
      </c>
      <c r="K846">
        <v>2.4217911871822002</v>
      </c>
      <c r="L846" t="s">
        <v>458</v>
      </c>
      <c r="M846" t="s">
        <v>535</v>
      </c>
      <c r="Q846" t="s">
        <v>468</v>
      </c>
      <c r="R846" t="s">
        <v>4</v>
      </c>
      <c r="S846" t="s">
        <v>39</v>
      </c>
    </row>
    <row r="847" spans="1:19" ht="14.4" customHeight="1" x14ac:dyDescent="0.3">
      <c r="A847" s="2" t="s">
        <v>147</v>
      </c>
      <c r="B847" s="4" t="s">
        <v>566</v>
      </c>
      <c r="C847" s="3" t="s">
        <v>44</v>
      </c>
      <c r="D847" t="s">
        <v>528</v>
      </c>
      <c r="G847">
        <v>3.5</v>
      </c>
      <c r="H847" t="s">
        <v>514</v>
      </c>
      <c r="K847">
        <v>2.20869646160827</v>
      </c>
      <c r="L847" t="s">
        <v>458</v>
      </c>
      <c r="M847" t="s">
        <v>535</v>
      </c>
      <c r="Q847" t="s">
        <v>468</v>
      </c>
      <c r="R847" t="s">
        <v>4</v>
      </c>
      <c r="S847" t="s">
        <v>39</v>
      </c>
    </row>
    <row r="848" spans="1:19" ht="14.4" customHeight="1" x14ac:dyDescent="0.3">
      <c r="A848" s="2" t="s">
        <v>147</v>
      </c>
      <c r="B848" s="4" t="s">
        <v>566</v>
      </c>
      <c r="C848" s="3" t="s">
        <v>44</v>
      </c>
      <c r="D848" t="s">
        <v>528</v>
      </c>
      <c r="G848">
        <v>4</v>
      </c>
      <c r="H848" t="s">
        <v>514</v>
      </c>
      <c r="K848">
        <v>2.1086999522939598</v>
      </c>
      <c r="L848" t="s">
        <v>458</v>
      </c>
      <c r="M848" t="s">
        <v>535</v>
      </c>
      <c r="Q848" t="s">
        <v>468</v>
      </c>
      <c r="R848" t="s">
        <v>4</v>
      </c>
      <c r="S848" t="s">
        <v>39</v>
      </c>
    </row>
    <row r="849" spans="1:19" ht="14.4" customHeight="1" x14ac:dyDescent="0.3">
      <c r="A849" s="2" t="s">
        <v>147</v>
      </c>
      <c r="B849" s="4" t="s">
        <v>566</v>
      </c>
      <c r="C849" s="3" t="s">
        <v>44</v>
      </c>
      <c r="D849" t="s">
        <v>528</v>
      </c>
      <c r="G849">
        <v>5</v>
      </c>
      <c r="H849" t="s">
        <v>514</v>
      </c>
      <c r="K849">
        <v>1.8222310135787601</v>
      </c>
      <c r="L849" t="s">
        <v>458</v>
      </c>
      <c r="M849" t="s">
        <v>535</v>
      </c>
      <c r="Q849" t="s">
        <v>468</v>
      </c>
      <c r="R849" t="s">
        <v>4</v>
      </c>
      <c r="S849" t="s">
        <v>39</v>
      </c>
    </row>
    <row r="850" spans="1:19" ht="14.4" customHeight="1" x14ac:dyDescent="0.3">
      <c r="A850" s="2" t="s">
        <v>147</v>
      </c>
      <c r="B850" s="4" t="s">
        <v>566</v>
      </c>
      <c r="C850" s="3" t="s">
        <v>44</v>
      </c>
      <c r="D850" t="s">
        <v>528</v>
      </c>
      <c r="G850">
        <v>6</v>
      </c>
      <c r="H850" t="s">
        <v>514</v>
      </c>
      <c r="K850">
        <v>1.5536665803768299</v>
      </c>
      <c r="L850" t="s">
        <v>458</v>
      </c>
      <c r="M850" t="s">
        <v>535</v>
      </c>
      <c r="Q850" t="s">
        <v>468</v>
      </c>
      <c r="R850" t="s">
        <v>4</v>
      </c>
      <c r="S850" t="s">
        <v>39</v>
      </c>
    </row>
    <row r="851" spans="1:19" ht="14.4" customHeight="1" x14ac:dyDescent="0.3">
      <c r="A851" s="2" t="s">
        <v>147</v>
      </c>
      <c r="B851" s="4" t="s">
        <v>566</v>
      </c>
      <c r="C851" s="3" t="s">
        <v>44</v>
      </c>
      <c r="D851" t="s">
        <v>528</v>
      </c>
      <c r="G851">
        <v>8</v>
      </c>
      <c r="H851" t="s">
        <v>514</v>
      </c>
      <c r="K851">
        <v>1.27008016227081</v>
      </c>
      <c r="L851" t="s">
        <v>458</v>
      </c>
      <c r="M851" t="s">
        <v>535</v>
      </c>
      <c r="Q851" t="s">
        <v>468</v>
      </c>
      <c r="R851" t="s">
        <v>4</v>
      </c>
      <c r="S851" t="s">
        <v>39</v>
      </c>
    </row>
    <row r="852" spans="1:19" ht="14.4" customHeight="1" x14ac:dyDescent="0.3">
      <c r="A852" s="2" t="s">
        <v>147</v>
      </c>
      <c r="B852" s="4" t="s">
        <v>566</v>
      </c>
      <c r="C852" s="3" t="s">
        <v>44</v>
      </c>
      <c r="D852" t="s">
        <v>528</v>
      </c>
      <c r="G852">
        <v>12</v>
      </c>
      <c r="H852" t="s">
        <v>514</v>
      </c>
      <c r="K852">
        <v>0.84874601841580599</v>
      </c>
      <c r="L852" t="s">
        <v>458</v>
      </c>
      <c r="M852" t="s">
        <v>535</v>
      </c>
      <c r="Q852" t="s">
        <v>468</v>
      </c>
      <c r="R852" t="s">
        <v>4</v>
      </c>
      <c r="S852" t="s">
        <v>39</v>
      </c>
    </row>
    <row r="853" spans="1:19" ht="14.4" customHeight="1" x14ac:dyDescent="0.3">
      <c r="A853" s="2" t="s">
        <v>147</v>
      </c>
      <c r="B853" s="4" t="s">
        <v>566</v>
      </c>
      <c r="C853" s="3" t="s">
        <v>44</v>
      </c>
      <c r="D853" t="s">
        <v>528</v>
      </c>
      <c r="G853">
        <v>24</v>
      </c>
      <c r="H853" t="s">
        <v>514</v>
      </c>
      <c r="K853">
        <v>0.39096387388812398</v>
      </c>
      <c r="L853" t="s">
        <v>458</v>
      </c>
      <c r="M853" t="s">
        <v>535</v>
      </c>
      <c r="Q853" t="s">
        <v>468</v>
      </c>
      <c r="R853" t="s">
        <v>4</v>
      </c>
      <c r="S853" t="s">
        <v>39</v>
      </c>
    </row>
    <row r="854" spans="1:19" ht="14.4" customHeight="1" x14ac:dyDescent="0.3">
      <c r="A854" s="2" t="s">
        <v>147</v>
      </c>
      <c r="B854" s="4" t="s">
        <v>566</v>
      </c>
      <c r="C854" s="3" t="s">
        <v>44</v>
      </c>
      <c r="D854" t="s">
        <v>528</v>
      </c>
      <c r="G854">
        <v>36</v>
      </c>
      <c r="H854" t="s">
        <v>514</v>
      </c>
      <c r="K854">
        <v>0.13836859386481101</v>
      </c>
      <c r="L854" t="s">
        <v>458</v>
      </c>
      <c r="M854" t="s">
        <v>535</v>
      </c>
      <c r="Q854" t="s">
        <v>468</v>
      </c>
      <c r="R854" t="s">
        <v>4</v>
      </c>
      <c r="S854" t="s">
        <v>39</v>
      </c>
    </row>
    <row r="855" spans="1:19" ht="14.4" customHeight="1" x14ac:dyDescent="0.3">
      <c r="A855" s="2" t="s">
        <v>147</v>
      </c>
      <c r="B855" s="4" t="s">
        <v>566</v>
      </c>
      <c r="C855" s="3" t="s">
        <v>44</v>
      </c>
      <c r="D855" t="s">
        <v>528</v>
      </c>
      <c r="G855">
        <v>48</v>
      </c>
      <c r="H855" t="s">
        <v>514</v>
      </c>
      <c r="K855">
        <v>7.9187370256233902E-2</v>
      </c>
      <c r="L855" t="s">
        <v>458</v>
      </c>
      <c r="M855" t="s">
        <v>535</v>
      </c>
      <c r="Q855" t="s">
        <v>468</v>
      </c>
      <c r="R855" t="s">
        <v>4</v>
      </c>
      <c r="S855" t="s">
        <v>39</v>
      </c>
    </row>
    <row r="856" spans="1:19" ht="14.4" customHeight="1" x14ac:dyDescent="0.3">
      <c r="A856" s="2" t="s">
        <v>147</v>
      </c>
      <c r="B856" s="4" t="s">
        <v>566</v>
      </c>
      <c r="C856" s="3" t="s">
        <v>44</v>
      </c>
      <c r="D856" t="s">
        <v>528</v>
      </c>
      <c r="G856">
        <v>60</v>
      </c>
      <c r="H856" t="s">
        <v>514</v>
      </c>
      <c r="K856">
        <v>3.32366975817956E-2</v>
      </c>
      <c r="L856" t="s">
        <v>458</v>
      </c>
      <c r="M856" t="s">
        <v>535</v>
      </c>
      <c r="Q856" t="s">
        <v>468</v>
      </c>
      <c r="R856" t="s">
        <v>4</v>
      </c>
      <c r="S856" t="s">
        <v>39</v>
      </c>
    </row>
    <row r="857" spans="1:19" ht="14.4" customHeight="1" x14ac:dyDescent="0.3">
      <c r="A857" s="2" t="s">
        <v>147</v>
      </c>
      <c r="B857" s="4" t="s">
        <v>566</v>
      </c>
      <c r="C857" s="3" t="s">
        <v>44</v>
      </c>
      <c r="D857" t="s">
        <v>528</v>
      </c>
      <c r="G857">
        <v>72</v>
      </c>
      <c r="H857" t="s">
        <v>514</v>
      </c>
      <c r="K857">
        <v>2.15327172636492E-2</v>
      </c>
      <c r="L857" t="s">
        <v>458</v>
      </c>
      <c r="M857" t="s">
        <v>535</v>
      </c>
      <c r="Q857" t="s">
        <v>468</v>
      </c>
      <c r="R857" t="s">
        <v>4</v>
      </c>
      <c r="S857" t="s">
        <v>39</v>
      </c>
    </row>
    <row r="858" spans="1:19" x14ac:dyDescent="0.3">
      <c r="A858" s="2" t="s">
        <v>148</v>
      </c>
      <c r="B858" s="4" t="s">
        <v>561</v>
      </c>
      <c r="C858" s="15" t="s">
        <v>44</v>
      </c>
      <c r="D858" t="s">
        <v>529</v>
      </c>
      <c r="G858">
        <v>1</v>
      </c>
      <c r="H858" t="s">
        <v>514</v>
      </c>
      <c r="K858">
        <v>0.71004530654943099</v>
      </c>
      <c r="L858" t="s">
        <v>458</v>
      </c>
      <c r="M858" t="s">
        <v>535</v>
      </c>
      <c r="Q858" t="s">
        <v>468</v>
      </c>
      <c r="R858" t="s">
        <v>4</v>
      </c>
      <c r="S858" t="s">
        <v>39</v>
      </c>
    </row>
    <row r="859" spans="1:19" x14ac:dyDescent="0.3">
      <c r="A859" s="2" t="s">
        <v>148</v>
      </c>
      <c r="B859" s="4" t="s">
        <v>561</v>
      </c>
      <c r="C859" s="15" t="s">
        <v>44</v>
      </c>
      <c r="D859" t="s">
        <v>529</v>
      </c>
      <c r="G859">
        <v>1.5</v>
      </c>
      <c r="H859" t="s">
        <v>514</v>
      </c>
      <c r="K859">
        <v>1.1476127260761999</v>
      </c>
      <c r="L859" t="s">
        <v>458</v>
      </c>
      <c r="M859" t="s">
        <v>535</v>
      </c>
      <c r="Q859" t="s">
        <v>468</v>
      </c>
      <c r="R859" t="s">
        <v>4</v>
      </c>
      <c r="S859" t="s">
        <v>39</v>
      </c>
    </row>
    <row r="860" spans="1:19" x14ac:dyDescent="0.3">
      <c r="A860" s="2" t="s">
        <v>148</v>
      </c>
      <c r="B860" s="4" t="s">
        <v>561</v>
      </c>
      <c r="C860" s="15" t="s">
        <v>44</v>
      </c>
      <c r="D860" t="s">
        <v>529</v>
      </c>
      <c r="G860">
        <v>2</v>
      </c>
      <c r="H860" t="s">
        <v>514</v>
      </c>
      <c r="K860">
        <v>1.4439614677649899</v>
      </c>
      <c r="L860" t="s">
        <v>458</v>
      </c>
      <c r="M860" t="s">
        <v>535</v>
      </c>
      <c r="Q860" t="s">
        <v>468</v>
      </c>
      <c r="R860" t="s">
        <v>4</v>
      </c>
      <c r="S860" t="s">
        <v>39</v>
      </c>
    </row>
    <row r="861" spans="1:19" x14ac:dyDescent="0.3">
      <c r="A861" s="2" t="s">
        <v>148</v>
      </c>
      <c r="B861" s="4" t="s">
        <v>561</v>
      </c>
      <c r="C861" s="15" t="s">
        <v>44</v>
      </c>
      <c r="D861" t="s">
        <v>529</v>
      </c>
      <c r="G861">
        <v>3</v>
      </c>
      <c r="H861" t="s">
        <v>514</v>
      </c>
      <c r="K861">
        <v>1.5069609912179101</v>
      </c>
      <c r="L861" t="s">
        <v>458</v>
      </c>
      <c r="M861" t="s">
        <v>535</v>
      </c>
      <c r="Q861" t="s">
        <v>468</v>
      </c>
      <c r="R861" t="s">
        <v>4</v>
      </c>
      <c r="S861" t="s">
        <v>39</v>
      </c>
    </row>
    <row r="862" spans="1:19" x14ac:dyDescent="0.3">
      <c r="A862" s="2" t="s">
        <v>148</v>
      </c>
      <c r="B862" s="4" t="s">
        <v>561</v>
      </c>
      <c r="C862" s="15" t="s">
        <v>44</v>
      </c>
      <c r="D862" t="s">
        <v>529</v>
      </c>
      <c r="G862">
        <v>4</v>
      </c>
      <c r="H862" t="s">
        <v>514</v>
      </c>
      <c r="K862">
        <v>1.15369664374702</v>
      </c>
      <c r="L862" t="s">
        <v>458</v>
      </c>
      <c r="M862" t="s">
        <v>535</v>
      </c>
      <c r="Q862" t="s">
        <v>468</v>
      </c>
      <c r="R862" t="s">
        <v>4</v>
      </c>
      <c r="S862" t="s">
        <v>39</v>
      </c>
    </row>
    <row r="863" spans="1:19" x14ac:dyDescent="0.3">
      <c r="A863" s="2" t="s">
        <v>148</v>
      </c>
      <c r="B863" s="4" t="s">
        <v>561</v>
      </c>
      <c r="C863" s="15" t="s">
        <v>44</v>
      </c>
      <c r="D863" t="s">
        <v>529</v>
      </c>
      <c r="G863">
        <v>5</v>
      </c>
      <c r="H863" t="s">
        <v>514</v>
      </c>
      <c r="K863">
        <v>0.91325396556698202</v>
      </c>
      <c r="L863" t="s">
        <v>458</v>
      </c>
      <c r="M863" t="s">
        <v>535</v>
      </c>
      <c r="Q863" t="s">
        <v>468</v>
      </c>
      <c r="R863" t="s">
        <v>4</v>
      </c>
      <c r="S863" t="s">
        <v>39</v>
      </c>
    </row>
    <row r="864" spans="1:19" x14ac:dyDescent="0.3">
      <c r="A864" s="2" t="s">
        <v>148</v>
      </c>
      <c r="B864" s="4" t="s">
        <v>561</v>
      </c>
      <c r="C864" s="15" t="s">
        <v>44</v>
      </c>
      <c r="D864" t="s">
        <v>529</v>
      </c>
      <c r="G864">
        <v>6</v>
      </c>
      <c r="H864" t="s">
        <v>514</v>
      </c>
      <c r="K864">
        <v>0.64882348662378997</v>
      </c>
      <c r="L864" t="s">
        <v>458</v>
      </c>
      <c r="M864" t="s">
        <v>535</v>
      </c>
      <c r="Q864" t="s">
        <v>468</v>
      </c>
      <c r="R864" t="s">
        <v>4</v>
      </c>
      <c r="S864" t="s">
        <v>39</v>
      </c>
    </row>
    <row r="865" spans="1:19" x14ac:dyDescent="0.3">
      <c r="A865" s="2" t="s">
        <v>148</v>
      </c>
      <c r="B865" s="4" t="s">
        <v>561</v>
      </c>
      <c r="C865" s="15" t="s">
        <v>44</v>
      </c>
      <c r="D865" t="s">
        <v>529</v>
      </c>
      <c r="G865">
        <v>8</v>
      </c>
      <c r="H865" t="s">
        <v>514</v>
      </c>
      <c r="K865">
        <v>0.308603291182594</v>
      </c>
      <c r="L865" t="s">
        <v>458</v>
      </c>
      <c r="M865" t="s">
        <v>535</v>
      </c>
      <c r="Q865" t="s">
        <v>468</v>
      </c>
      <c r="R865" t="s">
        <v>4</v>
      </c>
      <c r="S865" t="s">
        <v>39</v>
      </c>
    </row>
    <row r="866" spans="1:19" x14ac:dyDescent="0.3">
      <c r="A866" s="2" t="s">
        <v>148</v>
      </c>
      <c r="B866" s="4" t="s">
        <v>561</v>
      </c>
      <c r="C866" s="15" t="s">
        <v>44</v>
      </c>
      <c r="D866" t="s">
        <v>529</v>
      </c>
      <c r="G866">
        <v>12</v>
      </c>
      <c r="H866" t="s">
        <v>514</v>
      </c>
      <c r="K866">
        <v>0.113976950308918</v>
      </c>
      <c r="L866" t="s">
        <v>458</v>
      </c>
      <c r="M866" t="s">
        <v>535</v>
      </c>
      <c r="Q866" t="s">
        <v>468</v>
      </c>
      <c r="R866" t="s">
        <v>4</v>
      </c>
      <c r="S866" t="s">
        <v>39</v>
      </c>
    </row>
    <row r="867" spans="1:19" x14ac:dyDescent="0.3">
      <c r="A867" s="2" t="s">
        <v>148</v>
      </c>
      <c r="B867" s="4" t="s">
        <v>561</v>
      </c>
      <c r="C867" s="15" t="s">
        <v>44</v>
      </c>
      <c r="D867" t="s">
        <v>529</v>
      </c>
      <c r="G867">
        <v>24</v>
      </c>
      <c r="H867" t="s">
        <v>514</v>
      </c>
      <c r="K867">
        <v>7.2813881035354994E-2</v>
      </c>
      <c r="L867" t="s">
        <v>458</v>
      </c>
      <c r="M867" t="s">
        <v>535</v>
      </c>
      <c r="Q867" t="s">
        <v>468</v>
      </c>
      <c r="R867" t="s">
        <v>4</v>
      </c>
      <c r="S867" t="s">
        <v>39</v>
      </c>
    </row>
    <row r="868" spans="1:19" x14ac:dyDescent="0.3">
      <c r="A868" s="2" t="s">
        <v>148</v>
      </c>
      <c r="B868" s="4" t="s">
        <v>561</v>
      </c>
      <c r="C868" s="15" t="s">
        <v>44</v>
      </c>
      <c r="D868" t="s">
        <v>529</v>
      </c>
      <c r="G868">
        <v>36</v>
      </c>
      <c r="H868" t="s">
        <v>514</v>
      </c>
      <c r="K868">
        <v>2.8918061274417799E-2</v>
      </c>
      <c r="L868" t="s">
        <v>458</v>
      </c>
      <c r="M868" t="s">
        <v>535</v>
      </c>
      <c r="Q868" t="s">
        <v>468</v>
      </c>
      <c r="R868" t="s">
        <v>4</v>
      </c>
      <c r="S868" t="s">
        <v>39</v>
      </c>
    </row>
    <row r="869" spans="1:19" x14ac:dyDescent="0.3">
      <c r="A869" s="2" t="s">
        <v>148</v>
      </c>
      <c r="B869" s="4" t="s">
        <v>561</v>
      </c>
      <c r="C869" s="15" t="s">
        <v>44</v>
      </c>
      <c r="D869" t="s">
        <v>529</v>
      </c>
      <c r="G869">
        <v>48</v>
      </c>
      <c r="H869" t="s">
        <v>514</v>
      </c>
      <c r="K869">
        <v>2.08049444718553E-2</v>
      </c>
      <c r="L869" t="s">
        <v>458</v>
      </c>
      <c r="M869" t="s">
        <v>535</v>
      </c>
      <c r="Q869" t="s">
        <v>468</v>
      </c>
      <c r="R869" t="s">
        <v>4</v>
      </c>
      <c r="S869" t="s">
        <v>39</v>
      </c>
    </row>
    <row r="870" spans="1:19" x14ac:dyDescent="0.3">
      <c r="A870" s="2" t="s">
        <v>148</v>
      </c>
      <c r="B870" s="4" t="s">
        <v>561</v>
      </c>
      <c r="C870" s="15" t="s">
        <v>44</v>
      </c>
      <c r="D870" t="s">
        <v>529</v>
      </c>
      <c r="G870">
        <v>60</v>
      </c>
      <c r="H870" t="s">
        <v>514</v>
      </c>
      <c r="K870">
        <v>1.36919665113903E-2</v>
      </c>
      <c r="L870" t="s">
        <v>458</v>
      </c>
      <c r="M870" t="s">
        <v>535</v>
      </c>
      <c r="Q870" t="s">
        <v>468</v>
      </c>
      <c r="R870" t="s">
        <v>4</v>
      </c>
      <c r="S870" t="s">
        <v>39</v>
      </c>
    </row>
    <row r="871" spans="1:19" x14ac:dyDescent="0.3">
      <c r="A871" s="2" t="s">
        <v>148</v>
      </c>
      <c r="B871" s="4" t="s">
        <v>561</v>
      </c>
      <c r="C871" s="15" t="s">
        <v>44</v>
      </c>
      <c r="D871" t="s">
        <v>529</v>
      </c>
      <c r="G871">
        <v>72</v>
      </c>
      <c r="H871" t="s">
        <v>514</v>
      </c>
      <c r="K871">
        <v>1.2680349764681201E-2</v>
      </c>
      <c r="L871" t="s">
        <v>458</v>
      </c>
      <c r="M871" t="s">
        <v>535</v>
      </c>
      <c r="Q871" t="s">
        <v>468</v>
      </c>
      <c r="R871" t="s">
        <v>4</v>
      </c>
      <c r="S871" t="s">
        <v>39</v>
      </c>
    </row>
    <row r="872" spans="1:19" x14ac:dyDescent="0.3">
      <c r="A872" s="2" t="s">
        <v>149</v>
      </c>
      <c r="B872" s="4" t="s">
        <v>563</v>
      </c>
      <c r="C872" s="15" t="s">
        <v>44</v>
      </c>
      <c r="D872" t="s">
        <v>529</v>
      </c>
      <c r="G872">
        <v>1</v>
      </c>
      <c r="H872" t="s">
        <v>514</v>
      </c>
      <c r="K872">
        <v>0.58535897710249096</v>
      </c>
      <c r="L872" t="s">
        <v>458</v>
      </c>
      <c r="M872" t="s">
        <v>535</v>
      </c>
      <c r="Q872" t="s">
        <v>468</v>
      </c>
      <c r="R872" t="s">
        <v>4</v>
      </c>
      <c r="S872" t="s">
        <v>39</v>
      </c>
    </row>
    <row r="873" spans="1:19" x14ac:dyDescent="0.3">
      <c r="A873" s="2" t="s">
        <v>149</v>
      </c>
      <c r="B873" s="4" t="s">
        <v>563</v>
      </c>
      <c r="C873" s="15" t="s">
        <v>44</v>
      </c>
      <c r="D873" t="s">
        <v>529</v>
      </c>
      <c r="G873">
        <v>1.5</v>
      </c>
      <c r="H873" t="s">
        <v>514</v>
      </c>
      <c r="K873">
        <v>0.91427939274286896</v>
      </c>
      <c r="L873" t="s">
        <v>458</v>
      </c>
      <c r="M873" t="s">
        <v>535</v>
      </c>
      <c r="Q873" t="s">
        <v>468</v>
      </c>
      <c r="R873" t="s">
        <v>4</v>
      </c>
      <c r="S873" t="s">
        <v>39</v>
      </c>
    </row>
    <row r="874" spans="1:19" x14ac:dyDescent="0.3">
      <c r="A874" s="2" t="s">
        <v>149</v>
      </c>
      <c r="B874" s="4" t="s">
        <v>563</v>
      </c>
      <c r="C874" s="15" t="s">
        <v>44</v>
      </c>
      <c r="D874" t="s">
        <v>529</v>
      </c>
      <c r="G874">
        <v>2</v>
      </c>
      <c r="H874" t="s">
        <v>514</v>
      </c>
      <c r="K874">
        <v>1.1349604012072501</v>
      </c>
      <c r="L874" t="s">
        <v>458</v>
      </c>
      <c r="M874" t="s">
        <v>535</v>
      </c>
      <c r="Q874" t="s">
        <v>468</v>
      </c>
      <c r="R874" t="s">
        <v>4</v>
      </c>
      <c r="S874" t="s">
        <v>39</v>
      </c>
    </row>
    <row r="875" spans="1:19" x14ac:dyDescent="0.3">
      <c r="A875" s="2" t="s">
        <v>149</v>
      </c>
      <c r="B875" s="4" t="s">
        <v>563</v>
      </c>
      <c r="C875" s="15" t="s">
        <v>44</v>
      </c>
      <c r="D875" t="s">
        <v>529</v>
      </c>
      <c r="G875">
        <v>2.5</v>
      </c>
      <c r="H875" t="s">
        <v>514</v>
      </c>
      <c r="K875">
        <v>1.40608391767081</v>
      </c>
      <c r="L875" t="s">
        <v>458</v>
      </c>
      <c r="M875" t="s">
        <v>535</v>
      </c>
      <c r="Q875" t="s">
        <v>468</v>
      </c>
      <c r="R875" t="s">
        <v>4</v>
      </c>
      <c r="S875" t="s">
        <v>39</v>
      </c>
    </row>
    <row r="876" spans="1:19" x14ac:dyDescent="0.3">
      <c r="A876" s="2" t="s">
        <v>149</v>
      </c>
      <c r="B876" s="4" t="s">
        <v>563</v>
      </c>
      <c r="C876" s="15" t="s">
        <v>44</v>
      </c>
      <c r="D876" t="s">
        <v>529</v>
      </c>
      <c r="G876">
        <v>3</v>
      </c>
      <c r="H876" t="s">
        <v>514</v>
      </c>
      <c r="K876">
        <v>1.77812421993782</v>
      </c>
      <c r="L876" t="s">
        <v>458</v>
      </c>
      <c r="M876" t="s">
        <v>535</v>
      </c>
      <c r="Q876" t="s">
        <v>468</v>
      </c>
      <c r="R876" t="s">
        <v>4</v>
      </c>
      <c r="S876" t="s">
        <v>39</v>
      </c>
    </row>
    <row r="877" spans="1:19" x14ac:dyDescent="0.3">
      <c r="A877" s="2" t="s">
        <v>149</v>
      </c>
      <c r="B877" s="4" t="s">
        <v>563</v>
      </c>
      <c r="C877" s="15" t="s">
        <v>44</v>
      </c>
      <c r="D877" t="s">
        <v>529</v>
      </c>
      <c r="G877">
        <v>3.5</v>
      </c>
      <c r="H877" t="s">
        <v>514</v>
      </c>
      <c r="K877">
        <v>1.7528433975537201</v>
      </c>
      <c r="L877" t="s">
        <v>458</v>
      </c>
      <c r="M877" t="s">
        <v>535</v>
      </c>
      <c r="Q877" t="s">
        <v>468</v>
      </c>
      <c r="R877" t="s">
        <v>4</v>
      </c>
      <c r="S877" t="s">
        <v>39</v>
      </c>
    </row>
    <row r="878" spans="1:19" x14ac:dyDescent="0.3">
      <c r="A878" s="2" t="s">
        <v>149</v>
      </c>
      <c r="B878" s="4" t="s">
        <v>563</v>
      </c>
      <c r="C878" s="15" t="s">
        <v>44</v>
      </c>
      <c r="D878" t="s">
        <v>529</v>
      </c>
      <c r="G878">
        <v>4</v>
      </c>
      <c r="H878" t="s">
        <v>514</v>
      </c>
      <c r="K878">
        <v>1.30504799509837</v>
      </c>
      <c r="L878" t="s">
        <v>458</v>
      </c>
      <c r="M878" t="s">
        <v>535</v>
      </c>
      <c r="Q878" t="s">
        <v>468</v>
      </c>
      <c r="R878" t="s">
        <v>4</v>
      </c>
      <c r="S878" t="s">
        <v>39</v>
      </c>
    </row>
    <row r="879" spans="1:19" x14ac:dyDescent="0.3">
      <c r="A879" s="2" t="s">
        <v>149</v>
      </c>
      <c r="B879" s="4" t="s">
        <v>563</v>
      </c>
      <c r="C879" s="15" t="s">
        <v>44</v>
      </c>
      <c r="D879" t="s">
        <v>529</v>
      </c>
      <c r="G879">
        <v>5</v>
      </c>
      <c r="H879" t="s">
        <v>514</v>
      </c>
      <c r="K879">
        <v>1.11577143894524</v>
      </c>
      <c r="L879" t="s">
        <v>458</v>
      </c>
      <c r="M879" t="s">
        <v>535</v>
      </c>
      <c r="Q879" t="s">
        <v>468</v>
      </c>
      <c r="R879" t="s">
        <v>4</v>
      </c>
      <c r="S879" t="s">
        <v>39</v>
      </c>
    </row>
    <row r="880" spans="1:19" x14ac:dyDescent="0.3">
      <c r="A880" s="2" t="s">
        <v>149</v>
      </c>
      <c r="B880" s="4" t="s">
        <v>563</v>
      </c>
      <c r="C880" s="15" t="s">
        <v>44</v>
      </c>
      <c r="D880" t="s">
        <v>529</v>
      </c>
      <c r="G880">
        <v>6</v>
      </c>
      <c r="H880" t="s">
        <v>514</v>
      </c>
      <c r="K880">
        <v>0.71991957315847599</v>
      </c>
      <c r="L880" t="s">
        <v>458</v>
      </c>
      <c r="M880" t="s">
        <v>535</v>
      </c>
      <c r="Q880" t="s">
        <v>468</v>
      </c>
      <c r="R880" t="s">
        <v>4</v>
      </c>
      <c r="S880" t="s">
        <v>39</v>
      </c>
    </row>
    <row r="881" spans="1:19" x14ac:dyDescent="0.3">
      <c r="A881" s="2" t="s">
        <v>149</v>
      </c>
      <c r="B881" s="4" t="s">
        <v>563</v>
      </c>
      <c r="C881" s="15" t="s">
        <v>44</v>
      </c>
      <c r="D881" t="s">
        <v>529</v>
      </c>
      <c r="G881">
        <v>8</v>
      </c>
      <c r="H881" t="s">
        <v>514</v>
      </c>
      <c r="K881">
        <v>0.332389743002178</v>
      </c>
      <c r="L881" t="s">
        <v>458</v>
      </c>
      <c r="M881" t="s">
        <v>535</v>
      </c>
      <c r="Q881" t="s">
        <v>468</v>
      </c>
      <c r="R881" t="s">
        <v>4</v>
      </c>
      <c r="S881" t="s">
        <v>39</v>
      </c>
    </row>
    <row r="882" spans="1:19" x14ac:dyDescent="0.3">
      <c r="A882" s="2" t="s">
        <v>149</v>
      </c>
      <c r="B882" s="4" t="s">
        <v>563</v>
      </c>
      <c r="C882" s="15" t="s">
        <v>44</v>
      </c>
      <c r="D882" t="s">
        <v>529</v>
      </c>
      <c r="G882">
        <v>12</v>
      </c>
      <c r="H882" t="s">
        <v>514</v>
      </c>
      <c r="K882">
        <v>0.11741380220688</v>
      </c>
      <c r="L882" t="s">
        <v>458</v>
      </c>
      <c r="M882" t="s">
        <v>535</v>
      </c>
      <c r="Q882" t="s">
        <v>468</v>
      </c>
      <c r="R882" t="s">
        <v>4</v>
      </c>
      <c r="S882" t="s">
        <v>39</v>
      </c>
    </row>
    <row r="883" spans="1:19" x14ac:dyDescent="0.3">
      <c r="A883" s="2" t="s">
        <v>149</v>
      </c>
      <c r="B883" s="4" t="s">
        <v>563</v>
      </c>
      <c r="C883" s="15" t="s">
        <v>44</v>
      </c>
      <c r="D883" t="s">
        <v>529</v>
      </c>
      <c r="G883">
        <v>24</v>
      </c>
      <c r="H883" t="s">
        <v>514</v>
      </c>
      <c r="K883">
        <v>7.3902137668906701E-2</v>
      </c>
      <c r="L883" t="s">
        <v>458</v>
      </c>
      <c r="M883" t="s">
        <v>535</v>
      </c>
      <c r="Q883" t="s">
        <v>468</v>
      </c>
      <c r="R883" t="s">
        <v>4</v>
      </c>
      <c r="S883" t="s">
        <v>39</v>
      </c>
    </row>
    <row r="884" spans="1:19" x14ac:dyDescent="0.3">
      <c r="A884" s="2" t="s">
        <v>149</v>
      </c>
      <c r="B884" s="4" t="s">
        <v>563</v>
      </c>
      <c r="C884" s="15" t="s">
        <v>44</v>
      </c>
      <c r="D884" t="s">
        <v>529</v>
      </c>
      <c r="G884">
        <v>36</v>
      </c>
      <c r="H884" t="s">
        <v>514</v>
      </c>
      <c r="K884">
        <v>3.2566374550164097E-2</v>
      </c>
      <c r="L884" t="s">
        <v>458</v>
      </c>
      <c r="M884" t="s">
        <v>535</v>
      </c>
      <c r="Q884" t="s">
        <v>468</v>
      </c>
      <c r="R884" t="s">
        <v>4</v>
      </c>
      <c r="S884" t="s">
        <v>39</v>
      </c>
    </row>
    <row r="885" spans="1:19" x14ac:dyDescent="0.3">
      <c r="A885" s="2" t="s">
        <v>149</v>
      </c>
      <c r="B885" s="4" t="s">
        <v>563</v>
      </c>
      <c r="C885" s="15" t="s">
        <v>44</v>
      </c>
      <c r="D885" t="s">
        <v>529</v>
      </c>
      <c r="G885">
        <v>48</v>
      </c>
      <c r="H885" t="s">
        <v>514</v>
      </c>
      <c r="K885">
        <v>2.20785628362677E-2</v>
      </c>
      <c r="L885" t="s">
        <v>458</v>
      </c>
      <c r="M885" t="s">
        <v>535</v>
      </c>
      <c r="Q885" t="s">
        <v>468</v>
      </c>
      <c r="R885" t="s">
        <v>4</v>
      </c>
      <c r="S885" t="s">
        <v>39</v>
      </c>
    </row>
    <row r="886" spans="1:19" x14ac:dyDescent="0.3">
      <c r="A886" s="2" t="s">
        <v>149</v>
      </c>
      <c r="B886" s="4" t="s">
        <v>563</v>
      </c>
      <c r="C886" s="15" t="s">
        <v>44</v>
      </c>
      <c r="D886" t="s">
        <v>529</v>
      </c>
      <c r="G886">
        <v>60</v>
      </c>
      <c r="H886" t="s">
        <v>514</v>
      </c>
      <c r="K886">
        <v>1.12876114209918E-2</v>
      </c>
      <c r="L886" t="s">
        <v>458</v>
      </c>
      <c r="M886" t="s">
        <v>535</v>
      </c>
      <c r="Q886" t="s">
        <v>468</v>
      </c>
      <c r="R886" t="s">
        <v>4</v>
      </c>
      <c r="S886" t="s">
        <v>39</v>
      </c>
    </row>
    <row r="887" spans="1:19" x14ac:dyDescent="0.3">
      <c r="A887" s="2" t="s">
        <v>149</v>
      </c>
      <c r="B887" s="4" t="s">
        <v>563</v>
      </c>
      <c r="C887" s="15" t="s">
        <v>44</v>
      </c>
      <c r="D887" t="s">
        <v>529</v>
      </c>
      <c r="G887">
        <v>72</v>
      </c>
      <c r="H887" t="s">
        <v>514</v>
      </c>
      <c r="K887">
        <v>8.8778089898029003E-3</v>
      </c>
      <c r="L887" t="s">
        <v>458</v>
      </c>
      <c r="M887" t="s">
        <v>535</v>
      </c>
      <c r="Q887" t="s">
        <v>468</v>
      </c>
      <c r="R887" t="s">
        <v>4</v>
      </c>
      <c r="S887" t="s">
        <v>39</v>
      </c>
    </row>
    <row r="888" spans="1:19" x14ac:dyDescent="0.3">
      <c r="A888" s="2" t="s">
        <v>150</v>
      </c>
      <c r="B888" s="4" t="s">
        <v>385</v>
      </c>
      <c r="C888" s="3" t="s">
        <v>45</v>
      </c>
      <c r="D888" t="s">
        <v>528</v>
      </c>
      <c r="G888">
        <v>1</v>
      </c>
      <c r="H888" t="s">
        <v>514</v>
      </c>
      <c r="K888">
        <v>9.0736838057275708</v>
      </c>
      <c r="L888" t="s">
        <v>550</v>
      </c>
      <c r="M888" t="s">
        <v>535</v>
      </c>
      <c r="Q888" t="s">
        <v>468</v>
      </c>
      <c r="R888" t="s">
        <v>4</v>
      </c>
      <c r="S888" t="s">
        <v>46</v>
      </c>
    </row>
    <row r="889" spans="1:19" x14ac:dyDescent="0.3">
      <c r="A889" s="2" t="s">
        <v>150</v>
      </c>
      <c r="B889" s="4" t="s">
        <v>385</v>
      </c>
      <c r="C889" s="3" t="s">
        <v>45</v>
      </c>
      <c r="D889" t="s">
        <v>528</v>
      </c>
      <c r="G889">
        <v>2</v>
      </c>
      <c r="H889" t="s">
        <v>514</v>
      </c>
      <c r="K889">
        <v>15.1153958454427</v>
      </c>
      <c r="L889" t="s">
        <v>550</v>
      </c>
      <c r="M889" t="s">
        <v>535</v>
      </c>
      <c r="Q889" t="s">
        <v>468</v>
      </c>
      <c r="R889" t="s">
        <v>4</v>
      </c>
      <c r="S889" t="s">
        <v>46</v>
      </c>
    </row>
    <row r="890" spans="1:19" x14ac:dyDescent="0.3">
      <c r="A890" s="2" t="s">
        <v>150</v>
      </c>
      <c r="B890" s="4" t="s">
        <v>385</v>
      </c>
      <c r="C890" s="3" t="s">
        <v>45</v>
      </c>
      <c r="D890" t="s">
        <v>528</v>
      </c>
      <c r="G890">
        <v>4</v>
      </c>
      <c r="H890" t="s">
        <v>514</v>
      </c>
      <c r="K890">
        <v>13.304867506612901</v>
      </c>
      <c r="L890" t="s">
        <v>550</v>
      </c>
      <c r="M890" t="s">
        <v>535</v>
      </c>
      <c r="Q890" t="s">
        <v>468</v>
      </c>
      <c r="R890" t="s">
        <v>4</v>
      </c>
      <c r="S890" t="s">
        <v>46</v>
      </c>
    </row>
    <row r="891" spans="1:19" x14ac:dyDescent="0.3">
      <c r="A891" s="2" t="s">
        <v>150</v>
      </c>
      <c r="B891" s="4" t="s">
        <v>385</v>
      </c>
      <c r="C891" s="3" t="s">
        <v>45</v>
      </c>
      <c r="D891" t="s">
        <v>528</v>
      </c>
      <c r="G891">
        <v>5</v>
      </c>
      <c r="H891" t="s">
        <v>514</v>
      </c>
      <c r="K891">
        <v>12.0357992135045</v>
      </c>
      <c r="L891" t="s">
        <v>550</v>
      </c>
      <c r="M891" t="s">
        <v>535</v>
      </c>
      <c r="Q891" t="s">
        <v>468</v>
      </c>
      <c r="R891" t="s">
        <v>4</v>
      </c>
      <c r="S891" t="s">
        <v>46</v>
      </c>
    </row>
    <row r="892" spans="1:19" x14ac:dyDescent="0.3">
      <c r="A892" s="2" t="s">
        <v>150</v>
      </c>
      <c r="B892" s="4" t="s">
        <v>385</v>
      </c>
      <c r="C892" s="3" t="s">
        <v>45</v>
      </c>
      <c r="D892" t="s">
        <v>528</v>
      </c>
      <c r="G892">
        <v>6</v>
      </c>
      <c r="H892" t="s">
        <v>514</v>
      </c>
      <c r="K892">
        <v>11.1895511247928</v>
      </c>
      <c r="L892" t="s">
        <v>550</v>
      </c>
      <c r="M892" t="s">
        <v>535</v>
      </c>
      <c r="Q892" t="s">
        <v>468</v>
      </c>
      <c r="R892" t="s">
        <v>4</v>
      </c>
      <c r="S892" t="s">
        <v>46</v>
      </c>
    </row>
    <row r="893" spans="1:19" x14ac:dyDescent="0.3">
      <c r="A893" s="2" t="s">
        <v>150</v>
      </c>
      <c r="B893" s="4" t="s">
        <v>385</v>
      </c>
      <c r="C893" s="3" t="s">
        <v>45</v>
      </c>
      <c r="D893" t="s">
        <v>528</v>
      </c>
      <c r="G893">
        <v>8</v>
      </c>
      <c r="H893" t="s">
        <v>514</v>
      </c>
      <c r="K893">
        <v>7.4932493501072104</v>
      </c>
      <c r="L893" t="s">
        <v>550</v>
      </c>
      <c r="M893" t="s">
        <v>535</v>
      </c>
      <c r="Q893" t="s">
        <v>468</v>
      </c>
      <c r="R893" t="s">
        <v>4</v>
      </c>
      <c r="S893" t="s">
        <v>46</v>
      </c>
    </row>
    <row r="894" spans="1:19" x14ac:dyDescent="0.3">
      <c r="A894" s="2" t="s">
        <v>150</v>
      </c>
      <c r="B894" s="4" t="s">
        <v>385</v>
      </c>
      <c r="C894" s="3" t="s">
        <v>45</v>
      </c>
      <c r="D894" t="s">
        <v>528</v>
      </c>
      <c r="G894">
        <v>12</v>
      </c>
      <c r="H894" t="s">
        <v>514</v>
      </c>
      <c r="K894">
        <v>6.0763273273489098</v>
      </c>
      <c r="L894" t="s">
        <v>550</v>
      </c>
      <c r="M894" t="s">
        <v>535</v>
      </c>
      <c r="Q894" t="s">
        <v>468</v>
      </c>
      <c r="R894" t="s">
        <v>4</v>
      </c>
      <c r="S894" t="s">
        <v>46</v>
      </c>
    </row>
    <row r="895" spans="1:19" x14ac:dyDescent="0.3">
      <c r="A895" s="2" t="s">
        <v>151</v>
      </c>
      <c r="B895" s="4" t="s">
        <v>386</v>
      </c>
      <c r="C895" s="3" t="s">
        <v>45</v>
      </c>
      <c r="D895" t="s">
        <v>528</v>
      </c>
      <c r="G895">
        <v>1</v>
      </c>
      <c r="H895" t="s">
        <v>514</v>
      </c>
      <c r="K895">
        <v>35.600097494567898</v>
      </c>
      <c r="L895" t="s">
        <v>550</v>
      </c>
      <c r="M895" t="s">
        <v>535</v>
      </c>
      <c r="Q895" t="s">
        <v>468</v>
      </c>
      <c r="R895" t="s">
        <v>4</v>
      </c>
      <c r="S895" t="s">
        <v>46</v>
      </c>
    </row>
    <row r="896" spans="1:19" x14ac:dyDescent="0.3">
      <c r="A896" s="2" t="s">
        <v>151</v>
      </c>
      <c r="B896" s="4" t="s">
        <v>386</v>
      </c>
      <c r="C896" s="3" t="s">
        <v>45</v>
      </c>
      <c r="D896" t="s">
        <v>528</v>
      </c>
      <c r="G896">
        <v>2</v>
      </c>
      <c r="H896" t="s">
        <v>514</v>
      </c>
      <c r="K896">
        <v>58.766427161770601</v>
      </c>
      <c r="L896" t="s">
        <v>550</v>
      </c>
      <c r="M896" t="s">
        <v>535</v>
      </c>
      <c r="Q896" t="s">
        <v>468</v>
      </c>
      <c r="R896" t="s">
        <v>4</v>
      </c>
      <c r="S896" t="s">
        <v>46</v>
      </c>
    </row>
    <row r="897" spans="1:19" x14ac:dyDescent="0.3">
      <c r="A897" s="2" t="s">
        <v>151</v>
      </c>
      <c r="B897" s="4" t="s">
        <v>386</v>
      </c>
      <c r="C897" s="3" t="s">
        <v>45</v>
      </c>
      <c r="D897" t="s">
        <v>528</v>
      </c>
      <c r="G897">
        <v>4</v>
      </c>
      <c r="H897" t="s">
        <v>514</v>
      </c>
      <c r="K897">
        <v>37.945097477181797</v>
      </c>
      <c r="L897" t="s">
        <v>550</v>
      </c>
      <c r="M897" t="s">
        <v>535</v>
      </c>
      <c r="Q897" t="s">
        <v>468</v>
      </c>
      <c r="R897" t="s">
        <v>4</v>
      </c>
      <c r="S897" t="s">
        <v>46</v>
      </c>
    </row>
    <row r="898" spans="1:19" x14ac:dyDescent="0.3">
      <c r="A898" s="2" t="s">
        <v>151</v>
      </c>
      <c r="B898" s="4" t="s">
        <v>386</v>
      </c>
      <c r="C898" s="3" t="s">
        <v>45</v>
      </c>
      <c r="D898" t="s">
        <v>528</v>
      </c>
      <c r="G898">
        <v>5</v>
      </c>
      <c r="H898" t="s">
        <v>514</v>
      </c>
      <c r="K898">
        <v>30.769939977537</v>
      </c>
      <c r="L898" t="s">
        <v>550</v>
      </c>
      <c r="M898" t="s">
        <v>535</v>
      </c>
      <c r="Q898" t="s">
        <v>468</v>
      </c>
      <c r="R898" t="s">
        <v>4</v>
      </c>
      <c r="S898" t="s">
        <v>46</v>
      </c>
    </row>
    <row r="899" spans="1:19" x14ac:dyDescent="0.3">
      <c r="A899" s="2" t="s">
        <v>151</v>
      </c>
      <c r="B899" s="4" t="s">
        <v>386</v>
      </c>
      <c r="C899" s="3" t="s">
        <v>45</v>
      </c>
      <c r="D899" t="s">
        <v>528</v>
      </c>
      <c r="G899">
        <v>6</v>
      </c>
      <c r="H899" t="s">
        <v>514</v>
      </c>
      <c r="K899">
        <v>21.9628479203935</v>
      </c>
      <c r="L899" t="s">
        <v>550</v>
      </c>
      <c r="M899" t="s">
        <v>535</v>
      </c>
      <c r="Q899" t="s">
        <v>468</v>
      </c>
      <c r="R899" t="s">
        <v>4</v>
      </c>
      <c r="S899" t="s">
        <v>46</v>
      </c>
    </row>
    <row r="900" spans="1:19" x14ac:dyDescent="0.3">
      <c r="A900" s="2" t="s">
        <v>151</v>
      </c>
      <c r="B900" s="4" t="s">
        <v>386</v>
      </c>
      <c r="C900" s="3" t="s">
        <v>45</v>
      </c>
      <c r="D900" t="s">
        <v>528</v>
      </c>
      <c r="G900">
        <v>8</v>
      </c>
      <c r="H900" t="s">
        <v>514</v>
      </c>
      <c r="K900">
        <v>18.982968019944298</v>
      </c>
      <c r="L900" t="s">
        <v>550</v>
      </c>
      <c r="M900" t="s">
        <v>535</v>
      </c>
      <c r="Q900" t="s">
        <v>468</v>
      </c>
      <c r="R900" t="s">
        <v>4</v>
      </c>
      <c r="S900" t="s">
        <v>46</v>
      </c>
    </row>
    <row r="901" spans="1:19" x14ac:dyDescent="0.3">
      <c r="A901" s="2" t="s">
        <v>151</v>
      </c>
      <c r="B901" s="4" t="s">
        <v>386</v>
      </c>
      <c r="C901" s="3" t="s">
        <v>45</v>
      </c>
      <c r="D901" t="s">
        <v>528</v>
      </c>
      <c r="G901">
        <v>12</v>
      </c>
      <c r="H901" t="s">
        <v>514</v>
      </c>
      <c r="K901">
        <v>12.828604596993101</v>
      </c>
      <c r="L901" t="s">
        <v>550</v>
      </c>
      <c r="M901" t="s">
        <v>535</v>
      </c>
      <c r="Q901" t="s">
        <v>468</v>
      </c>
      <c r="R901" t="s">
        <v>4</v>
      </c>
      <c r="S901" t="s">
        <v>46</v>
      </c>
    </row>
    <row r="902" spans="1:19" x14ac:dyDescent="0.3">
      <c r="A902" s="2" t="s">
        <v>151</v>
      </c>
      <c r="B902" s="4" t="s">
        <v>386</v>
      </c>
      <c r="C902" s="3" t="s">
        <v>45</v>
      </c>
      <c r="D902" t="s">
        <v>528</v>
      </c>
      <c r="G902">
        <v>24</v>
      </c>
      <c r="H902" t="s">
        <v>514</v>
      </c>
      <c r="K902">
        <v>9.58363672304829</v>
      </c>
      <c r="L902" t="s">
        <v>550</v>
      </c>
      <c r="M902" t="s">
        <v>535</v>
      </c>
      <c r="Q902" t="s">
        <v>468</v>
      </c>
      <c r="R902" t="s">
        <v>4</v>
      </c>
      <c r="S902" t="s">
        <v>46</v>
      </c>
    </row>
    <row r="903" spans="1:19" x14ac:dyDescent="0.3">
      <c r="A903" s="2" t="s">
        <v>152</v>
      </c>
      <c r="B903" s="4" t="s">
        <v>387</v>
      </c>
      <c r="C903" s="3" t="s">
        <v>45</v>
      </c>
      <c r="D903" t="s">
        <v>528</v>
      </c>
      <c r="G903">
        <v>1</v>
      </c>
      <c r="H903" t="s">
        <v>514</v>
      </c>
      <c r="K903">
        <v>28.6064772582065</v>
      </c>
      <c r="L903" t="s">
        <v>550</v>
      </c>
      <c r="M903" t="s">
        <v>535</v>
      </c>
      <c r="Q903" t="s">
        <v>468</v>
      </c>
      <c r="R903" t="s">
        <v>4</v>
      </c>
      <c r="S903" t="s">
        <v>46</v>
      </c>
    </row>
    <row r="904" spans="1:19" x14ac:dyDescent="0.3">
      <c r="A904" s="2" t="s">
        <v>152</v>
      </c>
      <c r="B904" s="4" t="s">
        <v>387</v>
      </c>
      <c r="C904" s="3" t="s">
        <v>45</v>
      </c>
      <c r="D904" t="s">
        <v>528</v>
      </c>
      <c r="G904">
        <v>2</v>
      </c>
      <c r="H904" t="s">
        <v>514</v>
      </c>
      <c r="K904">
        <v>64.373500231569494</v>
      </c>
      <c r="L904" t="s">
        <v>550</v>
      </c>
      <c r="M904" t="s">
        <v>535</v>
      </c>
      <c r="Q904" t="s">
        <v>468</v>
      </c>
      <c r="R904" t="s">
        <v>4</v>
      </c>
      <c r="S904" t="s">
        <v>46</v>
      </c>
    </row>
    <row r="905" spans="1:19" x14ac:dyDescent="0.3">
      <c r="A905" s="2" t="s">
        <v>152</v>
      </c>
      <c r="B905" s="4" t="s">
        <v>387</v>
      </c>
      <c r="C905" s="3" t="s">
        <v>45</v>
      </c>
      <c r="D905" t="s">
        <v>528</v>
      </c>
      <c r="G905">
        <v>4</v>
      </c>
      <c r="H905" t="s">
        <v>514</v>
      </c>
      <c r="K905">
        <v>51.727360316542097</v>
      </c>
      <c r="L905" t="s">
        <v>550</v>
      </c>
      <c r="M905" t="s">
        <v>535</v>
      </c>
      <c r="Q905" t="s">
        <v>468</v>
      </c>
      <c r="R905" t="s">
        <v>4</v>
      </c>
      <c r="S905" t="s">
        <v>46</v>
      </c>
    </row>
    <row r="906" spans="1:19" x14ac:dyDescent="0.3">
      <c r="A906" s="2" t="s">
        <v>152</v>
      </c>
      <c r="B906" s="4" t="s">
        <v>387</v>
      </c>
      <c r="C906" s="3" t="s">
        <v>45</v>
      </c>
      <c r="D906" t="s">
        <v>528</v>
      </c>
      <c r="G906">
        <v>5</v>
      </c>
      <c r="H906" t="s">
        <v>514</v>
      </c>
      <c r="K906">
        <v>39.714087746672803</v>
      </c>
      <c r="L906" t="s">
        <v>550</v>
      </c>
      <c r="M906" t="s">
        <v>535</v>
      </c>
      <c r="Q906" t="s">
        <v>468</v>
      </c>
      <c r="R906" t="s">
        <v>4</v>
      </c>
      <c r="S906" t="s">
        <v>46</v>
      </c>
    </row>
    <row r="907" spans="1:19" x14ac:dyDescent="0.3">
      <c r="A907" s="2" t="s">
        <v>152</v>
      </c>
      <c r="B907" s="4" t="s">
        <v>387</v>
      </c>
      <c r="C907" s="3" t="s">
        <v>45</v>
      </c>
      <c r="D907" t="s">
        <v>528</v>
      </c>
      <c r="G907">
        <v>6</v>
      </c>
      <c r="H907" t="s">
        <v>514</v>
      </c>
      <c r="K907">
        <v>29.940103557219601</v>
      </c>
      <c r="L907" t="s">
        <v>550</v>
      </c>
      <c r="M907" t="s">
        <v>535</v>
      </c>
      <c r="Q907" t="s">
        <v>468</v>
      </c>
      <c r="R907" t="s">
        <v>4</v>
      </c>
      <c r="S907" t="s">
        <v>46</v>
      </c>
    </row>
    <row r="908" spans="1:19" x14ac:dyDescent="0.3">
      <c r="A908" s="2" t="s">
        <v>152</v>
      </c>
      <c r="B908" s="4" t="s">
        <v>387</v>
      </c>
      <c r="C908" s="3" t="s">
        <v>45</v>
      </c>
      <c r="D908" t="s">
        <v>528</v>
      </c>
      <c r="G908">
        <v>8</v>
      </c>
      <c r="H908" t="s">
        <v>514</v>
      </c>
      <c r="K908">
        <v>22.366818914201499</v>
      </c>
      <c r="L908" t="s">
        <v>550</v>
      </c>
      <c r="M908" t="s">
        <v>535</v>
      </c>
      <c r="Q908" t="s">
        <v>468</v>
      </c>
      <c r="R908" t="s">
        <v>4</v>
      </c>
      <c r="S908" t="s">
        <v>46</v>
      </c>
    </row>
    <row r="909" spans="1:19" x14ac:dyDescent="0.3">
      <c r="A909" s="2" t="s">
        <v>152</v>
      </c>
      <c r="B909" s="4" t="s">
        <v>387</v>
      </c>
      <c r="C909" s="3" t="s">
        <v>45</v>
      </c>
      <c r="D909" t="s">
        <v>528</v>
      </c>
      <c r="G909">
        <v>12</v>
      </c>
      <c r="H909" t="s">
        <v>514</v>
      </c>
      <c r="K909">
        <v>14.8423940607496</v>
      </c>
      <c r="L909" t="s">
        <v>550</v>
      </c>
      <c r="M909" t="s">
        <v>535</v>
      </c>
      <c r="Q909" t="s">
        <v>468</v>
      </c>
      <c r="R909" t="s">
        <v>4</v>
      </c>
      <c r="S909" t="s">
        <v>46</v>
      </c>
    </row>
    <row r="910" spans="1:19" x14ac:dyDescent="0.3">
      <c r="A910" s="2" t="s">
        <v>152</v>
      </c>
      <c r="B910" s="4" t="s">
        <v>387</v>
      </c>
      <c r="C910" s="3" t="s">
        <v>45</v>
      </c>
      <c r="D910" t="s">
        <v>528</v>
      </c>
      <c r="G910">
        <v>24</v>
      </c>
      <c r="H910" t="s">
        <v>514</v>
      </c>
      <c r="K910">
        <v>9.5836367230483095</v>
      </c>
      <c r="L910" t="s">
        <v>550</v>
      </c>
      <c r="M910" t="s">
        <v>535</v>
      </c>
      <c r="Q910" t="s">
        <v>468</v>
      </c>
      <c r="R910" t="s">
        <v>4</v>
      </c>
      <c r="S910" t="s">
        <v>46</v>
      </c>
    </row>
    <row r="911" spans="1:19" x14ac:dyDescent="0.3">
      <c r="A911" s="2" t="s">
        <v>152</v>
      </c>
      <c r="B911" s="4" t="s">
        <v>387</v>
      </c>
      <c r="C911" s="3" t="s">
        <v>45</v>
      </c>
      <c r="D911" t="s">
        <v>528</v>
      </c>
      <c r="G911">
        <v>48</v>
      </c>
      <c r="H911" t="s">
        <v>514</v>
      </c>
      <c r="K911">
        <v>6.0212044968871297</v>
      </c>
      <c r="L911" t="s">
        <v>550</v>
      </c>
      <c r="M911" t="s">
        <v>535</v>
      </c>
      <c r="Q911" t="s">
        <v>468</v>
      </c>
      <c r="R911" t="s">
        <v>4</v>
      </c>
      <c r="S911" t="s">
        <v>46</v>
      </c>
    </row>
    <row r="912" spans="1:19" x14ac:dyDescent="0.3">
      <c r="A912" s="2" t="s">
        <v>153</v>
      </c>
      <c r="B912" s="4" t="s">
        <v>574</v>
      </c>
      <c r="C912" s="3" t="s">
        <v>45</v>
      </c>
      <c r="D912" t="s">
        <v>528</v>
      </c>
      <c r="G912">
        <v>1</v>
      </c>
      <c r="H912" t="s">
        <v>514</v>
      </c>
      <c r="K912">
        <v>20.605547994561402</v>
      </c>
      <c r="L912" t="s">
        <v>550</v>
      </c>
      <c r="M912" t="s">
        <v>535</v>
      </c>
      <c r="Q912" t="s">
        <v>468</v>
      </c>
      <c r="R912" t="s">
        <v>4</v>
      </c>
      <c r="S912" t="s">
        <v>46</v>
      </c>
    </row>
    <row r="913" spans="1:19" x14ac:dyDescent="0.3">
      <c r="A913" s="2" t="s">
        <v>153</v>
      </c>
      <c r="B913" s="4" t="s">
        <v>391</v>
      </c>
      <c r="C913" s="3" t="s">
        <v>45</v>
      </c>
      <c r="D913" t="s">
        <v>528</v>
      </c>
      <c r="G913">
        <v>2</v>
      </c>
      <c r="H913" t="s">
        <v>514</v>
      </c>
      <c r="K913">
        <v>94.391749795966504</v>
      </c>
      <c r="L913" t="s">
        <v>550</v>
      </c>
      <c r="M913" t="s">
        <v>535</v>
      </c>
      <c r="Q913" t="s">
        <v>468</v>
      </c>
      <c r="R913" t="s">
        <v>4</v>
      </c>
      <c r="S913" t="s">
        <v>46</v>
      </c>
    </row>
    <row r="914" spans="1:19" x14ac:dyDescent="0.3">
      <c r="A914" s="2" t="s">
        <v>153</v>
      </c>
      <c r="B914" s="4" t="s">
        <v>391</v>
      </c>
      <c r="C914" s="3" t="s">
        <v>45</v>
      </c>
      <c r="D914" t="s">
        <v>528</v>
      </c>
      <c r="G914">
        <v>4</v>
      </c>
      <c r="H914" t="s">
        <v>514</v>
      </c>
      <c r="K914">
        <v>96.127933059201197</v>
      </c>
      <c r="L914" t="s">
        <v>550</v>
      </c>
      <c r="M914" t="s">
        <v>535</v>
      </c>
      <c r="Q914" t="s">
        <v>468</v>
      </c>
      <c r="R914" t="s">
        <v>4</v>
      </c>
      <c r="S914" t="s">
        <v>46</v>
      </c>
    </row>
    <row r="915" spans="1:19" x14ac:dyDescent="0.3">
      <c r="A915" s="2" t="s">
        <v>153</v>
      </c>
      <c r="B915" s="4" t="s">
        <v>391</v>
      </c>
      <c r="C915" s="3" t="s">
        <v>45</v>
      </c>
      <c r="D915" t="s">
        <v>528</v>
      </c>
      <c r="G915">
        <v>5</v>
      </c>
      <c r="H915" t="s">
        <v>514</v>
      </c>
      <c r="K915">
        <v>62.069177358195098</v>
      </c>
      <c r="L915" t="s">
        <v>550</v>
      </c>
      <c r="M915" t="s">
        <v>535</v>
      </c>
      <c r="Q915" t="s">
        <v>468</v>
      </c>
      <c r="R915" t="s">
        <v>4</v>
      </c>
      <c r="S915" t="s">
        <v>46</v>
      </c>
    </row>
    <row r="916" spans="1:19" x14ac:dyDescent="0.3">
      <c r="A916" s="2" t="s">
        <v>153</v>
      </c>
      <c r="B916" s="4" t="s">
        <v>391</v>
      </c>
      <c r="C916" s="3" t="s">
        <v>45</v>
      </c>
      <c r="D916" t="s">
        <v>528</v>
      </c>
      <c r="G916">
        <v>6</v>
      </c>
      <c r="H916" t="s">
        <v>514</v>
      </c>
      <c r="K916">
        <v>46.368912768488002</v>
      </c>
      <c r="L916" t="s">
        <v>550</v>
      </c>
      <c r="M916" t="s">
        <v>535</v>
      </c>
      <c r="Q916" t="s">
        <v>468</v>
      </c>
      <c r="R916" t="s">
        <v>4</v>
      </c>
      <c r="S916" t="s">
        <v>46</v>
      </c>
    </row>
    <row r="917" spans="1:19" x14ac:dyDescent="0.3">
      <c r="A917" s="2" t="s">
        <v>153</v>
      </c>
      <c r="B917" s="4" t="s">
        <v>391</v>
      </c>
      <c r="C917" s="3" t="s">
        <v>45</v>
      </c>
      <c r="D917" t="s">
        <v>528</v>
      </c>
      <c r="G917">
        <v>8</v>
      </c>
      <c r="H917" t="s">
        <v>514</v>
      </c>
      <c r="K917">
        <v>33.705788048280503</v>
      </c>
      <c r="L917" t="s">
        <v>550</v>
      </c>
      <c r="M917" t="s">
        <v>535</v>
      </c>
      <c r="Q917" t="s">
        <v>468</v>
      </c>
      <c r="R917" t="s">
        <v>4</v>
      </c>
      <c r="S917" t="s">
        <v>46</v>
      </c>
    </row>
    <row r="918" spans="1:19" x14ac:dyDescent="0.3">
      <c r="A918" s="2" t="s">
        <v>153</v>
      </c>
      <c r="B918" s="4" t="s">
        <v>391</v>
      </c>
      <c r="C918" s="3" t="s">
        <v>45</v>
      </c>
      <c r="D918" t="s">
        <v>528</v>
      </c>
      <c r="G918">
        <v>12</v>
      </c>
      <c r="H918" t="s">
        <v>514</v>
      </c>
      <c r="K918">
        <v>18.640113343744702</v>
      </c>
      <c r="L918" t="s">
        <v>550</v>
      </c>
      <c r="M918" t="s">
        <v>535</v>
      </c>
      <c r="Q918" t="s">
        <v>468</v>
      </c>
      <c r="R918" t="s">
        <v>4</v>
      </c>
      <c r="S918" t="s">
        <v>46</v>
      </c>
    </row>
    <row r="919" spans="1:19" x14ac:dyDescent="0.3">
      <c r="A919" s="2" t="s">
        <v>153</v>
      </c>
      <c r="B919" s="4" t="s">
        <v>391</v>
      </c>
      <c r="C919" s="3" t="s">
        <v>45</v>
      </c>
      <c r="D919" t="s">
        <v>528</v>
      </c>
      <c r="G919">
        <v>24</v>
      </c>
      <c r="H919" t="s">
        <v>514</v>
      </c>
      <c r="K919">
        <v>11.291989055594501</v>
      </c>
      <c r="L919" t="s">
        <v>550</v>
      </c>
      <c r="M919" t="s">
        <v>535</v>
      </c>
      <c r="Q919" t="s">
        <v>468</v>
      </c>
      <c r="R919" t="s">
        <v>4</v>
      </c>
      <c r="S919" t="s">
        <v>46</v>
      </c>
    </row>
    <row r="920" spans="1:19" x14ac:dyDescent="0.3">
      <c r="A920" s="2" t="s">
        <v>153</v>
      </c>
      <c r="B920" s="4" t="s">
        <v>391</v>
      </c>
      <c r="C920" s="3" t="s">
        <v>45</v>
      </c>
      <c r="D920" t="s">
        <v>528</v>
      </c>
      <c r="G920">
        <v>48</v>
      </c>
      <c r="H920" t="s">
        <v>514</v>
      </c>
      <c r="K920">
        <v>5.7530011270010704</v>
      </c>
      <c r="L920" t="s">
        <v>550</v>
      </c>
      <c r="M920" t="s">
        <v>535</v>
      </c>
      <c r="Q920" t="s">
        <v>468</v>
      </c>
      <c r="R920" t="s">
        <v>4</v>
      </c>
      <c r="S920" t="s">
        <v>46</v>
      </c>
    </row>
    <row r="921" spans="1:19" x14ac:dyDescent="0.3">
      <c r="A921" s="2" t="s">
        <v>153</v>
      </c>
      <c r="B921" s="4" t="s">
        <v>391</v>
      </c>
      <c r="C921" s="3" t="s">
        <v>45</v>
      </c>
      <c r="D921" t="s">
        <v>528</v>
      </c>
      <c r="G921">
        <v>72</v>
      </c>
      <c r="H921" t="s">
        <v>514</v>
      </c>
      <c r="K921">
        <v>6.0069791770013001</v>
      </c>
      <c r="L921" t="s">
        <v>550</v>
      </c>
      <c r="M921" t="s">
        <v>535</v>
      </c>
      <c r="Q921" t="s">
        <v>468</v>
      </c>
      <c r="R921" t="s">
        <v>4</v>
      </c>
      <c r="S921" t="s">
        <v>46</v>
      </c>
    </row>
    <row r="922" spans="1:19" x14ac:dyDescent="0.3">
      <c r="A922" s="2" t="s">
        <v>154</v>
      </c>
      <c r="B922" s="4" t="s">
        <v>388</v>
      </c>
      <c r="C922" s="3" t="s">
        <v>45</v>
      </c>
      <c r="D922" t="s">
        <v>528</v>
      </c>
      <c r="G922">
        <v>1</v>
      </c>
      <c r="H922" t="s">
        <v>514</v>
      </c>
      <c r="K922">
        <v>52.200913160402102</v>
      </c>
      <c r="L922" t="s">
        <v>550</v>
      </c>
      <c r="M922" t="s">
        <v>535</v>
      </c>
      <c r="Q922" t="s">
        <v>468</v>
      </c>
      <c r="R922" t="s">
        <v>4</v>
      </c>
      <c r="S922" t="s">
        <v>46</v>
      </c>
    </row>
    <row r="923" spans="1:19" x14ac:dyDescent="0.3">
      <c r="A923" s="2" t="s">
        <v>154</v>
      </c>
      <c r="B923" s="4" t="s">
        <v>388</v>
      </c>
      <c r="C923" s="3" t="s">
        <v>45</v>
      </c>
      <c r="D923" t="s">
        <v>528</v>
      </c>
      <c r="G923">
        <v>2</v>
      </c>
      <c r="H923" t="s">
        <v>514</v>
      </c>
      <c r="K923">
        <v>118.543740835186</v>
      </c>
      <c r="L923" t="s">
        <v>550</v>
      </c>
      <c r="M923" t="s">
        <v>535</v>
      </c>
      <c r="Q923" t="s">
        <v>468</v>
      </c>
      <c r="R923" t="s">
        <v>4</v>
      </c>
      <c r="S923" t="s">
        <v>46</v>
      </c>
    </row>
    <row r="924" spans="1:19" x14ac:dyDescent="0.3">
      <c r="A924" s="2" t="s">
        <v>154</v>
      </c>
      <c r="B924" s="4" t="s">
        <v>388</v>
      </c>
      <c r="C924" s="3" t="s">
        <v>45</v>
      </c>
      <c r="D924" t="s">
        <v>528</v>
      </c>
      <c r="G924">
        <v>4</v>
      </c>
      <c r="H924" t="s">
        <v>514</v>
      </c>
      <c r="K924">
        <v>106.26377113388401</v>
      </c>
      <c r="L924" t="s">
        <v>550</v>
      </c>
      <c r="M924" t="s">
        <v>535</v>
      </c>
      <c r="Q924" t="s">
        <v>468</v>
      </c>
      <c r="R924" t="s">
        <v>4</v>
      </c>
      <c r="S924" t="s">
        <v>46</v>
      </c>
    </row>
    <row r="925" spans="1:19" x14ac:dyDescent="0.3">
      <c r="A925" s="2" t="s">
        <v>154</v>
      </c>
      <c r="B925" s="4" t="s">
        <v>388</v>
      </c>
      <c r="C925" s="3" t="s">
        <v>45</v>
      </c>
      <c r="D925" t="s">
        <v>528</v>
      </c>
      <c r="G925">
        <v>5</v>
      </c>
      <c r="H925" t="s">
        <v>514</v>
      </c>
      <c r="K925">
        <v>69.875861730678096</v>
      </c>
      <c r="L925" t="s">
        <v>550</v>
      </c>
      <c r="M925" t="s">
        <v>535</v>
      </c>
      <c r="Q925" t="s">
        <v>468</v>
      </c>
      <c r="R925" t="s">
        <v>4</v>
      </c>
      <c r="S925" t="s">
        <v>46</v>
      </c>
    </row>
    <row r="926" spans="1:19" x14ac:dyDescent="0.3">
      <c r="A926" s="2" t="s">
        <v>154</v>
      </c>
      <c r="B926" s="4" t="s">
        <v>388</v>
      </c>
      <c r="C926" s="3" t="s">
        <v>45</v>
      </c>
      <c r="D926" t="s">
        <v>528</v>
      </c>
      <c r="G926">
        <v>6</v>
      </c>
      <c r="H926" t="s">
        <v>514</v>
      </c>
      <c r="K926">
        <v>52.200913160402003</v>
      </c>
      <c r="L926" t="s">
        <v>550</v>
      </c>
      <c r="M926" t="s">
        <v>535</v>
      </c>
      <c r="Q926" t="s">
        <v>468</v>
      </c>
      <c r="R926" t="s">
        <v>4</v>
      </c>
      <c r="S926" t="s">
        <v>46</v>
      </c>
    </row>
    <row r="927" spans="1:19" x14ac:dyDescent="0.3">
      <c r="A927" s="2" t="s">
        <v>154</v>
      </c>
      <c r="B927" s="4" t="s">
        <v>388</v>
      </c>
      <c r="C927" s="3" t="s">
        <v>45</v>
      </c>
      <c r="D927" t="s">
        <v>528</v>
      </c>
      <c r="G927">
        <v>8</v>
      </c>
      <c r="H927" t="s">
        <v>514</v>
      </c>
      <c r="K927">
        <v>38.292476672851201</v>
      </c>
      <c r="L927" t="s">
        <v>550</v>
      </c>
      <c r="M927" t="s">
        <v>535</v>
      </c>
      <c r="Q927" t="s">
        <v>468</v>
      </c>
      <c r="R927" t="s">
        <v>4</v>
      </c>
      <c r="S927" t="s">
        <v>46</v>
      </c>
    </row>
    <row r="928" spans="1:19" x14ac:dyDescent="0.3">
      <c r="A928" s="2" t="s">
        <v>154</v>
      </c>
      <c r="B928" s="4" t="s">
        <v>388</v>
      </c>
      <c r="C928" s="3" t="s">
        <v>45</v>
      </c>
      <c r="D928" t="s">
        <v>528</v>
      </c>
      <c r="G928">
        <v>12</v>
      </c>
      <c r="H928" t="s">
        <v>514</v>
      </c>
      <c r="K928">
        <v>24.278635466172702</v>
      </c>
      <c r="L928" t="s">
        <v>550</v>
      </c>
      <c r="M928" t="s">
        <v>535</v>
      </c>
      <c r="Q928" t="s">
        <v>468</v>
      </c>
      <c r="R928" t="s">
        <v>4</v>
      </c>
      <c r="S928" t="s">
        <v>46</v>
      </c>
    </row>
    <row r="929" spans="1:19" x14ac:dyDescent="0.3">
      <c r="A929" s="2" t="s">
        <v>154</v>
      </c>
      <c r="B929" s="4" t="s">
        <v>388</v>
      </c>
      <c r="C929" s="3" t="s">
        <v>45</v>
      </c>
      <c r="D929" t="s">
        <v>528</v>
      </c>
      <c r="G929">
        <v>24</v>
      </c>
      <c r="H929" t="s">
        <v>514</v>
      </c>
      <c r="K929">
        <v>13.304867506612901</v>
      </c>
      <c r="L929" t="s">
        <v>550</v>
      </c>
      <c r="M929" t="s">
        <v>535</v>
      </c>
      <c r="Q929" t="s">
        <v>468</v>
      </c>
      <c r="R929" t="s">
        <v>4</v>
      </c>
      <c r="S929" t="s">
        <v>46</v>
      </c>
    </row>
    <row r="930" spans="1:19" x14ac:dyDescent="0.3">
      <c r="A930" s="2" t="s">
        <v>154</v>
      </c>
      <c r="B930" s="4" t="s">
        <v>388</v>
      </c>
      <c r="C930" s="3" t="s">
        <v>45</v>
      </c>
      <c r="D930" t="s">
        <v>528</v>
      </c>
      <c r="G930">
        <v>48</v>
      </c>
      <c r="H930" t="s">
        <v>514</v>
      </c>
      <c r="K930">
        <v>6.0212044968871297</v>
      </c>
      <c r="L930" t="s">
        <v>550</v>
      </c>
      <c r="M930" t="s">
        <v>535</v>
      </c>
      <c r="Q930" t="s">
        <v>468</v>
      </c>
      <c r="R930" t="s">
        <v>4</v>
      </c>
      <c r="S930" t="s">
        <v>46</v>
      </c>
    </row>
    <row r="931" spans="1:19" x14ac:dyDescent="0.3">
      <c r="A931" s="2" t="s">
        <v>154</v>
      </c>
      <c r="B931" s="4" t="s">
        <v>388</v>
      </c>
      <c r="C931" s="3" t="s">
        <v>45</v>
      </c>
      <c r="D931" t="s">
        <v>528</v>
      </c>
      <c r="G931">
        <v>72</v>
      </c>
      <c r="H931" t="s">
        <v>514</v>
      </c>
      <c r="K931">
        <v>7.4733924089606196</v>
      </c>
      <c r="L931" t="s">
        <v>550</v>
      </c>
      <c r="M931" t="s">
        <v>535</v>
      </c>
      <c r="Q931" t="s">
        <v>468</v>
      </c>
      <c r="R931" t="s">
        <v>4</v>
      </c>
      <c r="S931" t="s">
        <v>46</v>
      </c>
    </row>
    <row r="932" spans="1:19" x14ac:dyDescent="0.3">
      <c r="A932" s="2" t="s">
        <v>155</v>
      </c>
      <c r="B932" s="4" t="s">
        <v>389</v>
      </c>
      <c r="C932" s="3" t="s">
        <v>45</v>
      </c>
      <c r="D932" t="s">
        <v>528</v>
      </c>
      <c r="G932">
        <v>1</v>
      </c>
      <c r="H932" t="s">
        <v>514</v>
      </c>
      <c r="K932">
        <v>67.374575550751302</v>
      </c>
      <c r="L932" t="s">
        <v>550</v>
      </c>
      <c r="M932" t="s">
        <v>535</v>
      </c>
      <c r="Q932" t="s">
        <v>468</v>
      </c>
      <c r="R932" t="s">
        <v>4</v>
      </c>
      <c r="S932" t="s">
        <v>46</v>
      </c>
    </row>
    <row r="933" spans="1:19" x14ac:dyDescent="0.3">
      <c r="A933" s="2" t="s">
        <v>155</v>
      </c>
      <c r="B933" s="4" t="s">
        <v>389</v>
      </c>
      <c r="C933" s="3" t="s">
        <v>45</v>
      </c>
      <c r="D933" t="s">
        <v>528</v>
      </c>
      <c r="G933">
        <v>2</v>
      </c>
      <c r="H933" t="s">
        <v>514</v>
      </c>
      <c r="K933">
        <v>100.60939152192501</v>
      </c>
      <c r="L933" t="s">
        <v>550</v>
      </c>
      <c r="M933" t="s">
        <v>535</v>
      </c>
      <c r="Q933" t="s">
        <v>468</v>
      </c>
      <c r="R933" t="s">
        <v>4</v>
      </c>
      <c r="S933" t="s">
        <v>46</v>
      </c>
    </row>
    <row r="934" spans="1:19" x14ac:dyDescent="0.3">
      <c r="A934" s="2" t="s">
        <v>155</v>
      </c>
      <c r="B934" s="4" t="s">
        <v>389</v>
      </c>
      <c r="C934" s="3" t="s">
        <v>45</v>
      </c>
      <c r="D934" t="s">
        <v>528</v>
      </c>
      <c r="G934">
        <v>4</v>
      </c>
      <c r="H934" t="s">
        <v>514</v>
      </c>
      <c r="K934">
        <v>116.402701781818</v>
      </c>
      <c r="L934" t="s">
        <v>550</v>
      </c>
      <c r="M934" t="s">
        <v>535</v>
      </c>
      <c r="Q934" t="s">
        <v>468</v>
      </c>
      <c r="R934" t="s">
        <v>4</v>
      </c>
      <c r="S934" t="s">
        <v>46</v>
      </c>
    </row>
    <row r="935" spans="1:19" x14ac:dyDescent="0.3">
      <c r="A935" s="2" t="s">
        <v>155</v>
      </c>
      <c r="B935" s="4" t="s">
        <v>389</v>
      </c>
      <c r="C935" s="3" t="s">
        <v>45</v>
      </c>
      <c r="D935" t="s">
        <v>528</v>
      </c>
      <c r="G935">
        <v>5</v>
      </c>
      <c r="H935" t="s">
        <v>514</v>
      </c>
      <c r="K935">
        <v>113.26343009547701</v>
      </c>
      <c r="L935" t="s">
        <v>550</v>
      </c>
      <c r="M935" t="s">
        <v>535</v>
      </c>
      <c r="Q935" t="s">
        <v>468</v>
      </c>
      <c r="R935" t="s">
        <v>4</v>
      </c>
      <c r="S935" t="s">
        <v>46</v>
      </c>
    </row>
    <row r="936" spans="1:19" x14ac:dyDescent="0.3">
      <c r="A936" s="2" t="s">
        <v>155</v>
      </c>
      <c r="B936" s="4" t="s">
        <v>389</v>
      </c>
      <c r="C936" s="3" t="s">
        <v>45</v>
      </c>
      <c r="D936" t="s">
        <v>528</v>
      </c>
      <c r="G936">
        <v>6</v>
      </c>
      <c r="H936" t="s">
        <v>514</v>
      </c>
      <c r="K936">
        <v>73.802976704352403</v>
      </c>
      <c r="L936" t="s">
        <v>550</v>
      </c>
      <c r="M936" t="s">
        <v>535</v>
      </c>
      <c r="Q936" t="s">
        <v>468</v>
      </c>
      <c r="R936" t="s">
        <v>4</v>
      </c>
      <c r="S936" t="s">
        <v>46</v>
      </c>
    </row>
    <row r="937" spans="1:19" x14ac:dyDescent="0.3">
      <c r="A937" s="2" t="s">
        <v>155</v>
      </c>
      <c r="B937" s="4" t="s">
        <v>389</v>
      </c>
      <c r="C937" s="3" t="s">
        <v>45</v>
      </c>
      <c r="D937" t="s">
        <v>528</v>
      </c>
      <c r="G937">
        <v>8</v>
      </c>
      <c r="H937" t="s">
        <v>514</v>
      </c>
      <c r="K937">
        <v>58.233313715643</v>
      </c>
      <c r="L937" t="s">
        <v>550</v>
      </c>
      <c r="M937" t="s">
        <v>535</v>
      </c>
      <c r="Q937" t="s">
        <v>468</v>
      </c>
      <c r="R937" t="s">
        <v>4</v>
      </c>
      <c r="S937" t="s">
        <v>46</v>
      </c>
    </row>
    <row r="938" spans="1:19" x14ac:dyDescent="0.3">
      <c r="A938" s="2" t="s">
        <v>155</v>
      </c>
      <c r="B938" s="4" t="s">
        <v>389</v>
      </c>
      <c r="C938" s="3" t="s">
        <v>45</v>
      </c>
      <c r="D938" t="s">
        <v>528</v>
      </c>
      <c r="G938">
        <v>12</v>
      </c>
      <c r="H938" t="s">
        <v>514</v>
      </c>
      <c r="K938">
        <v>34.014357279092501</v>
      </c>
      <c r="L938" t="s">
        <v>550</v>
      </c>
      <c r="M938" t="s">
        <v>535</v>
      </c>
      <c r="Q938" t="s">
        <v>468</v>
      </c>
      <c r="R938" t="s">
        <v>4</v>
      </c>
      <c r="S938" t="s">
        <v>46</v>
      </c>
    </row>
    <row r="939" spans="1:19" x14ac:dyDescent="0.3">
      <c r="A939" s="2" t="s">
        <v>155</v>
      </c>
      <c r="B939" s="4" t="s">
        <v>389</v>
      </c>
      <c r="C939" s="3" t="s">
        <v>45</v>
      </c>
      <c r="D939" t="s">
        <v>528</v>
      </c>
      <c r="G939">
        <v>24</v>
      </c>
      <c r="H939" t="s">
        <v>514</v>
      </c>
      <c r="K939">
        <v>22.778220299752402</v>
      </c>
      <c r="L939" t="s">
        <v>550</v>
      </c>
      <c r="M939" t="s">
        <v>535</v>
      </c>
      <c r="Q939" t="s">
        <v>468</v>
      </c>
      <c r="R939" t="s">
        <v>4</v>
      </c>
      <c r="S939" t="s">
        <v>46</v>
      </c>
    </row>
    <row r="940" spans="1:19" x14ac:dyDescent="0.3">
      <c r="A940" s="2" t="s">
        <v>155</v>
      </c>
      <c r="B940" s="4" t="s">
        <v>389</v>
      </c>
      <c r="C940" s="3" t="s">
        <v>45</v>
      </c>
      <c r="D940" t="s">
        <v>528</v>
      </c>
      <c r="G940">
        <v>48</v>
      </c>
      <c r="H940" t="s">
        <v>514</v>
      </c>
      <c r="K940">
        <v>13.064565988111401</v>
      </c>
      <c r="L940" t="s">
        <v>550</v>
      </c>
      <c r="M940" t="s">
        <v>535</v>
      </c>
      <c r="Q940" t="s">
        <v>468</v>
      </c>
      <c r="R940" t="s">
        <v>4</v>
      </c>
      <c r="S940" t="s">
        <v>46</v>
      </c>
    </row>
    <row r="941" spans="1:19" x14ac:dyDescent="0.3">
      <c r="A941" s="2" t="s">
        <v>155</v>
      </c>
      <c r="B941" s="4" t="s">
        <v>389</v>
      </c>
      <c r="C941" s="3" t="s">
        <v>45</v>
      </c>
      <c r="D941" t="s">
        <v>528</v>
      </c>
      <c r="G941">
        <v>72</v>
      </c>
      <c r="H941" t="s">
        <v>514</v>
      </c>
      <c r="K941">
        <v>8.5665572994277301</v>
      </c>
      <c r="L941" t="s">
        <v>550</v>
      </c>
      <c r="M941" t="s">
        <v>535</v>
      </c>
      <c r="Q941" t="s">
        <v>468</v>
      </c>
      <c r="R941" t="s">
        <v>4</v>
      </c>
      <c r="S941" t="s">
        <v>46</v>
      </c>
    </row>
    <row r="942" spans="1:19" x14ac:dyDescent="0.3">
      <c r="A942" s="2" t="s">
        <v>155</v>
      </c>
      <c r="B942" s="4" t="s">
        <v>389</v>
      </c>
      <c r="C942" s="3" t="s">
        <v>45</v>
      </c>
      <c r="D942" t="s">
        <v>528</v>
      </c>
      <c r="G942">
        <v>96</v>
      </c>
      <c r="H942" t="s">
        <v>514</v>
      </c>
      <c r="K942">
        <v>7.9649998278569303</v>
      </c>
      <c r="L942" t="s">
        <v>550</v>
      </c>
      <c r="M942" t="s">
        <v>535</v>
      </c>
      <c r="Q942" t="s">
        <v>468</v>
      </c>
      <c r="R942" t="s">
        <v>4</v>
      </c>
      <c r="S942" t="s">
        <v>46</v>
      </c>
    </row>
    <row r="943" spans="1:19" x14ac:dyDescent="0.3">
      <c r="A943" s="2" t="s">
        <v>155</v>
      </c>
      <c r="B943" s="4" t="s">
        <v>389</v>
      </c>
      <c r="C943" s="3" t="s">
        <v>45</v>
      </c>
      <c r="D943" t="s">
        <v>528</v>
      </c>
      <c r="G943">
        <v>120</v>
      </c>
      <c r="H943" t="s">
        <v>514</v>
      </c>
      <c r="K943">
        <v>9.0473572423492801</v>
      </c>
      <c r="L943" t="s">
        <v>550</v>
      </c>
      <c r="M943" t="s">
        <v>535</v>
      </c>
      <c r="Q943" t="s">
        <v>468</v>
      </c>
      <c r="R943" t="s">
        <v>4</v>
      </c>
      <c r="S943" t="s">
        <v>46</v>
      </c>
    </row>
    <row r="944" spans="1:19" x14ac:dyDescent="0.3">
      <c r="A944" s="2" t="s">
        <v>155</v>
      </c>
      <c r="B944" s="4" t="s">
        <v>389</v>
      </c>
      <c r="C944" s="3" t="s">
        <v>45</v>
      </c>
      <c r="D944" t="s">
        <v>528</v>
      </c>
      <c r="G944">
        <v>144</v>
      </c>
      <c r="H944" t="s">
        <v>514</v>
      </c>
      <c r="K944">
        <v>6.4021244292469497</v>
      </c>
      <c r="L944" t="s">
        <v>550</v>
      </c>
      <c r="M944" t="s">
        <v>535</v>
      </c>
      <c r="Q944" t="s">
        <v>468</v>
      </c>
      <c r="R944" t="s">
        <v>4</v>
      </c>
      <c r="S944" t="s">
        <v>46</v>
      </c>
    </row>
    <row r="945" spans="1:19" x14ac:dyDescent="0.3">
      <c r="A945" s="2" t="s">
        <v>155</v>
      </c>
      <c r="B945" s="4" t="s">
        <v>389</v>
      </c>
      <c r="C945" s="3" t="s">
        <v>45</v>
      </c>
      <c r="D945" t="s">
        <v>528</v>
      </c>
      <c r="G945">
        <v>216</v>
      </c>
      <c r="H945" t="s">
        <v>514</v>
      </c>
      <c r="K945">
        <v>6.3441222257760996</v>
      </c>
      <c r="L945" t="s">
        <v>550</v>
      </c>
      <c r="M945" t="s">
        <v>535</v>
      </c>
      <c r="Q945" t="s">
        <v>468</v>
      </c>
      <c r="R945" t="s">
        <v>4</v>
      </c>
      <c r="S945" t="s">
        <v>46</v>
      </c>
    </row>
    <row r="946" spans="1:19" x14ac:dyDescent="0.3">
      <c r="A946" s="2" t="s">
        <v>156</v>
      </c>
      <c r="B946" s="4" t="s">
        <v>390</v>
      </c>
      <c r="C946" s="3" t="s">
        <v>45</v>
      </c>
      <c r="D946" t="s">
        <v>528</v>
      </c>
      <c r="G946">
        <v>1</v>
      </c>
      <c r="H946" t="s">
        <v>514</v>
      </c>
      <c r="K946">
        <v>146.18662904720301</v>
      </c>
      <c r="L946" t="s">
        <v>550</v>
      </c>
      <c r="M946" t="s">
        <v>535</v>
      </c>
      <c r="Q946" t="s">
        <v>468</v>
      </c>
      <c r="R946" t="s">
        <v>4</v>
      </c>
      <c r="S946" t="s">
        <v>46</v>
      </c>
    </row>
    <row r="947" spans="1:19" x14ac:dyDescent="0.3">
      <c r="A947" s="2" t="s">
        <v>156</v>
      </c>
      <c r="B947" s="4" t="s">
        <v>390</v>
      </c>
      <c r="C947" s="3" t="s">
        <v>45</v>
      </c>
      <c r="D947" t="s">
        <v>528</v>
      </c>
      <c r="G947">
        <v>2</v>
      </c>
      <c r="H947" t="s">
        <v>514</v>
      </c>
      <c r="K947">
        <v>271.66703278895</v>
      </c>
      <c r="L947" t="s">
        <v>550</v>
      </c>
      <c r="M947" t="s">
        <v>535</v>
      </c>
      <c r="Q947" t="s">
        <v>468</v>
      </c>
      <c r="R947" t="s">
        <v>4</v>
      </c>
      <c r="S947" t="s">
        <v>46</v>
      </c>
    </row>
    <row r="948" spans="1:19" x14ac:dyDescent="0.3">
      <c r="A948" s="2" t="s">
        <v>156</v>
      </c>
      <c r="B948" s="4" t="s">
        <v>390</v>
      </c>
      <c r="C948" s="3" t="s">
        <v>45</v>
      </c>
      <c r="D948" t="s">
        <v>528</v>
      </c>
      <c r="G948">
        <v>4</v>
      </c>
      <c r="H948" t="s">
        <v>514</v>
      </c>
      <c r="K948">
        <v>241.31579665583999</v>
      </c>
      <c r="L948" t="s">
        <v>550</v>
      </c>
      <c r="M948" t="s">
        <v>535</v>
      </c>
      <c r="Q948" t="s">
        <v>468</v>
      </c>
      <c r="R948" t="s">
        <v>4</v>
      </c>
      <c r="S948" t="s">
        <v>46</v>
      </c>
    </row>
    <row r="949" spans="1:19" x14ac:dyDescent="0.3">
      <c r="A949" s="2" t="s">
        <v>156</v>
      </c>
      <c r="B949" s="4" t="s">
        <v>390</v>
      </c>
      <c r="C949" s="3" t="s">
        <v>45</v>
      </c>
      <c r="D949" t="s">
        <v>528</v>
      </c>
      <c r="G949">
        <v>5</v>
      </c>
      <c r="H949" t="s">
        <v>514</v>
      </c>
      <c r="K949">
        <v>175.41362540446201</v>
      </c>
      <c r="L949" t="s">
        <v>550</v>
      </c>
      <c r="M949" t="s">
        <v>535</v>
      </c>
      <c r="Q949" t="s">
        <v>468</v>
      </c>
      <c r="R949" t="s">
        <v>4</v>
      </c>
      <c r="S949" t="s">
        <v>46</v>
      </c>
    </row>
    <row r="950" spans="1:19" x14ac:dyDescent="0.3">
      <c r="A950" s="2" t="s">
        <v>156</v>
      </c>
      <c r="B950" s="4" t="s">
        <v>390</v>
      </c>
      <c r="C950" s="3" t="s">
        <v>45</v>
      </c>
      <c r="D950" t="s">
        <v>528</v>
      </c>
      <c r="G950">
        <v>6</v>
      </c>
      <c r="H950" t="s">
        <v>514</v>
      </c>
      <c r="K950">
        <v>133.45345300509501</v>
      </c>
      <c r="L950" t="s">
        <v>550</v>
      </c>
      <c r="M950" t="s">
        <v>535</v>
      </c>
      <c r="Q950" t="s">
        <v>468</v>
      </c>
      <c r="R950" t="s">
        <v>4</v>
      </c>
      <c r="S950" t="s">
        <v>46</v>
      </c>
    </row>
    <row r="951" spans="1:19" x14ac:dyDescent="0.3">
      <c r="A951" s="2" t="s">
        <v>156</v>
      </c>
      <c r="B951" s="4" t="s">
        <v>390</v>
      </c>
      <c r="C951" s="3" t="s">
        <v>45</v>
      </c>
      <c r="D951" t="s">
        <v>528</v>
      </c>
      <c r="G951">
        <v>8</v>
      </c>
      <c r="H951" t="s">
        <v>514</v>
      </c>
      <c r="K951">
        <v>102.459938228201</v>
      </c>
      <c r="L951" t="s">
        <v>550</v>
      </c>
      <c r="M951" t="s">
        <v>535</v>
      </c>
      <c r="Q951" t="s">
        <v>468</v>
      </c>
      <c r="R951" t="s">
        <v>4</v>
      </c>
      <c r="S951" t="s">
        <v>46</v>
      </c>
    </row>
    <row r="952" spans="1:19" x14ac:dyDescent="0.3">
      <c r="A952" s="2" t="s">
        <v>156</v>
      </c>
      <c r="B952" s="4" t="s">
        <v>390</v>
      </c>
      <c r="C952" s="3" t="s">
        <v>45</v>
      </c>
      <c r="D952" t="s">
        <v>528</v>
      </c>
      <c r="G952">
        <v>12</v>
      </c>
      <c r="H952" t="s">
        <v>514</v>
      </c>
      <c r="K952">
        <v>66.157711662013497</v>
      </c>
      <c r="L952" t="s">
        <v>550</v>
      </c>
      <c r="M952" t="s">
        <v>535</v>
      </c>
      <c r="Q952" t="s">
        <v>468</v>
      </c>
      <c r="R952" t="s">
        <v>4</v>
      </c>
      <c r="S952" t="s">
        <v>46</v>
      </c>
    </row>
    <row r="953" spans="1:19" x14ac:dyDescent="0.3">
      <c r="A953" s="2" t="s">
        <v>156</v>
      </c>
      <c r="B953" s="4" t="s">
        <v>390</v>
      </c>
      <c r="C953" s="3" t="s">
        <v>45</v>
      </c>
      <c r="D953" t="s">
        <v>528</v>
      </c>
      <c r="G953">
        <v>24</v>
      </c>
      <c r="H953" t="s">
        <v>514</v>
      </c>
      <c r="K953">
        <v>39.714087746672703</v>
      </c>
      <c r="L953" t="s">
        <v>550</v>
      </c>
      <c r="M953" t="s">
        <v>535</v>
      </c>
      <c r="Q953" t="s">
        <v>468</v>
      </c>
      <c r="R953" t="s">
        <v>4</v>
      </c>
      <c r="S953" t="s">
        <v>46</v>
      </c>
    </row>
    <row r="954" spans="1:19" x14ac:dyDescent="0.3">
      <c r="A954" s="2" t="s">
        <v>156</v>
      </c>
      <c r="B954" s="4" t="s">
        <v>390</v>
      </c>
      <c r="C954" s="3" t="s">
        <v>45</v>
      </c>
      <c r="D954" t="s">
        <v>528</v>
      </c>
      <c r="G954">
        <v>48</v>
      </c>
      <c r="H954" t="s">
        <v>514</v>
      </c>
      <c r="K954">
        <v>18.982968019944199</v>
      </c>
      <c r="L954" t="s">
        <v>550</v>
      </c>
      <c r="M954" t="s">
        <v>535</v>
      </c>
      <c r="Q954" t="s">
        <v>468</v>
      </c>
      <c r="R954" t="s">
        <v>4</v>
      </c>
      <c r="S954" t="s">
        <v>46</v>
      </c>
    </row>
    <row r="955" spans="1:19" x14ac:dyDescent="0.3">
      <c r="A955" s="2" t="s">
        <v>156</v>
      </c>
      <c r="B955" s="4" t="s">
        <v>390</v>
      </c>
      <c r="C955" s="3" t="s">
        <v>45</v>
      </c>
      <c r="D955" t="s">
        <v>528</v>
      </c>
      <c r="G955">
        <v>72</v>
      </c>
      <c r="H955" t="s">
        <v>514</v>
      </c>
      <c r="K955">
        <v>12.328467394420599</v>
      </c>
      <c r="L955" t="s">
        <v>550</v>
      </c>
      <c r="M955" t="s">
        <v>535</v>
      </c>
      <c r="Q955" t="s">
        <v>468</v>
      </c>
      <c r="R955" t="s">
        <v>4</v>
      </c>
      <c r="S955" t="s">
        <v>46</v>
      </c>
    </row>
    <row r="956" spans="1:19" x14ac:dyDescent="0.3">
      <c r="A956" s="2" t="s">
        <v>156</v>
      </c>
      <c r="B956" s="4" t="s">
        <v>390</v>
      </c>
      <c r="C956" s="3" t="s">
        <v>45</v>
      </c>
      <c r="D956" t="s">
        <v>528</v>
      </c>
      <c r="G956">
        <v>96</v>
      </c>
      <c r="H956" t="s">
        <v>514</v>
      </c>
      <c r="K956">
        <v>9.7306598744561494</v>
      </c>
      <c r="L956" t="s">
        <v>550</v>
      </c>
      <c r="M956" t="s">
        <v>535</v>
      </c>
      <c r="Q956" t="s">
        <v>468</v>
      </c>
      <c r="R956" t="s">
        <v>4</v>
      </c>
      <c r="S956" t="s">
        <v>46</v>
      </c>
    </row>
    <row r="957" spans="1:19" x14ac:dyDescent="0.3">
      <c r="A957" s="2" t="s">
        <v>156</v>
      </c>
      <c r="B957" s="4" t="s">
        <v>390</v>
      </c>
      <c r="C957" s="3" t="s">
        <v>45</v>
      </c>
      <c r="D957" t="s">
        <v>528</v>
      </c>
      <c r="G957">
        <v>120</v>
      </c>
      <c r="H957" t="s">
        <v>514</v>
      </c>
      <c r="K957">
        <v>8.2603043173522597</v>
      </c>
      <c r="L957" t="s">
        <v>550</v>
      </c>
      <c r="M957" t="s">
        <v>535</v>
      </c>
      <c r="Q957" t="s">
        <v>468</v>
      </c>
      <c r="R957" t="s">
        <v>4</v>
      </c>
      <c r="S957" t="s">
        <v>46</v>
      </c>
    </row>
    <row r="958" spans="1:19" x14ac:dyDescent="0.3">
      <c r="A958" s="2" t="s">
        <v>156</v>
      </c>
      <c r="B958" s="4" t="s">
        <v>390</v>
      </c>
      <c r="C958" s="3" t="s">
        <v>45</v>
      </c>
      <c r="D958" t="s">
        <v>528</v>
      </c>
      <c r="G958">
        <v>144</v>
      </c>
      <c r="H958" t="s">
        <v>514</v>
      </c>
      <c r="K958">
        <v>7.2721039639938496</v>
      </c>
      <c r="L958" t="s">
        <v>550</v>
      </c>
      <c r="M958" t="s">
        <v>535</v>
      </c>
      <c r="Q958" t="s">
        <v>468</v>
      </c>
      <c r="R958" t="s">
        <v>4</v>
      </c>
      <c r="S958" t="s">
        <v>46</v>
      </c>
    </row>
    <row r="959" spans="1:19" x14ac:dyDescent="0.3">
      <c r="A959" s="2" t="s">
        <v>156</v>
      </c>
      <c r="B959" s="4" t="s">
        <v>390</v>
      </c>
      <c r="C959" s="3" t="s">
        <v>45</v>
      </c>
      <c r="D959" t="s">
        <v>528</v>
      </c>
      <c r="G959">
        <v>216</v>
      </c>
      <c r="H959" t="s">
        <v>514</v>
      </c>
      <c r="K959">
        <v>7.7504704224977701</v>
      </c>
      <c r="L959" t="s">
        <v>550</v>
      </c>
      <c r="M959" t="s">
        <v>535</v>
      </c>
      <c r="Q959" t="s">
        <v>468</v>
      </c>
      <c r="R959" t="s">
        <v>4</v>
      </c>
      <c r="S959" t="s">
        <v>46</v>
      </c>
    </row>
    <row r="960" spans="1:19" x14ac:dyDescent="0.3">
      <c r="A960" s="2" t="s">
        <v>156</v>
      </c>
      <c r="B960" s="4" t="s">
        <v>390</v>
      </c>
      <c r="C960" s="3" t="s">
        <v>45</v>
      </c>
      <c r="D960" t="s">
        <v>528</v>
      </c>
      <c r="G960">
        <v>312</v>
      </c>
      <c r="H960" t="s">
        <v>514</v>
      </c>
      <c r="K960">
        <v>6.4021244292469301</v>
      </c>
      <c r="L960" t="s">
        <v>550</v>
      </c>
      <c r="M960" t="s">
        <v>535</v>
      </c>
      <c r="Q960" t="s">
        <v>468</v>
      </c>
      <c r="R960" t="s">
        <v>4</v>
      </c>
      <c r="S960" t="s">
        <v>46</v>
      </c>
    </row>
    <row r="961" spans="1:19" x14ac:dyDescent="0.3">
      <c r="A961" s="2" t="s">
        <v>157</v>
      </c>
      <c r="B961" s="4" t="s">
        <v>568</v>
      </c>
      <c r="C961" s="3" t="s">
        <v>48</v>
      </c>
      <c r="D961" t="s">
        <v>528</v>
      </c>
      <c r="G961">
        <v>0.5</v>
      </c>
      <c r="H961" t="s">
        <v>514</v>
      </c>
      <c r="K961">
        <v>6.9264702298269096</v>
      </c>
      <c r="L961" t="s">
        <v>550</v>
      </c>
      <c r="M961" t="s">
        <v>535</v>
      </c>
      <c r="Q961" t="s">
        <v>468</v>
      </c>
      <c r="R961" t="s">
        <v>4</v>
      </c>
      <c r="S961" t="s">
        <v>46</v>
      </c>
    </row>
    <row r="962" spans="1:19" x14ac:dyDescent="0.3">
      <c r="A962" s="2" t="s">
        <v>157</v>
      </c>
      <c r="B962" s="4" t="s">
        <v>568</v>
      </c>
      <c r="C962" s="3" t="s">
        <v>48</v>
      </c>
      <c r="D962" t="s">
        <v>528</v>
      </c>
      <c r="G962">
        <v>1</v>
      </c>
      <c r="H962" t="s">
        <v>514</v>
      </c>
      <c r="K962">
        <v>21.052375033511399</v>
      </c>
      <c r="L962" t="s">
        <v>550</v>
      </c>
      <c r="M962" t="s">
        <v>535</v>
      </c>
      <c r="Q962" t="s">
        <v>468</v>
      </c>
      <c r="R962" t="s">
        <v>4</v>
      </c>
      <c r="S962" t="s">
        <v>46</v>
      </c>
    </row>
    <row r="963" spans="1:19" x14ac:dyDescent="0.3">
      <c r="A963" s="2" t="s">
        <v>157</v>
      </c>
      <c r="B963" s="4" t="s">
        <v>568</v>
      </c>
      <c r="C963" s="3" t="s">
        <v>48</v>
      </c>
      <c r="D963" t="s">
        <v>528</v>
      </c>
      <c r="G963">
        <v>1.5</v>
      </c>
      <c r="H963" t="s">
        <v>514</v>
      </c>
      <c r="K963">
        <v>42.411834954059401</v>
      </c>
      <c r="L963" t="s">
        <v>550</v>
      </c>
      <c r="M963" t="s">
        <v>535</v>
      </c>
      <c r="Q963" t="s">
        <v>468</v>
      </c>
      <c r="R963" t="s">
        <v>4</v>
      </c>
      <c r="S963" t="s">
        <v>46</v>
      </c>
    </row>
    <row r="964" spans="1:19" x14ac:dyDescent="0.3">
      <c r="A964" s="2" t="s">
        <v>157</v>
      </c>
      <c r="B964" s="4" t="s">
        <v>568</v>
      </c>
      <c r="C964" s="3" t="s">
        <v>48</v>
      </c>
      <c r="D964" t="s">
        <v>528</v>
      </c>
      <c r="G964">
        <v>2</v>
      </c>
      <c r="H964" t="s">
        <v>514</v>
      </c>
      <c r="K964">
        <v>56.537739757743999</v>
      </c>
      <c r="L964" t="s">
        <v>550</v>
      </c>
      <c r="M964" t="s">
        <v>535</v>
      </c>
      <c r="Q964" t="s">
        <v>468</v>
      </c>
      <c r="R964" t="s">
        <v>4</v>
      </c>
      <c r="S964" t="s">
        <v>46</v>
      </c>
    </row>
    <row r="965" spans="1:19" x14ac:dyDescent="0.3">
      <c r="A965" s="2" t="s">
        <v>157</v>
      </c>
      <c r="B965" s="4" t="s">
        <v>568</v>
      </c>
      <c r="C965" s="3" t="s">
        <v>48</v>
      </c>
      <c r="D965" t="s">
        <v>528</v>
      </c>
      <c r="G965">
        <v>2.5</v>
      </c>
      <c r="H965" t="s">
        <v>514</v>
      </c>
      <c r="K965">
        <v>70.663644561428995</v>
      </c>
      <c r="L965" t="s">
        <v>550</v>
      </c>
      <c r="M965" t="s">
        <v>535</v>
      </c>
      <c r="Q965" t="s">
        <v>468</v>
      </c>
      <c r="R965" t="s">
        <v>4</v>
      </c>
      <c r="S965" t="s">
        <v>46</v>
      </c>
    </row>
    <row r="966" spans="1:19" x14ac:dyDescent="0.3">
      <c r="A966" s="2" t="s">
        <v>157</v>
      </c>
      <c r="B966" s="4" t="s">
        <v>568</v>
      </c>
      <c r="C966" s="3" t="s">
        <v>48</v>
      </c>
      <c r="D966" t="s">
        <v>528</v>
      </c>
      <c r="G966">
        <v>3</v>
      </c>
      <c r="H966" t="s">
        <v>514</v>
      </c>
      <c r="K966">
        <v>70.373619945894404</v>
      </c>
      <c r="L966" t="s">
        <v>550</v>
      </c>
      <c r="M966" t="s">
        <v>535</v>
      </c>
      <c r="Q966" t="s">
        <v>468</v>
      </c>
      <c r="R966" t="s">
        <v>4</v>
      </c>
      <c r="S966" t="s">
        <v>46</v>
      </c>
    </row>
    <row r="967" spans="1:19" x14ac:dyDescent="0.3">
      <c r="A967" s="2" t="s">
        <v>157</v>
      </c>
      <c r="B967" s="4" t="s">
        <v>568</v>
      </c>
      <c r="C967" s="3" t="s">
        <v>48</v>
      </c>
      <c r="D967" t="s">
        <v>528</v>
      </c>
      <c r="G967">
        <v>3.5</v>
      </c>
      <c r="H967" t="s">
        <v>514</v>
      </c>
      <c r="K967">
        <v>62.850040213496797</v>
      </c>
      <c r="L967" t="s">
        <v>550</v>
      </c>
      <c r="M967" t="s">
        <v>535</v>
      </c>
      <c r="Q967" t="s">
        <v>468</v>
      </c>
      <c r="R967" t="s">
        <v>4</v>
      </c>
      <c r="S967" t="s">
        <v>46</v>
      </c>
    </row>
    <row r="968" spans="1:19" x14ac:dyDescent="0.3">
      <c r="A968" s="2" t="s">
        <v>157</v>
      </c>
      <c r="B968" s="4" t="s">
        <v>568</v>
      </c>
      <c r="C968" s="3" t="s">
        <v>48</v>
      </c>
      <c r="D968" t="s">
        <v>528</v>
      </c>
      <c r="G968">
        <v>4</v>
      </c>
      <c r="H968" t="s">
        <v>514</v>
      </c>
      <c r="K968">
        <v>55.326460481099197</v>
      </c>
      <c r="L968" t="s">
        <v>550</v>
      </c>
      <c r="M968" t="s">
        <v>535</v>
      </c>
      <c r="Q968" t="s">
        <v>468</v>
      </c>
      <c r="R968" t="s">
        <v>4</v>
      </c>
      <c r="S968" t="s">
        <v>46</v>
      </c>
    </row>
    <row r="969" spans="1:19" x14ac:dyDescent="0.3">
      <c r="A969" s="2" t="s">
        <v>157</v>
      </c>
      <c r="B969" s="4" t="s">
        <v>568</v>
      </c>
      <c r="C969" s="3" t="s">
        <v>48</v>
      </c>
      <c r="D969" t="s">
        <v>528</v>
      </c>
      <c r="G969">
        <v>5</v>
      </c>
      <c r="H969" t="s">
        <v>514</v>
      </c>
      <c r="K969">
        <v>54.729350978528601</v>
      </c>
      <c r="L969" t="s">
        <v>550</v>
      </c>
      <c r="M969" t="s">
        <v>535</v>
      </c>
      <c r="Q969" t="s">
        <v>468</v>
      </c>
      <c r="R969" t="s">
        <v>4</v>
      </c>
      <c r="S969" t="s">
        <v>46</v>
      </c>
    </row>
    <row r="970" spans="1:19" x14ac:dyDescent="0.3">
      <c r="A970" s="2" t="s">
        <v>157</v>
      </c>
      <c r="B970" s="4" t="s">
        <v>568</v>
      </c>
      <c r="C970" s="3" t="s">
        <v>48</v>
      </c>
      <c r="D970" t="s">
        <v>528</v>
      </c>
      <c r="G970">
        <v>6</v>
      </c>
      <c r="H970" t="s">
        <v>514</v>
      </c>
      <c r="K970">
        <v>39.682191513734303</v>
      </c>
      <c r="L970" t="s">
        <v>550</v>
      </c>
      <c r="M970" t="s">
        <v>535</v>
      </c>
      <c r="Q970" t="s">
        <v>468</v>
      </c>
      <c r="R970" t="s">
        <v>4</v>
      </c>
      <c r="S970" t="s">
        <v>46</v>
      </c>
    </row>
    <row r="971" spans="1:19" x14ac:dyDescent="0.3">
      <c r="A971" s="2" t="s">
        <v>157</v>
      </c>
      <c r="B971" s="4" t="s">
        <v>568</v>
      </c>
      <c r="C971" s="3" t="s">
        <v>48</v>
      </c>
      <c r="D971" t="s">
        <v>528</v>
      </c>
      <c r="G971">
        <v>8</v>
      </c>
      <c r="H971" t="s">
        <v>514</v>
      </c>
      <c r="K971">
        <v>24.054982817869099</v>
      </c>
      <c r="L971" t="s">
        <v>550</v>
      </c>
      <c r="M971" t="s">
        <v>535</v>
      </c>
      <c r="Q971" t="s">
        <v>468</v>
      </c>
      <c r="R971" t="s">
        <v>4</v>
      </c>
      <c r="S971" t="s">
        <v>46</v>
      </c>
    </row>
    <row r="972" spans="1:19" x14ac:dyDescent="0.3">
      <c r="A972" s="2" t="s">
        <v>157</v>
      </c>
      <c r="B972" s="4" t="s">
        <v>568</v>
      </c>
      <c r="C972" s="3" t="s">
        <v>48</v>
      </c>
      <c r="D972" t="s">
        <v>528</v>
      </c>
      <c r="G972">
        <v>12</v>
      </c>
      <c r="H972" t="s">
        <v>514</v>
      </c>
      <c r="K972">
        <v>7.2164948453610096</v>
      </c>
      <c r="L972" t="s">
        <v>550</v>
      </c>
      <c r="M972" t="s">
        <v>535</v>
      </c>
      <c r="Q972" t="s">
        <v>468</v>
      </c>
      <c r="R972" t="s">
        <v>4</v>
      </c>
      <c r="S972" t="s">
        <v>46</v>
      </c>
    </row>
    <row r="973" spans="1:19" x14ac:dyDescent="0.3">
      <c r="A973" s="2" t="s">
        <v>157</v>
      </c>
      <c r="B973" s="4" t="s">
        <v>568</v>
      </c>
      <c r="C973" s="3" t="s">
        <v>48</v>
      </c>
      <c r="D973" t="s">
        <v>528</v>
      </c>
      <c r="G973">
        <f>3*24</f>
        <v>72</v>
      </c>
      <c r="H973" t="s">
        <v>514</v>
      </c>
      <c r="K973">
        <v>12.2699386503068</v>
      </c>
      <c r="L973" t="s">
        <v>550</v>
      </c>
      <c r="M973" t="s">
        <v>535</v>
      </c>
      <c r="Q973" t="s">
        <v>468</v>
      </c>
      <c r="R973" t="s">
        <v>4</v>
      </c>
      <c r="S973" t="s">
        <v>46</v>
      </c>
    </row>
    <row r="974" spans="1:19" x14ac:dyDescent="0.3">
      <c r="A974" s="2" t="s">
        <v>157</v>
      </c>
      <c r="B974" s="4" t="s">
        <v>568</v>
      </c>
      <c r="C974" s="3" t="s">
        <v>48</v>
      </c>
      <c r="D974" t="s">
        <v>528</v>
      </c>
      <c r="G974">
        <f>6*24</f>
        <v>144</v>
      </c>
      <c r="H974" t="s">
        <v>514</v>
      </c>
      <c r="K974">
        <v>16.359918200408799</v>
      </c>
      <c r="L974" t="s">
        <v>550</v>
      </c>
      <c r="M974" t="s">
        <v>535</v>
      </c>
      <c r="Q974" t="s">
        <v>468</v>
      </c>
      <c r="R974" t="s">
        <v>4</v>
      </c>
      <c r="S974" t="s">
        <v>46</v>
      </c>
    </row>
    <row r="975" spans="1:19" x14ac:dyDescent="0.3">
      <c r="A975" s="2" t="s">
        <v>157</v>
      </c>
      <c r="B975" s="4" t="s">
        <v>568</v>
      </c>
      <c r="C975" s="3" t="s">
        <v>48</v>
      </c>
      <c r="D975" t="s">
        <v>528</v>
      </c>
      <c r="G975">
        <f>9*24</f>
        <v>216</v>
      </c>
      <c r="H975" t="s">
        <v>514</v>
      </c>
      <c r="K975">
        <v>20.449897750511099</v>
      </c>
      <c r="L975" t="s">
        <v>550</v>
      </c>
      <c r="M975" t="s">
        <v>535</v>
      </c>
      <c r="Q975" t="s">
        <v>468</v>
      </c>
      <c r="R975" t="s">
        <v>4</v>
      </c>
      <c r="S975" t="s">
        <v>46</v>
      </c>
    </row>
    <row r="976" spans="1:19" x14ac:dyDescent="0.3">
      <c r="A976" s="2" t="s">
        <v>157</v>
      </c>
      <c r="B976" s="4" t="s">
        <v>568</v>
      </c>
      <c r="C976" s="3" t="s">
        <v>48</v>
      </c>
      <c r="D976" t="s">
        <v>528</v>
      </c>
      <c r="G976">
        <f>11*24</f>
        <v>264</v>
      </c>
      <c r="H976" t="s">
        <v>514</v>
      </c>
      <c r="K976">
        <v>24.5398773006136</v>
      </c>
      <c r="L976" t="s">
        <v>550</v>
      </c>
      <c r="M976" t="s">
        <v>535</v>
      </c>
      <c r="Q976" t="s">
        <v>468</v>
      </c>
      <c r="R976" t="s">
        <v>4</v>
      </c>
      <c r="S976" t="s">
        <v>46</v>
      </c>
    </row>
    <row r="977" spans="1:19" x14ac:dyDescent="0.3">
      <c r="A977" s="2" t="s">
        <v>157</v>
      </c>
      <c r="B977" s="4" t="s">
        <v>568</v>
      </c>
      <c r="C977" s="3" t="s">
        <v>48</v>
      </c>
      <c r="D977" t="s">
        <v>528</v>
      </c>
      <c r="G977">
        <f>12*24</f>
        <v>288</v>
      </c>
      <c r="H977" t="s">
        <v>514</v>
      </c>
      <c r="K977">
        <v>26.5848670756647</v>
      </c>
      <c r="L977" t="s">
        <v>550</v>
      </c>
      <c r="M977" t="s">
        <v>535</v>
      </c>
      <c r="Q977" t="s">
        <v>468</v>
      </c>
      <c r="R977" t="s">
        <v>4</v>
      </c>
      <c r="S977" t="s">
        <v>46</v>
      </c>
    </row>
    <row r="978" spans="1:19" x14ac:dyDescent="0.3">
      <c r="A978" s="2" t="s">
        <v>157</v>
      </c>
      <c r="B978" s="4" t="s">
        <v>568</v>
      </c>
      <c r="C978" s="3" t="s">
        <v>48</v>
      </c>
      <c r="D978" t="s">
        <v>528</v>
      </c>
      <c r="G978">
        <f>13*24</f>
        <v>312</v>
      </c>
      <c r="H978" t="s">
        <v>514</v>
      </c>
      <c r="K978">
        <v>26.5848670756647</v>
      </c>
      <c r="L978" t="s">
        <v>550</v>
      </c>
      <c r="M978" t="s">
        <v>535</v>
      </c>
      <c r="Q978" t="s">
        <v>468</v>
      </c>
      <c r="R978" t="s">
        <v>4</v>
      </c>
      <c r="S978" t="s">
        <v>46</v>
      </c>
    </row>
    <row r="979" spans="1:19" x14ac:dyDescent="0.3">
      <c r="A979" s="2" t="s">
        <v>157</v>
      </c>
      <c r="B979" s="4" t="s">
        <v>568</v>
      </c>
      <c r="C979" s="3" t="s">
        <v>48</v>
      </c>
      <c r="D979" t="s">
        <v>528</v>
      </c>
      <c r="G979">
        <f>13*24+1.5</f>
        <v>313.5</v>
      </c>
      <c r="H979" t="s">
        <v>514</v>
      </c>
      <c r="K979">
        <v>36.382536382537097</v>
      </c>
      <c r="L979" t="s">
        <v>550</v>
      </c>
      <c r="M979" t="s">
        <v>535</v>
      </c>
      <c r="Q979" t="s">
        <v>468</v>
      </c>
      <c r="R979" t="s">
        <v>4</v>
      </c>
      <c r="S979" t="s">
        <v>46</v>
      </c>
    </row>
    <row r="980" spans="1:19" x14ac:dyDescent="0.3">
      <c r="A980" s="2" t="s">
        <v>157</v>
      </c>
      <c r="B980" s="4" t="s">
        <v>568</v>
      </c>
      <c r="C980" s="3" t="s">
        <v>48</v>
      </c>
      <c r="D980" t="s">
        <v>528</v>
      </c>
      <c r="G980">
        <f>13*24+2</f>
        <v>314</v>
      </c>
      <c r="H980" t="s">
        <v>514</v>
      </c>
      <c r="K980">
        <v>65.488565488565598</v>
      </c>
      <c r="L980" t="s">
        <v>550</v>
      </c>
      <c r="M980" t="s">
        <v>535</v>
      </c>
      <c r="Q980" t="s">
        <v>468</v>
      </c>
      <c r="R980" t="s">
        <v>4</v>
      </c>
      <c r="S980" t="s">
        <v>46</v>
      </c>
    </row>
    <row r="981" spans="1:19" x14ac:dyDescent="0.3">
      <c r="A981" s="2" t="s">
        <v>157</v>
      </c>
      <c r="B981" s="4" t="s">
        <v>568</v>
      </c>
      <c r="C981" s="3" t="s">
        <v>48</v>
      </c>
      <c r="D981" t="s">
        <v>528</v>
      </c>
      <c r="G981">
        <f>13*24+2.5</f>
        <v>314.5</v>
      </c>
      <c r="H981" t="s">
        <v>514</v>
      </c>
      <c r="K981">
        <v>80.041580041580303</v>
      </c>
      <c r="L981" t="s">
        <v>550</v>
      </c>
      <c r="M981" t="s">
        <v>535</v>
      </c>
      <c r="Q981" t="s">
        <v>468</v>
      </c>
      <c r="R981" t="s">
        <v>4</v>
      </c>
      <c r="S981" t="s">
        <v>46</v>
      </c>
    </row>
    <row r="982" spans="1:19" x14ac:dyDescent="0.3">
      <c r="A982" s="2" t="s">
        <v>157</v>
      </c>
      <c r="B982" s="4" t="s">
        <v>568</v>
      </c>
      <c r="C982" s="3" t="s">
        <v>48</v>
      </c>
      <c r="D982" t="s">
        <v>528</v>
      </c>
      <c r="G982">
        <f>13*24+3</f>
        <v>315</v>
      </c>
      <c r="H982" t="s">
        <v>514</v>
      </c>
      <c r="K982">
        <v>80.041580041580303</v>
      </c>
      <c r="L982" t="s">
        <v>550</v>
      </c>
      <c r="M982" t="s">
        <v>535</v>
      </c>
      <c r="Q982" t="s">
        <v>468</v>
      </c>
      <c r="R982" t="s">
        <v>4</v>
      </c>
      <c r="S982" t="s">
        <v>46</v>
      </c>
    </row>
    <row r="983" spans="1:19" x14ac:dyDescent="0.3">
      <c r="A983" s="2" t="s">
        <v>157</v>
      </c>
      <c r="B983" s="4" t="s">
        <v>568</v>
      </c>
      <c r="C983" s="3" t="s">
        <v>48</v>
      </c>
      <c r="D983" t="s">
        <v>528</v>
      </c>
      <c r="G983">
        <f>13*24+3.5</f>
        <v>315.5</v>
      </c>
      <c r="H983" t="s">
        <v>514</v>
      </c>
      <c r="K983">
        <v>87.318087318088104</v>
      </c>
      <c r="L983" t="s">
        <v>550</v>
      </c>
      <c r="M983" t="s">
        <v>535</v>
      </c>
      <c r="Q983" t="s">
        <v>468</v>
      </c>
      <c r="R983" t="s">
        <v>4</v>
      </c>
      <c r="S983" t="s">
        <v>46</v>
      </c>
    </row>
    <row r="984" spans="1:19" x14ac:dyDescent="0.3">
      <c r="A984" s="2" t="s">
        <v>157</v>
      </c>
      <c r="B984" s="4" t="s">
        <v>568</v>
      </c>
      <c r="C984" s="3" t="s">
        <v>48</v>
      </c>
      <c r="D984" t="s">
        <v>528</v>
      </c>
      <c r="G984">
        <f>13*24+4</f>
        <v>316</v>
      </c>
      <c r="H984" t="s">
        <v>514</v>
      </c>
      <c r="K984">
        <v>80.041580041580801</v>
      </c>
      <c r="L984" t="s">
        <v>550</v>
      </c>
      <c r="M984" t="s">
        <v>535</v>
      </c>
      <c r="Q984" t="s">
        <v>468</v>
      </c>
      <c r="R984" t="s">
        <v>4</v>
      </c>
      <c r="S984" t="s">
        <v>46</v>
      </c>
    </row>
    <row r="985" spans="1:19" x14ac:dyDescent="0.3">
      <c r="A985" s="2" t="s">
        <v>157</v>
      </c>
      <c r="B985" s="4" t="s">
        <v>568</v>
      </c>
      <c r="C985" s="3" t="s">
        <v>48</v>
      </c>
      <c r="D985" t="s">
        <v>528</v>
      </c>
      <c r="G985">
        <f>13*24+5</f>
        <v>317</v>
      </c>
      <c r="H985" t="s">
        <v>514</v>
      </c>
      <c r="K985">
        <v>72.765072765073398</v>
      </c>
      <c r="L985" t="s">
        <v>550</v>
      </c>
      <c r="M985" t="s">
        <v>535</v>
      </c>
      <c r="Q985" t="s">
        <v>468</v>
      </c>
      <c r="R985" t="s">
        <v>4</v>
      </c>
      <c r="S985" t="s">
        <v>46</v>
      </c>
    </row>
    <row r="986" spans="1:19" x14ac:dyDescent="0.3">
      <c r="A986" s="2" t="s">
        <v>157</v>
      </c>
      <c r="B986" s="4" t="s">
        <v>568</v>
      </c>
      <c r="C986" s="3" t="s">
        <v>48</v>
      </c>
      <c r="D986" t="s">
        <v>528</v>
      </c>
      <c r="G986">
        <f>13*24+6</f>
        <v>318</v>
      </c>
      <c r="H986" t="s">
        <v>514</v>
      </c>
      <c r="K986">
        <v>50.9355509355509</v>
      </c>
      <c r="L986" t="s">
        <v>550</v>
      </c>
      <c r="M986" t="s">
        <v>535</v>
      </c>
      <c r="Q986" t="s">
        <v>468</v>
      </c>
      <c r="R986" t="s">
        <v>4</v>
      </c>
      <c r="S986" t="s">
        <v>46</v>
      </c>
    </row>
    <row r="987" spans="1:19" x14ac:dyDescent="0.3">
      <c r="A987" s="2" t="s">
        <v>157</v>
      </c>
      <c r="B987" s="4" t="s">
        <v>568</v>
      </c>
      <c r="C987" s="3" t="s">
        <v>48</v>
      </c>
      <c r="D987" t="s">
        <v>528</v>
      </c>
      <c r="G987">
        <f>13*24+8</f>
        <v>320</v>
      </c>
      <c r="H987" t="s">
        <v>514</v>
      </c>
      <c r="K987">
        <v>29.1060291060293</v>
      </c>
      <c r="L987" t="s">
        <v>550</v>
      </c>
      <c r="M987" t="s">
        <v>535</v>
      </c>
      <c r="Q987" t="s">
        <v>468</v>
      </c>
      <c r="R987" t="s">
        <v>4</v>
      </c>
      <c r="S987" t="s">
        <v>46</v>
      </c>
    </row>
    <row r="988" spans="1:19" x14ac:dyDescent="0.3">
      <c r="A988" s="2" t="s">
        <v>157</v>
      </c>
      <c r="B988" s="4" t="s">
        <v>568</v>
      </c>
      <c r="C988" s="3" t="s">
        <v>48</v>
      </c>
      <c r="D988" t="s">
        <v>528</v>
      </c>
      <c r="G988">
        <f>13*24+12</f>
        <v>324</v>
      </c>
      <c r="H988" t="s">
        <v>514</v>
      </c>
      <c r="K988">
        <v>7.2765072765068899</v>
      </c>
      <c r="L988" t="s">
        <v>550</v>
      </c>
      <c r="M988" t="s">
        <v>535</v>
      </c>
      <c r="Q988" t="s">
        <v>468</v>
      </c>
      <c r="R988" t="s">
        <v>4</v>
      </c>
      <c r="S988" t="s">
        <v>46</v>
      </c>
    </row>
    <row r="989" spans="1:19" x14ac:dyDescent="0.3">
      <c r="A989" s="2" t="s">
        <v>157</v>
      </c>
      <c r="B989" s="4" t="s">
        <v>568</v>
      </c>
      <c r="C989" s="3" t="s">
        <v>48</v>
      </c>
      <c r="D989" t="s">
        <v>528</v>
      </c>
      <c r="G989">
        <f>13*24+16</f>
        <v>328</v>
      </c>
      <c r="H989" t="s">
        <v>514</v>
      </c>
      <c r="K989">
        <v>7.2765072765068899</v>
      </c>
      <c r="L989" t="s">
        <v>550</v>
      </c>
      <c r="M989" t="s">
        <v>535</v>
      </c>
      <c r="Q989" t="s">
        <v>468</v>
      </c>
      <c r="R989" t="s">
        <v>4</v>
      </c>
      <c r="S989" t="s">
        <v>46</v>
      </c>
    </row>
    <row r="990" spans="1:19" x14ac:dyDescent="0.3">
      <c r="A990" s="2" t="s">
        <v>158</v>
      </c>
      <c r="B990" s="4" t="s">
        <v>569</v>
      </c>
      <c r="C990" s="3" t="s">
        <v>48</v>
      </c>
      <c r="D990" t="s">
        <v>528</v>
      </c>
      <c r="G990">
        <v>1.5</v>
      </c>
      <c r="H990" t="s">
        <v>514</v>
      </c>
      <c r="K990">
        <v>85.710804026223698</v>
      </c>
      <c r="L990" t="s">
        <v>550</v>
      </c>
      <c r="M990" t="s">
        <v>535</v>
      </c>
      <c r="Q990" t="s">
        <v>468</v>
      </c>
      <c r="R990" t="s">
        <v>4</v>
      </c>
      <c r="S990" t="s">
        <v>46</v>
      </c>
    </row>
    <row r="991" spans="1:19" x14ac:dyDescent="0.3">
      <c r="A991" s="2" t="s">
        <v>158</v>
      </c>
      <c r="B991" s="4" t="s">
        <v>569</v>
      </c>
      <c r="C991" s="3" t="s">
        <v>48</v>
      </c>
      <c r="D991" t="s">
        <v>528</v>
      </c>
      <c r="G991">
        <v>2</v>
      </c>
      <c r="H991" t="s">
        <v>514</v>
      </c>
      <c r="K991">
        <v>143.13567790207301</v>
      </c>
      <c r="L991" t="s">
        <v>550</v>
      </c>
      <c r="M991" t="s">
        <v>535</v>
      </c>
      <c r="Q991" t="s">
        <v>468</v>
      </c>
      <c r="R991" t="s">
        <v>4</v>
      </c>
      <c r="S991" t="s">
        <v>46</v>
      </c>
    </row>
    <row r="992" spans="1:19" x14ac:dyDescent="0.3">
      <c r="A992" s="2" t="s">
        <v>158</v>
      </c>
      <c r="B992" s="4" t="s">
        <v>569</v>
      </c>
      <c r="C992" s="3" t="s">
        <v>48</v>
      </c>
      <c r="D992" t="s">
        <v>528</v>
      </c>
      <c r="G992">
        <v>2.5</v>
      </c>
      <c r="H992" t="s">
        <v>514</v>
      </c>
      <c r="K992">
        <v>171.711632667982</v>
      </c>
      <c r="L992" t="s">
        <v>550</v>
      </c>
      <c r="M992" t="s">
        <v>535</v>
      </c>
      <c r="Q992" t="s">
        <v>468</v>
      </c>
      <c r="R992" t="s">
        <v>4</v>
      </c>
      <c r="S992" t="s">
        <v>46</v>
      </c>
    </row>
    <row r="993" spans="1:19" x14ac:dyDescent="0.3">
      <c r="A993" s="2" t="s">
        <v>158</v>
      </c>
      <c r="B993" s="4" t="s">
        <v>569</v>
      </c>
      <c r="C993" s="3" t="s">
        <v>48</v>
      </c>
      <c r="D993" t="s">
        <v>528</v>
      </c>
      <c r="G993">
        <v>3</v>
      </c>
      <c r="H993" t="s">
        <v>514</v>
      </c>
      <c r="K993">
        <v>178.63810289780801</v>
      </c>
      <c r="L993" t="s">
        <v>550</v>
      </c>
      <c r="M993" t="s">
        <v>535</v>
      </c>
      <c r="Q993" t="s">
        <v>468</v>
      </c>
      <c r="R993" t="s">
        <v>4</v>
      </c>
      <c r="S993" t="s">
        <v>46</v>
      </c>
    </row>
    <row r="994" spans="1:19" x14ac:dyDescent="0.3">
      <c r="A994" s="2" t="s">
        <v>158</v>
      </c>
      <c r="B994" s="4" t="s">
        <v>569</v>
      </c>
      <c r="C994" s="3" t="s">
        <v>48</v>
      </c>
      <c r="D994" t="s">
        <v>528</v>
      </c>
      <c r="G994">
        <v>3.5</v>
      </c>
      <c r="H994" t="s">
        <v>514</v>
      </c>
      <c r="K994">
        <v>171.08040262240601</v>
      </c>
      <c r="L994" t="s">
        <v>550</v>
      </c>
      <c r="M994" t="s">
        <v>535</v>
      </c>
      <c r="Q994" t="s">
        <v>468</v>
      </c>
      <c r="R994" t="s">
        <v>4</v>
      </c>
      <c r="S994" t="s">
        <v>46</v>
      </c>
    </row>
    <row r="995" spans="1:19" x14ac:dyDescent="0.3">
      <c r="A995" s="2" t="s">
        <v>158</v>
      </c>
      <c r="B995" s="4" t="s">
        <v>569</v>
      </c>
      <c r="C995" s="3" t="s">
        <v>48</v>
      </c>
      <c r="D995" t="s">
        <v>528</v>
      </c>
      <c r="G995">
        <v>4</v>
      </c>
      <c r="H995" t="s">
        <v>514</v>
      </c>
      <c r="K995">
        <v>163.57388316151099</v>
      </c>
      <c r="L995" t="s">
        <v>550</v>
      </c>
      <c r="M995" t="s">
        <v>535</v>
      </c>
      <c r="Q995" t="s">
        <v>468</v>
      </c>
      <c r="R995" t="s">
        <v>4</v>
      </c>
      <c r="S995" t="s">
        <v>46</v>
      </c>
    </row>
    <row r="996" spans="1:19" x14ac:dyDescent="0.3">
      <c r="A996" s="2" t="s">
        <v>158</v>
      </c>
      <c r="B996" s="4" t="s">
        <v>569</v>
      </c>
      <c r="C996" s="3" t="s">
        <v>48</v>
      </c>
      <c r="D996" t="s">
        <v>528</v>
      </c>
      <c r="G996">
        <v>5</v>
      </c>
      <c r="H996" t="s">
        <v>514</v>
      </c>
      <c r="K996">
        <v>155.76027881357899</v>
      </c>
      <c r="L996" t="s">
        <v>550</v>
      </c>
      <c r="M996" t="s">
        <v>535</v>
      </c>
      <c r="Q996" t="s">
        <v>468</v>
      </c>
      <c r="R996" t="s">
        <v>4</v>
      </c>
      <c r="S996" t="s">
        <v>46</v>
      </c>
    </row>
    <row r="997" spans="1:19" x14ac:dyDescent="0.3">
      <c r="A997" s="2" t="s">
        <v>158</v>
      </c>
      <c r="B997" s="4" t="s">
        <v>569</v>
      </c>
      <c r="C997" s="3" t="s">
        <v>48</v>
      </c>
      <c r="D997" t="s">
        <v>528</v>
      </c>
      <c r="G997">
        <v>6</v>
      </c>
      <c r="H997" t="s">
        <v>514</v>
      </c>
      <c r="K997">
        <v>111.84713996734099</v>
      </c>
      <c r="L997" t="s">
        <v>550</v>
      </c>
      <c r="M997" t="s">
        <v>535</v>
      </c>
      <c r="Q997" t="s">
        <v>468</v>
      </c>
      <c r="R997" t="s">
        <v>4</v>
      </c>
      <c r="S997" t="s">
        <v>46</v>
      </c>
    </row>
    <row r="998" spans="1:19" x14ac:dyDescent="0.3">
      <c r="A998" s="2" t="s">
        <v>158</v>
      </c>
      <c r="B998" s="4" t="s">
        <v>569</v>
      </c>
      <c r="C998" s="3" t="s">
        <v>48</v>
      </c>
      <c r="D998" t="s">
        <v>528</v>
      </c>
      <c r="G998">
        <v>8</v>
      </c>
      <c r="H998" t="s">
        <v>514</v>
      </c>
      <c r="K998">
        <v>67.353951890034296</v>
      </c>
      <c r="L998" t="s">
        <v>550</v>
      </c>
      <c r="M998" t="s">
        <v>535</v>
      </c>
      <c r="Q998" t="s">
        <v>468</v>
      </c>
      <c r="R998" t="s">
        <v>4</v>
      </c>
      <c r="S998" t="s">
        <v>46</v>
      </c>
    </row>
    <row r="999" spans="1:19" x14ac:dyDescent="0.3">
      <c r="A999" s="2" t="s">
        <v>158</v>
      </c>
      <c r="B999" s="4" t="s">
        <v>569</v>
      </c>
      <c r="C999" s="3" t="s">
        <v>48</v>
      </c>
      <c r="D999" t="s">
        <v>528</v>
      </c>
      <c r="G999">
        <v>12</v>
      </c>
      <c r="H999" t="s">
        <v>514</v>
      </c>
      <c r="K999">
        <v>28.8659793814431</v>
      </c>
      <c r="L999" t="s">
        <v>550</v>
      </c>
      <c r="M999" t="s">
        <v>535</v>
      </c>
      <c r="Q999" t="s">
        <v>468</v>
      </c>
      <c r="R999" t="s">
        <v>4</v>
      </c>
      <c r="S999" t="s">
        <v>46</v>
      </c>
    </row>
    <row r="1000" spans="1:19" x14ac:dyDescent="0.3">
      <c r="A1000" s="2" t="s">
        <v>158</v>
      </c>
      <c r="B1000" s="4" t="s">
        <v>569</v>
      </c>
      <c r="C1000" s="3" t="s">
        <v>48</v>
      </c>
      <c r="D1000" t="s">
        <v>528</v>
      </c>
      <c r="G1000">
        <v>16</v>
      </c>
      <c r="H1000" t="s">
        <v>514</v>
      </c>
      <c r="K1000">
        <v>26.477541371158601</v>
      </c>
      <c r="L1000" t="s">
        <v>550</v>
      </c>
      <c r="M1000" t="s">
        <v>535</v>
      </c>
      <c r="Q1000" t="s">
        <v>468</v>
      </c>
      <c r="R1000" t="s">
        <v>4</v>
      </c>
      <c r="S1000" t="s">
        <v>46</v>
      </c>
    </row>
    <row r="1001" spans="1:19" x14ac:dyDescent="0.3">
      <c r="A1001" s="2" t="s">
        <v>158</v>
      </c>
      <c r="B1001" s="4" t="s">
        <v>569</v>
      </c>
      <c r="C1001" s="3" t="s">
        <v>48</v>
      </c>
      <c r="D1001" t="s">
        <v>528</v>
      </c>
      <c r="G1001">
        <f>3*24</f>
        <v>72</v>
      </c>
      <c r="H1001" t="s">
        <v>514</v>
      </c>
      <c r="K1001">
        <v>34.764826175869302</v>
      </c>
      <c r="L1001" t="s">
        <v>550</v>
      </c>
      <c r="M1001" t="s">
        <v>535</v>
      </c>
      <c r="Q1001" t="s">
        <v>468</v>
      </c>
      <c r="R1001" t="s">
        <v>4</v>
      </c>
      <c r="S1001" t="s">
        <v>46</v>
      </c>
    </row>
    <row r="1002" spans="1:19" x14ac:dyDescent="0.3">
      <c r="A1002" s="2" t="s">
        <v>158</v>
      </c>
      <c r="B1002" s="4" t="s">
        <v>569</v>
      </c>
      <c r="C1002" s="3" t="s">
        <v>48</v>
      </c>
      <c r="D1002" t="s">
        <v>528</v>
      </c>
      <c r="G1002">
        <f>6*24</f>
        <v>144</v>
      </c>
      <c r="H1002" t="s">
        <v>514</v>
      </c>
      <c r="K1002">
        <v>51.124744376278102</v>
      </c>
      <c r="L1002" t="s">
        <v>550</v>
      </c>
      <c r="M1002" t="s">
        <v>535</v>
      </c>
      <c r="Q1002" t="s">
        <v>468</v>
      </c>
      <c r="R1002" t="s">
        <v>4</v>
      </c>
      <c r="S1002" t="s">
        <v>46</v>
      </c>
    </row>
    <row r="1003" spans="1:19" x14ac:dyDescent="0.3">
      <c r="A1003" s="2" t="s">
        <v>158</v>
      </c>
      <c r="B1003" s="4" t="s">
        <v>569</v>
      </c>
      <c r="C1003" s="3" t="s">
        <v>48</v>
      </c>
      <c r="D1003" t="s">
        <v>528</v>
      </c>
      <c r="G1003">
        <f>9*24</f>
        <v>216</v>
      </c>
      <c r="H1003" t="s">
        <v>514</v>
      </c>
      <c r="K1003">
        <v>61.3496932515338</v>
      </c>
      <c r="L1003" t="s">
        <v>550</v>
      </c>
      <c r="M1003" t="s">
        <v>535</v>
      </c>
      <c r="Q1003" t="s">
        <v>468</v>
      </c>
      <c r="R1003" t="s">
        <v>4</v>
      </c>
      <c r="S1003" t="s">
        <v>46</v>
      </c>
    </row>
    <row r="1004" spans="1:19" x14ac:dyDescent="0.3">
      <c r="A1004" s="2" t="s">
        <v>158</v>
      </c>
      <c r="B1004" s="4" t="s">
        <v>569</v>
      </c>
      <c r="C1004" s="3" t="s">
        <v>48</v>
      </c>
      <c r="D1004" t="s">
        <v>528</v>
      </c>
      <c r="G1004">
        <f>11*24</f>
        <v>264</v>
      </c>
      <c r="H1004" t="s">
        <v>514</v>
      </c>
      <c r="K1004">
        <v>69.529652351738605</v>
      </c>
      <c r="L1004" t="s">
        <v>550</v>
      </c>
      <c r="M1004" t="s">
        <v>535</v>
      </c>
      <c r="Q1004" t="s">
        <v>468</v>
      </c>
      <c r="R1004" t="s">
        <v>4</v>
      </c>
      <c r="S1004" t="s">
        <v>46</v>
      </c>
    </row>
    <row r="1005" spans="1:19" x14ac:dyDescent="0.3">
      <c r="A1005" s="2" t="s">
        <v>158</v>
      </c>
      <c r="B1005" s="4" t="s">
        <v>569</v>
      </c>
      <c r="C1005" s="3" t="s">
        <v>48</v>
      </c>
      <c r="D1005" t="s">
        <v>528</v>
      </c>
      <c r="G1005">
        <f>12*24</f>
        <v>288</v>
      </c>
      <c r="H1005" t="s">
        <v>514</v>
      </c>
      <c r="K1005">
        <v>81.799591002045105</v>
      </c>
      <c r="L1005" t="s">
        <v>550</v>
      </c>
      <c r="M1005" t="s">
        <v>535</v>
      </c>
      <c r="Q1005" t="s">
        <v>468</v>
      </c>
      <c r="R1005" t="s">
        <v>4</v>
      </c>
      <c r="S1005" t="s">
        <v>46</v>
      </c>
    </row>
    <row r="1006" spans="1:19" x14ac:dyDescent="0.3">
      <c r="A1006" s="2" t="s">
        <v>158</v>
      </c>
      <c r="B1006" s="4" t="s">
        <v>569</v>
      </c>
      <c r="C1006" s="3" t="s">
        <v>48</v>
      </c>
      <c r="D1006" t="s">
        <v>528</v>
      </c>
      <c r="G1006">
        <f>13*24</f>
        <v>312</v>
      </c>
      <c r="H1006" t="s">
        <v>514</v>
      </c>
      <c r="K1006">
        <v>43.659043659044002</v>
      </c>
      <c r="L1006" t="s">
        <v>550</v>
      </c>
      <c r="M1006" t="s">
        <v>535</v>
      </c>
      <c r="Q1006" t="s">
        <v>468</v>
      </c>
      <c r="R1006" t="s">
        <v>4</v>
      </c>
      <c r="S1006" t="s">
        <v>46</v>
      </c>
    </row>
    <row r="1007" spans="1:19" x14ac:dyDescent="0.3">
      <c r="A1007" s="2" t="s">
        <v>158</v>
      </c>
      <c r="B1007" s="4" t="s">
        <v>569</v>
      </c>
      <c r="C1007" s="3" t="s">
        <v>48</v>
      </c>
      <c r="D1007" t="s">
        <v>528</v>
      </c>
      <c r="G1007">
        <f>13*24+0.5</f>
        <v>312.5</v>
      </c>
      <c r="H1007" t="s">
        <v>514</v>
      </c>
      <c r="K1007">
        <v>50.935550935551802</v>
      </c>
      <c r="L1007" t="s">
        <v>550</v>
      </c>
      <c r="M1007" t="s">
        <v>535</v>
      </c>
      <c r="Q1007" t="s">
        <v>468</v>
      </c>
      <c r="R1007" t="s">
        <v>4</v>
      </c>
      <c r="S1007" t="s">
        <v>46</v>
      </c>
    </row>
    <row r="1008" spans="1:19" x14ac:dyDescent="0.3">
      <c r="A1008" s="2" t="s">
        <v>158</v>
      </c>
      <c r="B1008" s="4" t="s">
        <v>569</v>
      </c>
      <c r="C1008" s="3" t="s">
        <v>48</v>
      </c>
      <c r="D1008" t="s">
        <v>528</v>
      </c>
      <c r="G1008">
        <f>13*24+1</f>
        <v>313</v>
      </c>
      <c r="H1008" t="s">
        <v>514</v>
      </c>
      <c r="K1008">
        <v>101.871101871102</v>
      </c>
      <c r="L1008" t="s">
        <v>550</v>
      </c>
      <c r="M1008" t="s">
        <v>535</v>
      </c>
      <c r="Q1008" t="s">
        <v>468</v>
      </c>
      <c r="R1008" t="s">
        <v>4</v>
      </c>
      <c r="S1008" t="s">
        <v>46</v>
      </c>
    </row>
    <row r="1009" spans="1:19" x14ac:dyDescent="0.3">
      <c r="A1009" s="2" t="s">
        <v>158</v>
      </c>
      <c r="B1009" s="4" t="s">
        <v>569</v>
      </c>
      <c r="C1009" s="3" t="s">
        <v>48</v>
      </c>
      <c r="D1009" t="s">
        <v>528</v>
      </c>
      <c r="G1009">
        <f>13*24+1.5</f>
        <v>313.5</v>
      </c>
      <c r="H1009" t="s">
        <v>514</v>
      </c>
      <c r="K1009">
        <v>145.530145530146</v>
      </c>
      <c r="L1009" t="s">
        <v>550</v>
      </c>
      <c r="M1009" t="s">
        <v>535</v>
      </c>
      <c r="Q1009" t="s">
        <v>468</v>
      </c>
      <c r="R1009" t="s">
        <v>4</v>
      </c>
      <c r="S1009" t="s">
        <v>46</v>
      </c>
    </row>
    <row r="1010" spans="1:19" x14ac:dyDescent="0.3">
      <c r="A1010" s="2" t="s">
        <v>158</v>
      </c>
      <c r="B1010" s="4" t="s">
        <v>569</v>
      </c>
      <c r="C1010" s="3" t="s">
        <v>48</v>
      </c>
      <c r="D1010" t="s">
        <v>528</v>
      </c>
      <c r="G1010">
        <f>13*24+2</f>
        <v>314</v>
      </c>
      <c r="H1010" t="s">
        <v>514</v>
      </c>
      <c r="K1010">
        <v>196.465696465696</v>
      </c>
      <c r="L1010" t="s">
        <v>550</v>
      </c>
      <c r="M1010" t="s">
        <v>535</v>
      </c>
      <c r="Q1010" t="s">
        <v>468</v>
      </c>
      <c r="R1010" t="s">
        <v>4</v>
      </c>
      <c r="S1010" t="s">
        <v>46</v>
      </c>
    </row>
    <row r="1011" spans="1:19" x14ac:dyDescent="0.3">
      <c r="A1011" s="2" t="s">
        <v>158</v>
      </c>
      <c r="B1011" s="4" t="s">
        <v>569</v>
      </c>
      <c r="C1011" s="3" t="s">
        <v>48</v>
      </c>
      <c r="D1011" t="s">
        <v>528</v>
      </c>
      <c r="G1011">
        <f>13*24+2.5</f>
        <v>314.5</v>
      </c>
      <c r="H1011" t="s">
        <v>514</v>
      </c>
      <c r="K1011">
        <v>240.12474012473999</v>
      </c>
      <c r="L1011" t="s">
        <v>550</v>
      </c>
      <c r="M1011" t="s">
        <v>535</v>
      </c>
      <c r="Q1011" t="s">
        <v>468</v>
      </c>
      <c r="R1011" t="s">
        <v>4</v>
      </c>
      <c r="S1011" t="s">
        <v>46</v>
      </c>
    </row>
    <row r="1012" spans="1:19" x14ac:dyDescent="0.3">
      <c r="A1012" s="2" t="s">
        <v>158</v>
      </c>
      <c r="B1012" s="4" t="s">
        <v>569</v>
      </c>
      <c r="C1012" s="3" t="s">
        <v>48</v>
      </c>
      <c r="D1012" t="s">
        <v>528</v>
      </c>
      <c r="G1012">
        <f>13*24+3</f>
        <v>315</v>
      </c>
      <c r="H1012" t="s">
        <v>514</v>
      </c>
      <c r="K1012">
        <v>261.95426195426199</v>
      </c>
      <c r="L1012" t="s">
        <v>550</v>
      </c>
      <c r="M1012" t="s">
        <v>535</v>
      </c>
      <c r="Q1012" t="s">
        <v>468</v>
      </c>
      <c r="R1012" t="s">
        <v>4</v>
      </c>
      <c r="S1012" t="s">
        <v>46</v>
      </c>
    </row>
    <row r="1013" spans="1:19" x14ac:dyDescent="0.3">
      <c r="A1013" s="2" t="s">
        <v>158</v>
      </c>
      <c r="B1013" s="4" t="s">
        <v>569</v>
      </c>
      <c r="C1013" s="3" t="s">
        <v>48</v>
      </c>
      <c r="D1013" t="s">
        <v>528</v>
      </c>
      <c r="G1013">
        <f>13*24+3.5</f>
        <v>315.5</v>
      </c>
      <c r="H1013" t="s">
        <v>514</v>
      </c>
      <c r="K1013">
        <v>298.33679833679798</v>
      </c>
      <c r="L1013" t="s">
        <v>550</v>
      </c>
      <c r="M1013" t="s">
        <v>535</v>
      </c>
      <c r="Q1013" t="s">
        <v>468</v>
      </c>
      <c r="R1013" t="s">
        <v>4</v>
      </c>
      <c r="S1013" t="s">
        <v>46</v>
      </c>
    </row>
    <row r="1014" spans="1:19" x14ac:dyDescent="0.3">
      <c r="A1014" s="2" t="s">
        <v>158</v>
      </c>
      <c r="B1014" s="4" t="s">
        <v>569</v>
      </c>
      <c r="C1014" s="3" t="s">
        <v>48</v>
      </c>
      <c r="D1014" t="s">
        <v>528</v>
      </c>
      <c r="G1014">
        <f>13*24+4</f>
        <v>316</v>
      </c>
      <c r="H1014" t="s">
        <v>514</v>
      </c>
      <c r="K1014">
        <v>305.61330561330499</v>
      </c>
      <c r="L1014" t="s">
        <v>550</v>
      </c>
      <c r="M1014" t="s">
        <v>535</v>
      </c>
      <c r="Q1014" t="s">
        <v>468</v>
      </c>
      <c r="R1014" t="s">
        <v>4</v>
      </c>
      <c r="S1014" t="s">
        <v>46</v>
      </c>
    </row>
    <row r="1015" spans="1:19" x14ac:dyDescent="0.3">
      <c r="A1015" s="2" t="s">
        <v>158</v>
      </c>
      <c r="B1015" s="4" t="s">
        <v>569</v>
      </c>
      <c r="C1015" s="3" t="s">
        <v>48</v>
      </c>
      <c r="D1015" t="s">
        <v>528</v>
      </c>
      <c r="G1015">
        <f>13*24+5</f>
        <v>317</v>
      </c>
      <c r="H1015" t="s">
        <v>514</v>
      </c>
      <c r="K1015">
        <v>349.272349272349</v>
      </c>
      <c r="L1015" t="s">
        <v>550</v>
      </c>
      <c r="M1015" t="s">
        <v>535</v>
      </c>
      <c r="Q1015" t="s">
        <v>468</v>
      </c>
      <c r="R1015" t="s">
        <v>4</v>
      </c>
      <c r="S1015" t="s">
        <v>46</v>
      </c>
    </row>
    <row r="1016" spans="1:19" x14ac:dyDescent="0.3">
      <c r="A1016" s="2" t="s">
        <v>158</v>
      </c>
      <c r="B1016" s="4" t="s">
        <v>569</v>
      </c>
      <c r="C1016" s="3" t="s">
        <v>48</v>
      </c>
      <c r="D1016" t="s">
        <v>528</v>
      </c>
      <c r="G1016">
        <f>13*24+6</f>
        <v>318</v>
      </c>
      <c r="H1016" t="s">
        <v>514</v>
      </c>
      <c r="K1016">
        <v>276.50727650727703</v>
      </c>
      <c r="L1016" t="s">
        <v>550</v>
      </c>
      <c r="M1016" t="s">
        <v>535</v>
      </c>
      <c r="Q1016" t="s">
        <v>468</v>
      </c>
      <c r="R1016" t="s">
        <v>4</v>
      </c>
      <c r="S1016" t="s">
        <v>46</v>
      </c>
    </row>
    <row r="1017" spans="1:19" x14ac:dyDescent="0.3">
      <c r="A1017" s="2" t="s">
        <v>158</v>
      </c>
      <c r="B1017" s="4" t="s">
        <v>569</v>
      </c>
      <c r="C1017" s="3" t="s">
        <v>48</v>
      </c>
      <c r="D1017" t="s">
        <v>528</v>
      </c>
      <c r="G1017">
        <f>13*24+8</f>
        <v>320</v>
      </c>
      <c r="H1017" t="s">
        <v>514</v>
      </c>
      <c r="K1017">
        <v>152.80665280665201</v>
      </c>
      <c r="L1017" t="s">
        <v>550</v>
      </c>
      <c r="M1017" t="s">
        <v>535</v>
      </c>
      <c r="Q1017" t="s">
        <v>468</v>
      </c>
      <c r="R1017" t="s">
        <v>4</v>
      </c>
      <c r="S1017" t="s">
        <v>46</v>
      </c>
    </row>
    <row r="1018" spans="1:19" x14ac:dyDescent="0.3">
      <c r="A1018" s="2" t="s">
        <v>158</v>
      </c>
      <c r="B1018" s="4" t="s">
        <v>569</v>
      </c>
      <c r="C1018" s="3" t="s">
        <v>48</v>
      </c>
      <c r="D1018" t="s">
        <v>528</v>
      </c>
      <c r="G1018">
        <f>13*24+12</f>
        <v>324</v>
      </c>
      <c r="H1018" t="s">
        <v>514</v>
      </c>
      <c r="K1018">
        <v>101.871101871102</v>
      </c>
      <c r="L1018" t="s">
        <v>550</v>
      </c>
      <c r="M1018" t="s">
        <v>535</v>
      </c>
      <c r="Q1018" t="s">
        <v>468</v>
      </c>
      <c r="R1018" t="s">
        <v>4</v>
      </c>
      <c r="S1018" t="s">
        <v>46</v>
      </c>
    </row>
    <row r="1019" spans="1:19" x14ac:dyDescent="0.3">
      <c r="A1019" s="2" t="s">
        <v>158</v>
      </c>
      <c r="B1019" s="4" t="s">
        <v>569</v>
      </c>
      <c r="C1019" s="3" t="s">
        <v>48</v>
      </c>
      <c r="D1019" t="s">
        <v>528</v>
      </c>
      <c r="G1019">
        <f>13*24+16</f>
        <v>328</v>
      </c>
      <c r="H1019" t="s">
        <v>514</v>
      </c>
      <c r="K1019">
        <v>80.041580041579394</v>
      </c>
      <c r="L1019" t="s">
        <v>550</v>
      </c>
      <c r="M1019" t="s">
        <v>535</v>
      </c>
      <c r="Q1019" t="s">
        <v>468</v>
      </c>
      <c r="R1019" t="s">
        <v>4</v>
      </c>
      <c r="S1019" t="s">
        <v>46</v>
      </c>
    </row>
    <row r="1020" spans="1:19" x14ac:dyDescent="0.3">
      <c r="A1020" s="2" t="s">
        <v>158</v>
      </c>
      <c r="B1020" s="4" t="s">
        <v>569</v>
      </c>
      <c r="C1020" s="3" t="s">
        <v>48</v>
      </c>
      <c r="D1020" t="s">
        <v>528</v>
      </c>
      <c r="G1020">
        <f>13*24+24</f>
        <v>336</v>
      </c>
      <c r="H1020" t="s">
        <v>514</v>
      </c>
      <c r="K1020">
        <v>80.041580041579394</v>
      </c>
      <c r="L1020" t="s">
        <v>550</v>
      </c>
      <c r="M1020" t="s">
        <v>535</v>
      </c>
      <c r="Q1020" t="s">
        <v>468</v>
      </c>
      <c r="R1020" t="s">
        <v>4</v>
      </c>
      <c r="S1020" t="s">
        <v>46</v>
      </c>
    </row>
    <row r="1021" spans="1:19" x14ac:dyDescent="0.3">
      <c r="A1021" s="2" t="s">
        <v>159</v>
      </c>
      <c r="B1021" s="4" t="s">
        <v>570</v>
      </c>
      <c r="C1021" s="3" t="s">
        <v>48</v>
      </c>
      <c r="D1021" t="s">
        <v>528</v>
      </c>
      <c r="G1021">
        <v>1.5</v>
      </c>
      <c r="H1021" t="s">
        <v>514</v>
      </c>
      <c r="K1021">
        <v>172.29168189905201</v>
      </c>
      <c r="L1021" t="s">
        <v>550</v>
      </c>
      <c r="M1021" t="s">
        <v>535</v>
      </c>
      <c r="Q1021" t="s">
        <v>468</v>
      </c>
      <c r="R1021" t="s">
        <v>4</v>
      </c>
      <c r="S1021" t="s">
        <v>46</v>
      </c>
    </row>
    <row r="1022" spans="1:19" x14ac:dyDescent="0.3">
      <c r="A1022" s="2" t="s">
        <v>159</v>
      </c>
      <c r="B1022" s="4" t="s">
        <v>570</v>
      </c>
      <c r="C1022" s="3" t="s">
        <v>48</v>
      </c>
      <c r="D1022" t="s">
        <v>528</v>
      </c>
      <c r="G1022">
        <v>2</v>
      </c>
      <c r="H1022" t="s">
        <v>514</v>
      </c>
      <c r="K1022">
        <v>316.31449391923201</v>
      </c>
      <c r="L1022" t="s">
        <v>550</v>
      </c>
      <c r="M1022" t="s">
        <v>535</v>
      </c>
      <c r="Q1022" t="s">
        <v>468</v>
      </c>
      <c r="R1022" t="s">
        <v>4</v>
      </c>
      <c r="S1022" t="s">
        <v>46</v>
      </c>
    </row>
    <row r="1023" spans="1:19" x14ac:dyDescent="0.3">
      <c r="A1023" s="2" t="s">
        <v>159</v>
      </c>
      <c r="B1023" s="4" t="s">
        <v>570</v>
      </c>
      <c r="C1023" s="3" t="s">
        <v>48</v>
      </c>
      <c r="D1023" t="s">
        <v>528</v>
      </c>
      <c r="G1023">
        <v>2.5</v>
      </c>
      <c r="H1023" t="s">
        <v>514</v>
      </c>
      <c r="K1023">
        <v>366.53993322122199</v>
      </c>
      <c r="L1023" t="s">
        <v>550</v>
      </c>
      <c r="M1023" t="s">
        <v>535</v>
      </c>
      <c r="Q1023" t="s">
        <v>468</v>
      </c>
      <c r="R1023" t="s">
        <v>4</v>
      </c>
      <c r="S1023" t="s">
        <v>46</v>
      </c>
    </row>
    <row r="1024" spans="1:19" x14ac:dyDescent="0.3">
      <c r="A1024" s="2" t="s">
        <v>159</v>
      </c>
      <c r="B1024" s="4" t="s">
        <v>570</v>
      </c>
      <c r="C1024" s="3" t="s">
        <v>48</v>
      </c>
      <c r="D1024" t="s">
        <v>528</v>
      </c>
      <c r="G1024">
        <v>3</v>
      </c>
      <c r="H1024" t="s">
        <v>514</v>
      </c>
      <c r="K1024">
        <v>380.66583802490698</v>
      </c>
      <c r="L1024" t="s">
        <v>550</v>
      </c>
      <c r="M1024" t="s">
        <v>535</v>
      </c>
      <c r="Q1024" t="s">
        <v>468</v>
      </c>
      <c r="R1024" t="s">
        <v>4</v>
      </c>
      <c r="S1024" t="s">
        <v>46</v>
      </c>
    </row>
    <row r="1025" spans="1:19" x14ac:dyDescent="0.3">
      <c r="A1025" s="2" t="s">
        <v>159</v>
      </c>
      <c r="B1025" s="4" t="s">
        <v>570</v>
      </c>
      <c r="C1025" s="3" t="s">
        <v>48</v>
      </c>
      <c r="D1025" t="s">
        <v>528</v>
      </c>
      <c r="G1025">
        <v>3.5</v>
      </c>
      <c r="H1025" t="s">
        <v>514</v>
      </c>
      <c r="K1025">
        <v>466.97375155370298</v>
      </c>
      <c r="L1025" t="s">
        <v>550</v>
      </c>
      <c r="M1025" t="s">
        <v>535</v>
      </c>
      <c r="Q1025" t="s">
        <v>468</v>
      </c>
      <c r="R1025" t="s">
        <v>4</v>
      </c>
      <c r="S1025" t="s">
        <v>46</v>
      </c>
    </row>
    <row r="1026" spans="1:19" x14ac:dyDescent="0.3">
      <c r="A1026" s="2" t="s">
        <v>159</v>
      </c>
      <c r="B1026" s="4" t="s">
        <v>570</v>
      </c>
      <c r="C1026" s="3" t="s">
        <v>48</v>
      </c>
      <c r="D1026" t="s">
        <v>528</v>
      </c>
      <c r="G1026">
        <v>4</v>
      </c>
      <c r="H1026" t="s">
        <v>514</v>
      </c>
      <c r="K1026">
        <v>416.15120274914</v>
      </c>
      <c r="L1026" t="s">
        <v>550</v>
      </c>
      <c r="M1026" t="s">
        <v>535</v>
      </c>
      <c r="Q1026" t="s">
        <v>468</v>
      </c>
      <c r="R1026" t="s">
        <v>4</v>
      </c>
      <c r="S1026" t="s">
        <v>46</v>
      </c>
    </row>
    <row r="1027" spans="1:19" x14ac:dyDescent="0.3">
      <c r="A1027" s="2" t="s">
        <v>159</v>
      </c>
      <c r="B1027" s="4" t="s">
        <v>570</v>
      </c>
      <c r="C1027" s="3" t="s">
        <v>48</v>
      </c>
      <c r="D1027" t="s">
        <v>528</v>
      </c>
      <c r="G1027">
        <v>5</v>
      </c>
      <c r="H1027" t="s">
        <v>514</v>
      </c>
      <c r="K1027">
        <v>372.25512417440399</v>
      </c>
      <c r="L1027" t="s">
        <v>550</v>
      </c>
      <c r="M1027" t="s">
        <v>535</v>
      </c>
      <c r="Q1027" t="s">
        <v>468</v>
      </c>
      <c r="R1027" t="s">
        <v>4</v>
      </c>
      <c r="S1027" t="s">
        <v>46</v>
      </c>
    </row>
    <row r="1028" spans="1:19" x14ac:dyDescent="0.3">
      <c r="A1028" s="2" t="s">
        <v>159</v>
      </c>
      <c r="B1028" s="4" t="s">
        <v>570</v>
      </c>
      <c r="C1028" s="3" t="s">
        <v>48</v>
      </c>
      <c r="D1028" t="s">
        <v>528</v>
      </c>
      <c r="G1028">
        <v>6</v>
      </c>
      <c r="H1028" t="s">
        <v>514</v>
      </c>
      <c r="K1028">
        <v>263.41059199142001</v>
      </c>
      <c r="L1028" t="s">
        <v>550</v>
      </c>
      <c r="M1028" t="s">
        <v>535</v>
      </c>
      <c r="Q1028" t="s">
        <v>468</v>
      </c>
      <c r="R1028" t="s">
        <v>4</v>
      </c>
      <c r="S1028" t="s">
        <v>46</v>
      </c>
    </row>
    <row r="1029" spans="1:19" x14ac:dyDescent="0.3">
      <c r="A1029" s="2" t="s">
        <v>159</v>
      </c>
      <c r="B1029" s="4" t="s">
        <v>570</v>
      </c>
      <c r="C1029" s="3" t="s">
        <v>48</v>
      </c>
      <c r="D1029" t="s">
        <v>528</v>
      </c>
      <c r="G1029">
        <v>8</v>
      </c>
      <c r="H1029" t="s">
        <v>514</v>
      </c>
      <c r="K1029">
        <v>153.951890034364</v>
      </c>
      <c r="L1029" t="s">
        <v>550</v>
      </c>
      <c r="M1029" t="s">
        <v>535</v>
      </c>
      <c r="Q1029" t="s">
        <v>468</v>
      </c>
      <c r="R1029" t="s">
        <v>4</v>
      </c>
      <c r="S1029" t="s">
        <v>46</v>
      </c>
    </row>
    <row r="1030" spans="1:19" x14ac:dyDescent="0.3">
      <c r="A1030" s="2" t="s">
        <v>159</v>
      </c>
      <c r="B1030" s="4" t="s">
        <v>570</v>
      </c>
      <c r="C1030" s="3" t="s">
        <v>48</v>
      </c>
      <c r="D1030" t="s">
        <v>528</v>
      </c>
      <c r="G1030">
        <v>12</v>
      </c>
      <c r="H1030" t="s">
        <v>514</v>
      </c>
      <c r="K1030">
        <v>86.580877872828694</v>
      </c>
      <c r="L1030" t="s">
        <v>550</v>
      </c>
      <c r="M1030" t="s">
        <v>535</v>
      </c>
      <c r="Q1030" t="s">
        <v>468</v>
      </c>
      <c r="R1030" t="s">
        <v>4</v>
      </c>
      <c r="S1030" t="s">
        <v>46</v>
      </c>
    </row>
    <row r="1031" spans="1:19" x14ac:dyDescent="0.3">
      <c r="A1031" s="2" t="s">
        <v>159</v>
      </c>
      <c r="B1031" s="4" t="s">
        <v>570</v>
      </c>
      <c r="C1031" s="3" t="s">
        <v>48</v>
      </c>
      <c r="D1031" t="s">
        <v>528</v>
      </c>
      <c r="G1031">
        <v>16</v>
      </c>
      <c r="H1031" t="s">
        <v>514</v>
      </c>
      <c r="K1031">
        <v>62.560015597961801</v>
      </c>
      <c r="L1031" t="s">
        <v>550</v>
      </c>
      <c r="M1031" t="s">
        <v>535</v>
      </c>
      <c r="Q1031" t="s">
        <v>468</v>
      </c>
      <c r="R1031" t="s">
        <v>4</v>
      </c>
      <c r="S1031" t="s">
        <v>46</v>
      </c>
    </row>
    <row r="1032" spans="1:19" x14ac:dyDescent="0.3">
      <c r="A1032" s="2" t="s">
        <v>159</v>
      </c>
      <c r="B1032" s="4" t="s">
        <v>570</v>
      </c>
      <c r="C1032" s="3" t="s">
        <v>48</v>
      </c>
      <c r="D1032" t="s">
        <v>528</v>
      </c>
      <c r="G1032">
        <v>24</v>
      </c>
      <c r="H1032" t="s">
        <v>514</v>
      </c>
      <c r="K1032">
        <v>43.316029343666699</v>
      </c>
      <c r="L1032" t="s">
        <v>550</v>
      </c>
      <c r="M1032" t="s">
        <v>535</v>
      </c>
      <c r="Q1032" t="s">
        <v>468</v>
      </c>
      <c r="R1032" t="s">
        <v>4</v>
      </c>
      <c r="S1032" t="s">
        <v>46</v>
      </c>
    </row>
    <row r="1033" spans="1:19" x14ac:dyDescent="0.3">
      <c r="A1033" s="2" t="s">
        <v>159</v>
      </c>
      <c r="B1033" s="4" t="s">
        <v>570</v>
      </c>
      <c r="C1033" s="3" t="s">
        <v>48</v>
      </c>
      <c r="D1033" t="s">
        <v>528</v>
      </c>
      <c r="G1033">
        <f>3*24</f>
        <v>72</v>
      </c>
      <c r="H1033" t="s">
        <v>514</v>
      </c>
      <c r="K1033">
        <v>67.484662576687001</v>
      </c>
      <c r="L1033" t="s">
        <v>550</v>
      </c>
      <c r="M1033" t="s">
        <v>535</v>
      </c>
      <c r="Q1033" t="s">
        <v>468</v>
      </c>
      <c r="R1033" t="s">
        <v>4</v>
      </c>
      <c r="S1033" t="s">
        <v>46</v>
      </c>
    </row>
    <row r="1034" spans="1:19" x14ac:dyDescent="0.3">
      <c r="A1034" s="2" t="s">
        <v>159</v>
      </c>
      <c r="B1034" s="4" t="s">
        <v>570</v>
      </c>
      <c r="C1034" s="3" t="s">
        <v>48</v>
      </c>
      <c r="D1034" t="s">
        <v>528</v>
      </c>
      <c r="G1034">
        <f>6*24</f>
        <v>144</v>
      </c>
      <c r="H1034" t="s">
        <v>514</v>
      </c>
      <c r="K1034">
        <v>104.294478527607</v>
      </c>
      <c r="L1034" t="s">
        <v>550</v>
      </c>
      <c r="M1034" t="s">
        <v>535</v>
      </c>
      <c r="Q1034" t="s">
        <v>468</v>
      </c>
      <c r="R1034" t="s">
        <v>4</v>
      </c>
      <c r="S1034" t="s">
        <v>46</v>
      </c>
    </row>
    <row r="1035" spans="1:19" x14ac:dyDescent="0.3">
      <c r="A1035" s="2" t="s">
        <v>159</v>
      </c>
      <c r="B1035" s="4" t="s">
        <v>570</v>
      </c>
      <c r="C1035" s="3" t="s">
        <v>48</v>
      </c>
      <c r="D1035" t="s">
        <v>528</v>
      </c>
      <c r="G1035">
        <f>9*24</f>
        <v>216</v>
      </c>
      <c r="H1035" t="s">
        <v>514</v>
      </c>
      <c r="K1035">
        <v>137.01431492842499</v>
      </c>
      <c r="L1035" t="s">
        <v>550</v>
      </c>
      <c r="M1035" t="s">
        <v>535</v>
      </c>
      <c r="Q1035" t="s">
        <v>468</v>
      </c>
      <c r="R1035" t="s">
        <v>4</v>
      </c>
      <c r="S1035" t="s">
        <v>46</v>
      </c>
    </row>
    <row r="1036" spans="1:19" x14ac:dyDescent="0.3">
      <c r="A1036" s="2" t="s">
        <v>159</v>
      </c>
      <c r="B1036" s="4" t="s">
        <v>570</v>
      </c>
      <c r="C1036" s="3" t="s">
        <v>48</v>
      </c>
      <c r="D1036" t="s">
        <v>528</v>
      </c>
      <c r="G1036">
        <f>11*24</f>
        <v>264</v>
      </c>
      <c r="H1036" t="s">
        <v>514</v>
      </c>
      <c r="K1036">
        <v>163.59918200409001</v>
      </c>
      <c r="L1036" t="s">
        <v>550</v>
      </c>
      <c r="M1036" t="s">
        <v>535</v>
      </c>
      <c r="Q1036" t="s">
        <v>468</v>
      </c>
      <c r="R1036" t="s">
        <v>4</v>
      </c>
      <c r="S1036" t="s">
        <v>46</v>
      </c>
    </row>
    <row r="1037" spans="1:19" x14ac:dyDescent="0.3">
      <c r="A1037" s="2" t="s">
        <v>159</v>
      </c>
      <c r="B1037" s="4" t="s">
        <v>570</v>
      </c>
      <c r="C1037" s="3" t="s">
        <v>48</v>
      </c>
      <c r="D1037" t="s">
        <v>528</v>
      </c>
      <c r="G1037">
        <f>12*24</f>
        <v>288</v>
      </c>
      <c r="H1037" t="s">
        <v>514</v>
      </c>
      <c r="K1037">
        <v>159.509202453987</v>
      </c>
      <c r="L1037" t="s">
        <v>550</v>
      </c>
      <c r="M1037" t="s">
        <v>535</v>
      </c>
      <c r="Q1037" t="s">
        <v>468</v>
      </c>
      <c r="R1037" t="s">
        <v>4</v>
      </c>
      <c r="S1037" t="s">
        <v>46</v>
      </c>
    </row>
    <row r="1038" spans="1:19" x14ac:dyDescent="0.3">
      <c r="A1038" s="2" t="s">
        <v>159</v>
      </c>
      <c r="B1038" s="4" t="s">
        <v>570</v>
      </c>
      <c r="C1038" s="3" t="s">
        <v>48</v>
      </c>
      <c r="D1038" t="s">
        <v>528</v>
      </c>
      <c r="G1038">
        <f>13*24</f>
        <v>312</v>
      </c>
      <c r="H1038" t="s">
        <v>514</v>
      </c>
      <c r="K1038">
        <v>171.77914110429401</v>
      </c>
      <c r="L1038" t="s">
        <v>550</v>
      </c>
      <c r="M1038" t="s">
        <v>535</v>
      </c>
      <c r="Q1038" t="s">
        <v>468</v>
      </c>
      <c r="R1038" t="s">
        <v>4</v>
      </c>
      <c r="S1038" t="s">
        <v>46</v>
      </c>
    </row>
    <row r="1039" spans="1:19" x14ac:dyDescent="0.3">
      <c r="A1039" s="2" t="s">
        <v>159</v>
      </c>
      <c r="B1039" s="4" t="s">
        <v>570</v>
      </c>
      <c r="C1039" s="3" t="s">
        <v>48</v>
      </c>
      <c r="D1039" t="s">
        <v>528</v>
      </c>
      <c r="G1039">
        <f>13*24+0.5</f>
        <v>312.5</v>
      </c>
      <c r="H1039" t="s">
        <v>514</v>
      </c>
      <c r="K1039">
        <v>152.80665280665201</v>
      </c>
      <c r="L1039" t="s">
        <v>550</v>
      </c>
      <c r="M1039" t="s">
        <v>535</v>
      </c>
      <c r="Q1039" t="s">
        <v>468</v>
      </c>
      <c r="R1039" t="s">
        <v>4</v>
      </c>
      <c r="S1039" t="s">
        <v>46</v>
      </c>
    </row>
    <row r="1040" spans="1:19" x14ac:dyDescent="0.3">
      <c r="A1040" s="2" t="s">
        <v>159</v>
      </c>
      <c r="B1040" s="4" t="s">
        <v>570</v>
      </c>
      <c r="C1040" s="3" t="s">
        <v>48</v>
      </c>
      <c r="D1040" t="s">
        <v>528</v>
      </c>
      <c r="G1040">
        <f>13*24+1</f>
        <v>313</v>
      </c>
      <c r="H1040" t="s">
        <v>514</v>
      </c>
      <c r="K1040">
        <v>189.18918918918899</v>
      </c>
      <c r="L1040" t="s">
        <v>550</v>
      </c>
      <c r="M1040" t="s">
        <v>535</v>
      </c>
      <c r="Q1040" t="s">
        <v>468</v>
      </c>
      <c r="R1040" t="s">
        <v>4</v>
      </c>
      <c r="S1040" t="s">
        <v>46</v>
      </c>
    </row>
    <row r="1041" spans="1:19" x14ac:dyDescent="0.3">
      <c r="A1041" s="2" t="s">
        <v>159</v>
      </c>
      <c r="B1041" s="4" t="s">
        <v>570</v>
      </c>
      <c r="C1041" s="3" t="s">
        <v>48</v>
      </c>
      <c r="D1041" t="s">
        <v>528</v>
      </c>
      <c r="G1041">
        <f>13*24+1.5</f>
        <v>313.5</v>
      </c>
      <c r="H1041" t="s">
        <v>514</v>
      </c>
      <c r="K1041">
        <v>276.507276507276</v>
      </c>
      <c r="L1041" t="s">
        <v>550</v>
      </c>
      <c r="M1041" t="s">
        <v>535</v>
      </c>
      <c r="Q1041" t="s">
        <v>468</v>
      </c>
      <c r="R1041" t="s">
        <v>4</v>
      </c>
      <c r="S1041" t="s">
        <v>46</v>
      </c>
    </row>
    <row r="1042" spans="1:19" x14ac:dyDescent="0.3">
      <c r="A1042" s="2" t="s">
        <v>159</v>
      </c>
      <c r="B1042" s="4" t="s">
        <v>570</v>
      </c>
      <c r="C1042" s="3" t="s">
        <v>48</v>
      </c>
      <c r="D1042" t="s">
        <v>528</v>
      </c>
      <c r="G1042">
        <f>13*24+2</f>
        <v>314</v>
      </c>
      <c r="H1042" t="s">
        <v>514</v>
      </c>
      <c r="K1042">
        <v>400.20790020790002</v>
      </c>
      <c r="L1042" t="s">
        <v>550</v>
      </c>
      <c r="M1042" t="s">
        <v>535</v>
      </c>
      <c r="Q1042" t="s">
        <v>468</v>
      </c>
      <c r="R1042" t="s">
        <v>4</v>
      </c>
      <c r="S1042" t="s">
        <v>46</v>
      </c>
    </row>
    <row r="1043" spans="1:19" x14ac:dyDescent="0.3">
      <c r="A1043" s="2" t="s">
        <v>159</v>
      </c>
      <c r="B1043" s="4" t="s">
        <v>570</v>
      </c>
      <c r="C1043" s="3" t="s">
        <v>48</v>
      </c>
      <c r="D1043" t="s">
        <v>528</v>
      </c>
      <c r="G1043">
        <f>13*24+2.5</f>
        <v>314.5</v>
      </c>
      <c r="H1043" t="s">
        <v>514</v>
      </c>
      <c r="K1043">
        <v>567.56756756756704</v>
      </c>
      <c r="L1043" t="s">
        <v>550</v>
      </c>
      <c r="M1043" t="s">
        <v>535</v>
      </c>
      <c r="Q1043" t="s">
        <v>468</v>
      </c>
      <c r="R1043" t="s">
        <v>4</v>
      </c>
      <c r="S1043" t="s">
        <v>46</v>
      </c>
    </row>
    <row r="1044" spans="1:19" x14ac:dyDescent="0.3">
      <c r="A1044" s="2" t="s">
        <v>159</v>
      </c>
      <c r="B1044" s="4" t="s">
        <v>570</v>
      </c>
      <c r="C1044" s="3" t="s">
        <v>48</v>
      </c>
      <c r="D1044" t="s">
        <v>528</v>
      </c>
      <c r="G1044">
        <f>13*24+3</f>
        <v>315</v>
      </c>
      <c r="H1044" t="s">
        <v>514</v>
      </c>
      <c r="K1044">
        <v>662.16216216216196</v>
      </c>
      <c r="L1044" t="s">
        <v>550</v>
      </c>
      <c r="M1044" t="s">
        <v>535</v>
      </c>
      <c r="Q1044" t="s">
        <v>468</v>
      </c>
      <c r="R1044" t="s">
        <v>4</v>
      </c>
      <c r="S1044" t="s">
        <v>46</v>
      </c>
    </row>
    <row r="1045" spans="1:19" x14ac:dyDescent="0.3">
      <c r="A1045" s="2" t="s">
        <v>159</v>
      </c>
      <c r="B1045" s="4" t="s">
        <v>570</v>
      </c>
      <c r="C1045" s="3" t="s">
        <v>48</v>
      </c>
      <c r="D1045" t="s">
        <v>528</v>
      </c>
      <c r="G1045">
        <f>13*24+3.5</f>
        <v>315.5</v>
      </c>
      <c r="H1045" t="s">
        <v>514</v>
      </c>
      <c r="K1045">
        <v>749.48024948024897</v>
      </c>
      <c r="L1045" t="s">
        <v>550</v>
      </c>
      <c r="M1045" t="s">
        <v>535</v>
      </c>
      <c r="Q1045" t="s">
        <v>468</v>
      </c>
      <c r="R1045" t="s">
        <v>4</v>
      </c>
      <c r="S1045" t="s">
        <v>46</v>
      </c>
    </row>
    <row r="1046" spans="1:19" x14ac:dyDescent="0.3">
      <c r="A1046" s="2" t="s">
        <v>159</v>
      </c>
      <c r="B1046" s="4" t="s">
        <v>570</v>
      </c>
      <c r="C1046" s="3" t="s">
        <v>48</v>
      </c>
      <c r="D1046" t="s">
        <v>528</v>
      </c>
      <c r="G1046">
        <f>13*24+4</f>
        <v>316</v>
      </c>
      <c r="H1046" t="s">
        <v>514</v>
      </c>
      <c r="K1046">
        <v>749.48024948024897</v>
      </c>
      <c r="L1046" t="s">
        <v>550</v>
      </c>
      <c r="M1046" t="s">
        <v>535</v>
      </c>
      <c r="Q1046" t="s">
        <v>468</v>
      </c>
      <c r="R1046" t="s">
        <v>4</v>
      </c>
      <c r="S1046" t="s">
        <v>46</v>
      </c>
    </row>
    <row r="1047" spans="1:19" x14ac:dyDescent="0.3">
      <c r="A1047" s="2" t="s">
        <v>159</v>
      </c>
      <c r="B1047" s="4" t="s">
        <v>570</v>
      </c>
      <c r="C1047" s="3" t="s">
        <v>48</v>
      </c>
      <c r="D1047" t="s">
        <v>528</v>
      </c>
      <c r="G1047">
        <f>13*24+5</f>
        <v>317</v>
      </c>
      <c r="H1047" t="s">
        <v>514</v>
      </c>
      <c r="K1047">
        <v>713.09771309771304</v>
      </c>
      <c r="L1047" t="s">
        <v>550</v>
      </c>
      <c r="M1047" t="s">
        <v>535</v>
      </c>
      <c r="Q1047" t="s">
        <v>468</v>
      </c>
      <c r="R1047" t="s">
        <v>4</v>
      </c>
      <c r="S1047" t="s">
        <v>46</v>
      </c>
    </row>
    <row r="1048" spans="1:19" x14ac:dyDescent="0.3">
      <c r="A1048" s="2" t="s">
        <v>159</v>
      </c>
      <c r="B1048" s="4" t="s">
        <v>570</v>
      </c>
      <c r="C1048" s="3" t="s">
        <v>48</v>
      </c>
      <c r="D1048" t="s">
        <v>528</v>
      </c>
      <c r="G1048">
        <f>13*24+6</f>
        <v>318</v>
      </c>
      <c r="H1048" t="s">
        <v>514</v>
      </c>
      <c r="K1048">
        <v>611.22661122660998</v>
      </c>
      <c r="L1048" t="s">
        <v>550</v>
      </c>
      <c r="M1048" t="s">
        <v>535</v>
      </c>
      <c r="Q1048" t="s">
        <v>468</v>
      </c>
      <c r="R1048" t="s">
        <v>4</v>
      </c>
      <c r="S1048" t="s">
        <v>46</v>
      </c>
    </row>
    <row r="1049" spans="1:19" x14ac:dyDescent="0.3">
      <c r="A1049" s="2" t="s">
        <v>159</v>
      </c>
      <c r="B1049" s="4" t="s">
        <v>570</v>
      </c>
      <c r="C1049" s="3" t="s">
        <v>48</v>
      </c>
      <c r="D1049" t="s">
        <v>528</v>
      </c>
      <c r="G1049">
        <f>13*24+8</f>
        <v>320</v>
      </c>
      <c r="H1049" t="s">
        <v>514</v>
      </c>
      <c r="K1049">
        <v>414.76091476091301</v>
      </c>
      <c r="L1049" t="s">
        <v>550</v>
      </c>
      <c r="M1049" t="s">
        <v>535</v>
      </c>
      <c r="Q1049" t="s">
        <v>468</v>
      </c>
      <c r="R1049" t="s">
        <v>4</v>
      </c>
      <c r="S1049" t="s">
        <v>46</v>
      </c>
    </row>
    <row r="1050" spans="1:19" x14ac:dyDescent="0.3">
      <c r="A1050" s="2" t="s">
        <v>159</v>
      </c>
      <c r="B1050" s="4" t="s">
        <v>570</v>
      </c>
      <c r="C1050" s="3" t="s">
        <v>48</v>
      </c>
      <c r="D1050" t="s">
        <v>528</v>
      </c>
      <c r="G1050">
        <f>13*24+12</f>
        <v>324</v>
      </c>
      <c r="H1050" t="s">
        <v>514</v>
      </c>
      <c r="K1050">
        <v>247.40124740124699</v>
      </c>
      <c r="L1050" t="s">
        <v>550</v>
      </c>
      <c r="M1050" t="s">
        <v>535</v>
      </c>
      <c r="Q1050" t="s">
        <v>468</v>
      </c>
      <c r="R1050" t="s">
        <v>4</v>
      </c>
      <c r="S1050" t="s">
        <v>46</v>
      </c>
    </row>
    <row r="1051" spans="1:19" x14ac:dyDescent="0.3">
      <c r="A1051" s="2" t="s">
        <v>159</v>
      </c>
      <c r="B1051" s="4" t="s">
        <v>570</v>
      </c>
      <c r="C1051" s="3" t="s">
        <v>48</v>
      </c>
      <c r="D1051" t="s">
        <v>528</v>
      </c>
      <c r="G1051">
        <f>13*24+16</f>
        <v>328</v>
      </c>
      <c r="H1051" t="s">
        <v>514</v>
      </c>
      <c r="K1051">
        <v>152.80665280665099</v>
      </c>
      <c r="L1051" t="s">
        <v>550</v>
      </c>
      <c r="M1051" t="s">
        <v>535</v>
      </c>
      <c r="Q1051" t="s">
        <v>468</v>
      </c>
      <c r="R1051" t="s">
        <v>4</v>
      </c>
      <c r="S1051" t="s">
        <v>46</v>
      </c>
    </row>
    <row r="1052" spans="1:19" x14ac:dyDescent="0.3">
      <c r="A1052" s="2" t="s">
        <v>159</v>
      </c>
      <c r="B1052" s="4" t="s">
        <v>570</v>
      </c>
      <c r="C1052" s="3" t="s">
        <v>48</v>
      </c>
      <c r="D1052" t="s">
        <v>528</v>
      </c>
      <c r="G1052">
        <f>13*24+24</f>
        <v>336</v>
      </c>
      <c r="H1052" t="s">
        <v>514</v>
      </c>
      <c r="K1052">
        <v>145.53014553014401</v>
      </c>
      <c r="L1052" t="s">
        <v>550</v>
      </c>
      <c r="M1052" t="s">
        <v>535</v>
      </c>
      <c r="Q1052" t="s">
        <v>468</v>
      </c>
      <c r="R1052" t="s">
        <v>4</v>
      </c>
      <c r="S1052" t="s">
        <v>46</v>
      </c>
    </row>
    <row r="1053" spans="1:19" x14ac:dyDescent="0.3">
      <c r="A1053" s="2" t="s">
        <v>160</v>
      </c>
      <c r="B1053" s="4" t="s">
        <v>571</v>
      </c>
      <c r="C1053" s="3" t="s">
        <v>48</v>
      </c>
      <c r="D1053" t="s">
        <v>528</v>
      </c>
      <c r="G1053">
        <v>1</v>
      </c>
      <c r="H1053" t="s">
        <v>514</v>
      </c>
      <c r="K1053">
        <v>114.84974775169999</v>
      </c>
      <c r="L1053" t="s">
        <v>550</v>
      </c>
      <c r="M1053" t="s">
        <v>535</v>
      </c>
      <c r="Q1053" t="s">
        <v>468</v>
      </c>
      <c r="R1053" t="s">
        <v>4</v>
      </c>
      <c r="S1053" t="s">
        <v>46</v>
      </c>
    </row>
    <row r="1054" spans="1:19" x14ac:dyDescent="0.3">
      <c r="A1054" s="2" t="s">
        <v>160</v>
      </c>
      <c r="B1054" s="4" t="s">
        <v>571</v>
      </c>
      <c r="C1054" s="3" t="s">
        <v>48</v>
      </c>
      <c r="D1054" t="s">
        <v>528</v>
      </c>
      <c r="G1054">
        <v>1.5</v>
      </c>
      <c r="H1054" t="s">
        <v>514</v>
      </c>
      <c r="K1054">
        <v>287.75559942482499</v>
      </c>
      <c r="L1054" t="s">
        <v>550</v>
      </c>
      <c r="M1054" t="s">
        <v>535</v>
      </c>
      <c r="Q1054" t="s">
        <v>468</v>
      </c>
      <c r="R1054" t="s">
        <v>4</v>
      </c>
      <c r="S1054" t="s">
        <v>46</v>
      </c>
    </row>
    <row r="1055" spans="1:19" x14ac:dyDescent="0.3">
      <c r="A1055" s="2" t="s">
        <v>160</v>
      </c>
      <c r="B1055" s="4" t="s">
        <v>571</v>
      </c>
      <c r="C1055" s="3" t="s">
        <v>48</v>
      </c>
      <c r="D1055" t="s">
        <v>528</v>
      </c>
      <c r="G1055">
        <v>2</v>
      </c>
      <c r="H1055" t="s">
        <v>514</v>
      </c>
      <c r="K1055">
        <v>482.31093563403198</v>
      </c>
      <c r="L1055" t="s">
        <v>550</v>
      </c>
      <c r="M1055" t="s">
        <v>535</v>
      </c>
      <c r="Q1055" t="s">
        <v>468</v>
      </c>
      <c r="R1055" t="s">
        <v>4</v>
      </c>
      <c r="S1055" t="s">
        <v>46</v>
      </c>
    </row>
    <row r="1056" spans="1:19" x14ac:dyDescent="0.3">
      <c r="A1056" s="2" t="s">
        <v>160</v>
      </c>
      <c r="B1056" s="4" t="s">
        <v>571</v>
      </c>
      <c r="C1056" s="3" t="s">
        <v>48</v>
      </c>
      <c r="D1056" t="s">
        <v>528</v>
      </c>
      <c r="G1056">
        <v>2.5</v>
      </c>
      <c r="H1056" t="s">
        <v>514</v>
      </c>
      <c r="K1056">
        <v>633.55024249957296</v>
      </c>
      <c r="L1056" t="s">
        <v>550</v>
      </c>
      <c r="M1056" t="s">
        <v>535</v>
      </c>
      <c r="Q1056" t="s">
        <v>468</v>
      </c>
      <c r="R1056" t="s">
        <v>4</v>
      </c>
      <c r="S1056" t="s">
        <v>46</v>
      </c>
    </row>
    <row r="1057" spans="1:19" x14ac:dyDescent="0.3">
      <c r="A1057" s="2" t="s">
        <v>160</v>
      </c>
      <c r="B1057" s="4" t="s">
        <v>571</v>
      </c>
      <c r="C1057" s="3" t="s">
        <v>48</v>
      </c>
      <c r="D1057" t="s">
        <v>528</v>
      </c>
      <c r="G1057">
        <v>3</v>
      </c>
      <c r="H1057" t="s">
        <v>514</v>
      </c>
      <c r="K1057">
        <v>633.24315761253604</v>
      </c>
      <c r="L1057" t="s">
        <v>550</v>
      </c>
      <c r="M1057" t="s">
        <v>535</v>
      </c>
      <c r="Q1057" t="s">
        <v>468</v>
      </c>
      <c r="R1057" t="s">
        <v>4</v>
      </c>
      <c r="S1057" t="s">
        <v>46</v>
      </c>
    </row>
    <row r="1058" spans="1:19" x14ac:dyDescent="0.3">
      <c r="A1058" s="2" t="s">
        <v>160</v>
      </c>
      <c r="B1058" s="4" t="s">
        <v>571</v>
      </c>
      <c r="C1058" s="3" t="s">
        <v>48</v>
      </c>
      <c r="D1058" t="s">
        <v>528</v>
      </c>
      <c r="G1058">
        <v>3.5</v>
      </c>
      <c r="H1058" t="s">
        <v>514</v>
      </c>
      <c r="K1058">
        <v>589.65416392483701</v>
      </c>
      <c r="L1058" t="s">
        <v>550</v>
      </c>
      <c r="M1058" t="s">
        <v>535</v>
      </c>
      <c r="Q1058" t="s">
        <v>468</v>
      </c>
      <c r="R1058" t="s">
        <v>4</v>
      </c>
      <c r="S1058" t="s">
        <v>46</v>
      </c>
    </row>
    <row r="1059" spans="1:19" x14ac:dyDescent="0.3">
      <c r="A1059" s="2" t="s">
        <v>160</v>
      </c>
      <c r="B1059" s="4" t="s">
        <v>571</v>
      </c>
      <c r="C1059" s="3" t="s">
        <v>48</v>
      </c>
      <c r="D1059" t="s">
        <v>528</v>
      </c>
      <c r="G1059">
        <v>4</v>
      </c>
      <c r="H1059" t="s">
        <v>514</v>
      </c>
      <c r="K1059">
        <v>582.13058419243998</v>
      </c>
      <c r="L1059" t="s">
        <v>550</v>
      </c>
      <c r="M1059" t="s">
        <v>535</v>
      </c>
      <c r="Q1059" t="s">
        <v>468</v>
      </c>
      <c r="R1059" t="s">
        <v>4</v>
      </c>
      <c r="S1059" t="s">
        <v>46</v>
      </c>
    </row>
    <row r="1060" spans="1:19" x14ac:dyDescent="0.3">
      <c r="A1060" s="2" t="s">
        <v>160</v>
      </c>
      <c r="B1060" s="4" t="s">
        <v>571</v>
      </c>
      <c r="C1060" s="3" t="s">
        <v>48</v>
      </c>
      <c r="D1060" t="s">
        <v>528</v>
      </c>
      <c r="G1060">
        <v>5</v>
      </c>
      <c r="H1060" t="s">
        <v>514</v>
      </c>
      <c r="K1060">
        <v>603.18295922594996</v>
      </c>
      <c r="L1060" t="s">
        <v>550</v>
      </c>
      <c r="M1060" t="s">
        <v>535</v>
      </c>
      <c r="Q1060" t="s">
        <v>468</v>
      </c>
      <c r="R1060" t="s">
        <v>4</v>
      </c>
      <c r="S1060" t="s">
        <v>46</v>
      </c>
    </row>
    <row r="1061" spans="1:19" x14ac:dyDescent="0.3">
      <c r="A1061" s="2" t="s">
        <v>160</v>
      </c>
      <c r="B1061" s="4" t="s">
        <v>571</v>
      </c>
      <c r="C1061" s="3" t="s">
        <v>48</v>
      </c>
      <c r="D1061" t="s">
        <v>528</v>
      </c>
      <c r="G1061">
        <v>6</v>
      </c>
      <c r="H1061" t="s">
        <v>514</v>
      </c>
      <c r="K1061">
        <v>487.12193219760599</v>
      </c>
      <c r="L1061" t="s">
        <v>550</v>
      </c>
      <c r="M1061" t="s">
        <v>535</v>
      </c>
      <c r="Q1061" t="s">
        <v>468</v>
      </c>
      <c r="R1061" t="s">
        <v>4</v>
      </c>
      <c r="S1061" t="s">
        <v>46</v>
      </c>
    </row>
    <row r="1062" spans="1:19" x14ac:dyDescent="0.3">
      <c r="A1062" s="2" t="s">
        <v>160</v>
      </c>
      <c r="B1062" s="4" t="s">
        <v>571</v>
      </c>
      <c r="C1062" s="3" t="s">
        <v>48</v>
      </c>
      <c r="D1062" t="s">
        <v>528</v>
      </c>
      <c r="G1062">
        <v>8</v>
      </c>
      <c r="H1062" t="s">
        <v>514</v>
      </c>
      <c r="K1062">
        <v>312.71477663230098</v>
      </c>
      <c r="L1062" t="s">
        <v>550</v>
      </c>
      <c r="M1062" t="s">
        <v>535</v>
      </c>
      <c r="Q1062" t="s">
        <v>468</v>
      </c>
      <c r="R1062" t="s">
        <v>4</v>
      </c>
      <c r="S1062" t="s">
        <v>46</v>
      </c>
    </row>
    <row r="1063" spans="1:19" x14ac:dyDescent="0.3">
      <c r="A1063" s="2" t="s">
        <v>160</v>
      </c>
      <c r="B1063" s="4" t="s">
        <v>571</v>
      </c>
      <c r="C1063" s="3" t="s">
        <v>48</v>
      </c>
      <c r="D1063" t="s">
        <v>528</v>
      </c>
      <c r="G1063">
        <v>12</v>
      </c>
      <c r="H1063" t="s">
        <v>514</v>
      </c>
      <c r="K1063">
        <v>158.76288659793801</v>
      </c>
      <c r="L1063" t="s">
        <v>550</v>
      </c>
      <c r="M1063" t="s">
        <v>535</v>
      </c>
      <c r="Q1063" t="s">
        <v>468</v>
      </c>
      <c r="R1063" t="s">
        <v>4</v>
      </c>
      <c r="S1063" t="s">
        <v>46</v>
      </c>
    </row>
    <row r="1064" spans="1:19" x14ac:dyDescent="0.3">
      <c r="A1064" s="2" t="s">
        <v>160</v>
      </c>
      <c r="B1064" s="4" t="s">
        <v>571</v>
      </c>
      <c r="C1064" s="3" t="s">
        <v>48</v>
      </c>
      <c r="D1064" t="s">
        <v>528</v>
      </c>
      <c r="G1064">
        <v>16</v>
      </c>
      <c r="H1064" t="s">
        <v>514</v>
      </c>
      <c r="K1064">
        <v>120.27491408934701</v>
      </c>
      <c r="L1064" t="s">
        <v>550</v>
      </c>
      <c r="M1064" t="s">
        <v>535</v>
      </c>
      <c r="Q1064" t="s">
        <v>468</v>
      </c>
      <c r="R1064" t="s">
        <v>4</v>
      </c>
      <c r="S1064" t="s">
        <v>46</v>
      </c>
    </row>
    <row r="1065" spans="1:19" x14ac:dyDescent="0.3">
      <c r="A1065" s="2" t="s">
        <v>160</v>
      </c>
      <c r="B1065" s="4" t="s">
        <v>571</v>
      </c>
      <c r="C1065" s="3" t="s">
        <v>48</v>
      </c>
      <c r="D1065" t="s">
        <v>528</v>
      </c>
      <c r="G1065">
        <v>24</v>
      </c>
      <c r="H1065" t="s">
        <v>514</v>
      </c>
      <c r="K1065">
        <v>64.965513879749693</v>
      </c>
      <c r="L1065" t="s">
        <v>550</v>
      </c>
      <c r="M1065" t="s">
        <v>535</v>
      </c>
      <c r="Q1065" t="s">
        <v>468</v>
      </c>
      <c r="R1065" t="s">
        <v>4</v>
      </c>
      <c r="S1065" t="s">
        <v>46</v>
      </c>
    </row>
    <row r="1066" spans="1:19" x14ac:dyDescent="0.3">
      <c r="A1066" s="2" t="s">
        <v>160</v>
      </c>
      <c r="B1066" s="4" t="s">
        <v>571</v>
      </c>
      <c r="C1066" s="3" t="s">
        <v>48</v>
      </c>
      <c r="D1066" t="s">
        <v>528</v>
      </c>
      <c r="G1066">
        <f>3*24</f>
        <v>72</v>
      </c>
      <c r="H1066" t="s">
        <v>514</v>
      </c>
      <c r="K1066">
        <v>104.294478527607</v>
      </c>
      <c r="L1066" t="s">
        <v>550</v>
      </c>
      <c r="M1066" t="s">
        <v>535</v>
      </c>
      <c r="Q1066" t="s">
        <v>468</v>
      </c>
      <c r="R1066" t="s">
        <v>4</v>
      </c>
      <c r="S1066" t="s">
        <v>46</v>
      </c>
    </row>
    <row r="1067" spans="1:19" x14ac:dyDescent="0.3">
      <c r="A1067" s="2" t="s">
        <v>160</v>
      </c>
      <c r="B1067" s="4" t="s">
        <v>571</v>
      </c>
      <c r="C1067" s="3" t="s">
        <v>48</v>
      </c>
      <c r="D1067" t="s">
        <v>528</v>
      </c>
      <c r="G1067">
        <f>6*24</f>
        <v>144</v>
      </c>
      <c r="H1067" t="s">
        <v>514</v>
      </c>
      <c r="K1067">
        <v>147.23926380368101</v>
      </c>
      <c r="L1067" t="s">
        <v>550</v>
      </c>
      <c r="M1067" t="s">
        <v>535</v>
      </c>
      <c r="Q1067" t="s">
        <v>468</v>
      </c>
      <c r="R1067" t="s">
        <v>4</v>
      </c>
      <c r="S1067" t="s">
        <v>46</v>
      </c>
    </row>
    <row r="1068" spans="1:19" x14ac:dyDescent="0.3">
      <c r="A1068" s="2" t="s">
        <v>160</v>
      </c>
      <c r="B1068" s="4" t="s">
        <v>571</v>
      </c>
      <c r="C1068" s="3" t="s">
        <v>48</v>
      </c>
      <c r="D1068" t="s">
        <v>528</v>
      </c>
      <c r="G1068">
        <f>9*24</f>
        <v>216</v>
      </c>
      <c r="H1068" t="s">
        <v>514</v>
      </c>
      <c r="K1068">
        <v>153.37423312883399</v>
      </c>
      <c r="L1068" t="s">
        <v>550</v>
      </c>
      <c r="M1068" t="s">
        <v>535</v>
      </c>
      <c r="Q1068" t="s">
        <v>468</v>
      </c>
      <c r="R1068" t="s">
        <v>4</v>
      </c>
      <c r="S1068" t="s">
        <v>46</v>
      </c>
    </row>
    <row r="1069" spans="1:19" x14ac:dyDescent="0.3">
      <c r="A1069" s="2" t="s">
        <v>160</v>
      </c>
      <c r="B1069" s="4" t="s">
        <v>571</v>
      </c>
      <c r="C1069" s="3" t="s">
        <v>48</v>
      </c>
      <c r="D1069" t="s">
        <v>528</v>
      </c>
      <c r="G1069">
        <f>11*24</f>
        <v>264</v>
      </c>
      <c r="H1069" t="s">
        <v>514</v>
      </c>
      <c r="K1069">
        <v>214.723926380368</v>
      </c>
      <c r="L1069" t="s">
        <v>550</v>
      </c>
      <c r="M1069" t="s">
        <v>535</v>
      </c>
      <c r="Q1069" t="s">
        <v>468</v>
      </c>
      <c r="R1069" t="s">
        <v>4</v>
      </c>
      <c r="S1069" t="s">
        <v>46</v>
      </c>
    </row>
    <row r="1070" spans="1:19" x14ac:dyDescent="0.3">
      <c r="A1070" s="2" t="s">
        <v>160</v>
      </c>
      <c r="B1070" s="4" t="s">
        <v>571</v>
      </c>
      <c r="C1070" s="3" t="s">
        <v>48</v>
      </c>
      <c r="D1070" t="s">
        <v>528</v>
      </c>
      <c r="G1070">
        <f>12*24</f>
        <v>288</v>
      </c>
      <c r="H1070" t="s">
        <v>514</v>
      </c>
      <c r="K1070">
        <v>184.049079754601</v>
      </c>
      <c r="L1070" t="s">
        <v>550</v>
      </c>
      <c r="M1070" t="s">
        <v>535</v>
      </c>
      <c r="Q1070" t="s">
        <v>468</v>
      </c>
      <c r="R1070" t="s">
        <v>4</v>
      </c>
      <c r="S1070" t="s">
        <v>46</v>
      </c>
    </row>
    <row r="1071" spans="1:19" x14ac:dyDescent="0.3">
      <c r="A1071" s="2" t="s">
        <v>160</v>
      </c>
      <c r="B1071" s="4" t="s">
        <v>571</v>
      </c>
      <c r="C1071" s="3" t="s">
        <v>48</v>
      </c>
      <c r="D1071" t="s">
        <v>528</v>
      </c>
      <c r="G1071">
        <f>13*24</f>
        <v>312</v>
      </c>
      <c r="H1071" t="s">
        <v>514</v>
      </c>
      <c r="K1071">
        <v>222.903885480572</v>
      </c>
      <c r="L1071" t="s">
        <v>550</v>
      </c>
      <c r="M1071" t="s">
        <v>535</v>
      </c>
      <c r="Q1071" t="s">
        <v>468</v>
      </c>
      <c r="R1071" t="s">
        <v>4</v>
      </c>
      <c r="S1071" t="s">
        <v>46</v>
      </c>
    </row>
    <row r="1072" spans="1:19" x14ac:dyDescent="0.3">
      <c r="A1072" s="2" t="s">
        <v>160</v>
      </c>
      <c r="B1072" s="4" t="s">
        <v>571</v>
      </c>
      <c r="C1072" s="3" t="s">
        <v>48</v>
      </c>
      <c r="D1072" t="s">
        <v>528</v>
      </c>
      <c r="G1072">
        <f>13*24+0.5</f>
        <v>312.5</v>
      </c>
      <c r="H1072" t="s">
        <v>514</v>
      </c>
      <c r="K1072">
        <v>174.63617463617399</v>
      </c>
      <c r="L1072" t="s">
        <v>550</v>
      </c>
      <c r="M1072" t="s">
        <v>535</v>
      </c>
      <c r="Q1072" t="s">
        <v>468</v>
      </c>
      <c r="R1072" t="s">
        <v>4</v>
      </c>
      <c r="S1072" t="s">
        <v>46</v>
      </c>
    </row>
    <row r="1073" spans="1:19" x14ac:dyDescent="0.3">
      <c r="A1073" s="2" t="s">
        <v>160</v>
      </c>
      <c r="B1073" s="4" t="s">
        <v>571</v>
      </c>
      <c r="C1073" s="3" t="s">
        <v>48</v>
      </c>
      <c r="D1073" t="s">
        <v>528</v>
      </c>
      <c r="G1073">
        <f>13*24+1</f>
        <v>313</v>
      </c>
      <c r="H1073" t="s">
        <v>514</v>
      </c>
      <c r="K1073">
        <v>247.40124740124699</v>
      </c>
      <c r="L1073" t="s">
        <v>550</v>
      </c>
      <c r="M1073" t="s">
        <v>535</v>
      </c>
      <c r="Q1073" t="s">
        <v>468</v>
      </c>
      <c r="R1073" t="s">
        <v>4</v>
      </c>
      <c r="S1073" t="s">
        <v>46</v>
      </c>
    </row>
    <row r="1074" spans="1:19" x14ac:dyDescent="0.3">
      <c r="A1074" s="2" t="s">
        <v>160</v>
      </c>
      <c r="B1074" s="4" t="s">
        <v>571</v>
      </c>
      <c r="C1074" s="3" t="s">
        <v>48</v>
      </c>
      <c r="D1074" t="s">
        <v>528</v>
      </c>
      <c r="G1074">
        <f>13*24+1.5</f>
        <v>313.5</v>
      </c>
      <c r="H1074" t="s">
        <v>514</v>
      </c>
      <c r="K1074">
        <v>363.82536382536398</v>
      </c>
      <c r="L1074" t="s">
        <v>550</v>
      </c>
      <c r="M1074" t="s">
        <v>535</v>
      </c>
      <c r="Q1074" t="s">
        <v>468</v>
      </c>
      <c r="R1074" t="s">
        <v>4</v>
      </c>
      <c r="S1074" t="s">
        <v>46</v>
      </c>
    </row>
    <row r="1075" spans="1:19" x14ac:dyDescent="0.3">
      <c r="A1075" s="2" t="s">
        <v>160</v>
      </c>
      <c r="B1075" s="4" t="s">
        <v>571</v>
      </c>
      <c r="C1075" s="3" t="s">
        <v>48</v>
      </c>
      <c r="D1075" t="s">
        <v>528</v>
      </c>
      <c r="G1075">
        <f>13*24+2</f>
        <v>314</v>
      </c>
      <c r="H1075" t="s">
        <v>514</v>
      </c>
      <c r="K1075">
        <v>582.12058212058105</v>
      </c>
      <c r="L1075" t="s">
        <v>550</v>
      </c>
      <c r="M1075" t="s">
        <v>535</v>
      </c>
      <c r="Q1075" t="s">
        <v>468</v>
      </c>
      <c r="R1075" t="s">
        <v>4</v>
      </c>
      <c r="S1075" t="s">
        <v>46</v>
      </c>
    </row>
    <row r="1076" spans="1:19" x14ac:dyDescent="0.3">
      <c r="A1076" s="2" t="s">
        <v>160</v>
      </c>
      <c r="B1076" s="4" t="s">
        <v>571</v>
      </c>
      <c r="C1076" s="3" t="s">
        <v>48</v>
      </c>
      <c r="D1076" t="s">
        <v>528</v>
      </c>
      <c r="G1076">
        <f>13*24+2.5</f>
        <v>314.5</v>
      </c>
      <c r="H1076" t="s">
        <v>514</v>
      </c>
      <c r="K1076">
        <v>764.03326403326298</v>
      </c>
      <c r="L1076" t="s">
        <v>550</v>
      </c>
      <c r="M1076" t="s">
        <v>535</v>
      </c>
      <c r="Q1076" t="s">
        <v>468</v>
      </c>
      <c r="R1076" t="s">
        <v>4</v>
      </c>
      <c r="S1076" t="s">
        <v>46</v>
      </c>
    </row>
    <row r="1077" spans="1:19" x14ac:dyDescent="0.3">
      <c r="A1077" s="2" t="s">
        <v>160</v>
      </c>
      <c r="B1077" s="4" t="s">
        <v>571</v>
      </c>
      <c r="C1077" s="3" t="s">
        <v>48</v>
      </c>
      <c r="D1077" t="s">
        <v>528</v>
      </c>
      <c r="G1077">
        <f>13*24+3</f>
        <v>315</v>
      </c>
      <c r="H1077" t="s">
        <v>514</v>
      </c>
      <c r="K1077">
        <v>836.79833679833598</v>
      </c>
      <c r="L1077" t="s">
        <v>550</v>
      </c>
      <c r="M1077" t="s">
        <v>535</v>
      </c>
      <c r="Q1077" t="s">
        <v>468</v>
      </c>
      <c r="R1077" t="s">
        <v>4</v>
      </c>
      <c r="S1077" t="s">
        <v>46</v>
      </c>
    </row>
    <row r="1078" spans="1:19" x14ac:dyDescent="0.3">
      <c r="A1078" s="2" t="s">
        <v>160</v>
      </c>
      <c r="B1078" s="4" t="s">
        <v>571</v>
      </c>
      <c r="C1078" s="3" t="s">
        <v>48</v>
      </c>
      <c r="D1078" t="s">
        <v>528</v>
      </c>
      <c r="G1078">
        <f>13*24+3.5</f>
        <v>315.5</v>
      </c>
      <c r="H1078" t="s">
        <v>514</v>
      </c>
      <c r="K1078">
        <v>887.73388773388797</v>
      </c>
      <c r="L1078" t="s">
        <v>550</v>
      </c>
      <c r="M1078" t="s">
        <v>535</v>
      </c>
      <c r="Q1078" t="s">
        <v>468</v>
      </c>
      <c r="R1078" t="s">
        <v>4</v>
      </c>
      <c r="S1078" t="s">
        <v>46</v>
      </c>
    </row>
    <row r="1079" spans="1:19" x14ac:dyDescent="0.3">
      <c r="A1079" s="2" t="s">
        <v>160</v>
      </c>
      <c r="B1079" s="4" t="s">
        <v>571</v>
      </c>
      <c r="C1079" s="3" t="s">
        <v>48</v>
      </c>
      <c r="D1079" t="s">
        <v>528</v>
      </c>
      <c r="G1079">
        <f>13*24+4</f>
        <v>316</v>
      </c>
      <c r="H1079" t="s">
        <v>514</v>
      </c>
      <c r="K1079">
        <v>931.39293139293204</v>
      </c>
      <c r="L1079" t="s">
        <v>550</v>
      </c>
      <c r="M1079" t="s">
        <v>535</v>
      </c>
      <c r="Q1079" t="s">
        <v>468</v>
      </c>
      <c r="R1079" t="s">
        <v>4</v>
      </c>
      <c r="S1079" t="s">
        <v>46</v>
      </c>
    </row>
    <row r="1080" spans="1:19" x14ac:dyDescent="0.3">
      <c r="A1080" s="2" t="s">
        <v>160</v>
      </c>
      <c r="B1080" s="4" t="s">
        <v>571</v>
      </c>
      <c r="C1080" s="3" t="s">
        <v>48</v>
      </c>
      <c r="D1080" t="s">
        <v>528</v>
      </c>
      <c r="G1080">
        <f>13*24+5</f>
        <v>317</v>
      </c>
      <c r="H1080" t="s">
        <v>514</v>
      </c>
      <c r="K1080">
        <v>1004.158004158</v>
      </c>
      <c r="L1080" t="s">
        <v>550</v>
      </c>
      <c r="M1080" t="s">
        <v>535</v>
      </c>
      <c r="Q1080" t="s">
        <v>468</v>
      </c>
      <c r="R1080" t="s">
        <v>4</v>
      </c>
      <c r="S1080" t="s">
        <v>46</v>
      </c>
    </row>
    <row r="1081" spans="1:19" x14ac:dyDescent="0.3">
      <c r="A1081" s="2" t="s">
        <v>160</v>
      </c>
      <c r="B1081" s="4" t="s">
        <v>571</v>
      </c>
      <c r="C1081" s="3" t="s">
        <v>48</v>
      </c>
      <c r="D1081" t="s">
        <v>528</v>
      </c>
      <c r="G1081">
        <f>13*24+6</f>
        <v>318</v>
      </c>
      <c r="H1081" t="s">
        <v>514</v>
      </c>
      <c r="K1081">
        <v>734.92723492723496</v>
      </c>
      <c r="L1081" t="s">
        <v>550</v>
      </c>
      <c r="M1081" t="s">
        <v>535</v>
      </c>
      <c r="Q1081" t="s">
        <v>468</v>
      </c>
      <c r="R1081" t="s">
        <v>4</v>
      </c>
      <c r="S1081" t="s">
        <v>46</v>
      </c>
    </row>
    <row r="1082" spans="1:19" x14ac:dyDescent="0.3">
      <c r="A1082" s="2" t="s">
        <v>160</v>
      </c>
      <c r="B1082" s="4" t="s">
        <v>571</v>
      </c>
      <c r="C1082" s="3" t="s">
        <v>48</v>
      </c>
      <c r="D1082" t="s">
        <v>528</v>
      </c>
      <c r="G1082">
        <f>13*24+8</f>
        <v>320</v>
      </c>
      <c r="H1082" t="s">
        <v>514</v>
      </c>
      <c r="K1082">
        <v>451.14345114345099</v>
      </c>
      <c r="L1082" t="s">
        <v>550</v>
      </c>
      <c r="M1082" t="s">
        <v>535</v>
      </c>
      <c r="Q1082" t="s">
        <v>468</v>
      </c>
      <c r="R1082" t="s">
        <v>4</v>
      </c>
      <c r="S1082" t="s">
        <v>46</v>
      </c>
    </row>
    <row r="1083" spans="1:19" x14ac:dyDescent="0.3">
      <c r="A1083" s="2" t="s">
        <v>160</v>
      </c>
      <c r="B1083" s="4" t="s">
        <v>571</v>
      </c>
      <c r="C1083" s="3" t="s">
        <v>48</v>
      </c>
      <c r="D1083" t="s">
        <v>528</v>
      </c>
      <c r="G1083">
        <f>13*24+12</f>
        <v>324</v>
      </c>
      <c r="H1083" t="s">
        <v>514</v>
      </c>
      <c r="K1083">
        <v>276.50727650727498</v>
      </c>
      <c r="L1083" t="s">
        <v>550</v>
      </c>
      <c r="M1083" t="s">
        <v>535</v>
      </c>
      <c r="Q1083" t="s">
        <v>468</v>
      </c>
      <c r="R1083" t="s">
        <v>4</v>
      </c>
      <c r="S1083" t="s">
        <v>46</v>
      </c>
    </row>
    <row r="1084" spans="1:19" x14ac:dyDescent="0.3">
      <c r="A1084" s="2" t="s">
        <v>160</v>
      </c>
      <c r="B1084" s="4" t="s">
        <v>571</v>
      </c>
      <c r="C1084" s="3" t="s">
        <v>48</v>
      </c>
      <c r="D1084" t="s">
        <v>528</v>
      </c>
      <c r="G1084">
        <f>13*24+16</f>
        <v>328</v>
      </c>
      <c r="H1084" t="s">
        <v>514</v>
      </c>
      <c r="K1084">
        <v>211.01871101871001</v>
      </c>
      <c r="L1084" t="s">
        <v>550</v>
      </c>
      <c r="M1084" t="s">
        <v>535</v>
      </c>
      <c r="Q1084" t="s">
        <v>468</v>
      </c>
      <c r="R1084" t="s">
        <v>4</v>
      </c>
      <c r="S1084" t="s">
        <v>46</v>
      </c>
    </row>
    <row r="1085" spans="1:19" x14ac:dyDescent="0.3">
      <c r="A1085" s="2" t="s">
        <v>160</v>
      </c>
      <c r="B1085" s="4" t="s">
        <v>571</v>
      </c>
      <c r="C1085" s="3" t="s">
        <v>48</v>
      </c>
      <c r="D1085" t="s">
        <v>528</v>
      </c>
      <c r="G1085">
        <f>13*24+24</f>
        <v>336</v>
      </c>
      <c r="H1085" t="s">
        <v>514</v>
      </c>
      <c r="K1085">
        <v>196.465696465695</v>
      </c>
      <c r="L1085" t="s">
        <v>550</v>
      </c>
      <c r="M1085" t="s">
        <v>535</v>
      </c>
      <c r="Q1085" t="s">
        <v>468</v>
      </c>
      <c r="R1085" t="s">
        <v>4</v>
      </c>
      <c r="S1085" t="s">
        <v>46</v>
      </c>
    </row>
    <row r="1086" spans="1:19" x14ac:dyDescent="0.3">
      <c r="A1086" s="2" t="s">
        <v>161</v>
      </c>
      <c r="B1086" s="4" t="s">
        <v>572</v>
      </c>
      <c r="C1086" s="3" t="s">
        <v>48</v>
      </c>
      <c r="D1086" t="s">
        <v>528</v>
      </c>
      <c r="G1086">
        <v>2</v>
      </c>
      <c r="H1086" t="s">
        <v>514</v>
      </c>
      <c r="K1086">
        <v>518.39340986083698</v>
      </c>
      <c r="L1086" t="s">
        <v>550</v>
      </c>
      <c r="M1086" t="s">
        <v>535</v>
      </c>
      <c r="Q1086" t="s">
        <v>468</v>
      </c>
      <c r="R1086" t="s">
        <v>4</v>
      </c>
      <c r="S1086" t="s">
        <v>46</v>
      </c>
    </row>
    <row r="1087" spans="1:19" x14ac:dyDescent="0.3">
      <c r="A1087" s="2" t="s">
        <v>161</v>
      </c>
      <c r="B1087" s="4" t="s">
        <v>572</v>
      </c>
      <c r="C1087" s="3" t="s">
        <v>48</v>
      </c>
      <c r="D1087" t="s">
        <v>528</v>
      </c>
      <c r="G1087">
        <v>2.5</v>
      </c>
      <c r="H1087" t="s">
        <v>514</v>
      </c>
      <c r="K1087">
        <v>655.199727035656</v>
      </c>
      <c r="L1087" t="s">
        <v>550</v>
      </c>
      <c r="M1087" t="s">
        <v>535</v>
      </c>
      <c r="Q1087" t="s">
        <v>468</v>
      </c>
      <c r="R1087" t="s">
        <v>4</v>
      </c>
      <c r="S1087" t="s">
        <v>46</v>
      </c>
    </row>
    <row r="1088" spans="1:19" x14ac:dyDescent="0.3">
      <c r="A1088" s="2" t="s">
        <v>161</v>
      </c>
      <c r="B1088" s="4" t="s">
        <v>572</v>
      </c>
      <c r="C1088" s="3" t="s">
        <v>48</v>
      </c>
      <c r="D1088" t="s">
        <v>528</v>
      </c>
      <c r="G1088">
        <v>3</v>
      </c>
      <c r="H1088" t="s">
        <v>514</v>
      </c>
      <c r="K1088">
        <v>690.97511637542402</v>
      </c>
      <c r="L1088" t="s">
        <v>550</v>
      </c>
      <c r="M1088" t="s">
        <v>535</v>
      </c>
      <c r="Q1088" t="s">
        <v>468</v>
      </c>
      <c r="R1088" t="s">
        <v>4</v>
      </c>
      <c r="S1088" t="s">
        <v>46</v>
      </c>
    </row>
    <row r="1089" spans="1:19" x14ac:dyDescent="0.3">
      <c r="A1089" s="2" t="s">
        <v>161</v>
      </c>
      <c r="B1089" s="4" t="s">
        <v>572</v>
      </c>
      <c r="C1089" s="3" t="s">
        <v>48</v>
      </c>
      <c r="D1089" t="s">
        <v>528</v>
      </c>
      <c r="G1089">
        <v>3.5</v>
      </c>
      <c r="H1089" t="s">
        <v>514</v>
      </c>
      <c r="K1089">
        <v>705.10102117910901</v>
      </c>
      <c r="L1089" t="s">
        <v>550</v>
      </c>
      <c r="M1089" t="s">
        <v>535</v>
      </c>
      <c r="Q1089" t="s">
        <v>468</v>
      </c>
      <c r="R1089" t="s">
        <v>4</v>
      </c>
      <c r="S1089" t="s">
        <v>46</v>
      </c>
    </row>
    <row r="1090" spans="1:19" x14ac:dyDescent="0.3">
      <c r="A1090" s="2" t="s">
        <v>161</v>
      </c>
      <c r="B1090" s="4" t="s">
        <v>572</v>
      </c>
      <c r="C1090" s="3" t="s">
        <v>48</v>
      </c>
      <c r="D1090" t="s">
        <v>528</v>
      </c>
      <c r="G1090">
        <v>4</v>
      </c>
      <c r="H1090" t="s">
        <v>514</v>
      </c>
      <c r="K1090">
        <v>726.46048109965602</v>
      </c>
      <c r="L1090" t="s">
        <v>550</v>
      </c>
      <c r="M1090" t="s">
        <v>535</v>
      </c>
      <c r="Q1090" t="s">
        <v>468</v>
      </c>
      <c r="R1090" t="s">
        <v>4</v>
      </c>
      <c r="S1090" t="s">
        <v>46</v>
      </c>
    </row>
    <row r="1091" spans="1:19" x14ac:dyDescent="0.3">
      <c r="A1091" s="2" t="s">
        <v>161</v>
      </c>
      <c r="B1091" s="4" t="s">
        <v>572</v>
      </c>
      <c r="C1091" s="3" t="s">
        <v>48</v>
      </c>
      <c r="D1091" t="s">
        <v>528</v>
      </c>
      <c r="G1091">
        <v>5</v>
      </c>
      <c r="H1091" t="s">
        <v>514</v>
      </c>
      <c r="K1091">
        <v>733.079866442445</v>
      </c>
      <c r="L1091" t="s">
        <v>550</v>
      </c>
      <c r="M1091" t="s">
        <v>535</v>
      </c>
      <c r="Q1091" t="s">
        <v>468</v>
      </c>
      <c r="R1091" t="s">
        <v>4</v>
      </c>
      <c r="S1091" t="s">
        <v>46</v>
      </c>
    </row>
    <row r="1092" spans="1:19" x14ac:dyDescent="0.3">
      <c r="A1092" s="2" t="s">
        <v>161</v>
      </c>
      <c r="B1092" s="4" t="s">
        <v>572</v>
      </c>
      <c r="C1092" s="3" t="s">
        <v>48</v>
      </c>
      <c r="D1092" t="s">
        <v>528</v>
      </c>
      <c r="G1092">
        <v>6</v>
      </c>
      <c r="H1092" t="s">
        <v>514</v>
      </c>
      <c r="K1092">
        <v>580.91930491579501</v>
      </c>
      <c r="L1092" t="s">
        <v>550</v>
      </c>
      <c r="M1092" t="s">
        <v>535</v>
      </c>
      <c r="Q1092" t="s">
        <v>468</v>
      </c>
      <c r="R1092" t="s">
        <v>4</v>
      </c>
      <c r="S1092" t="s">
        <v>46</v>
      </c>
    </row>
    <row r="1093" spans="1:19" x14ac:dyDescent="0.3">
      <c r="A1093" s="2" t="s">
        <v>161</v>
      </c>
      <c r="B1093" s="4" t="s">
        <v>572</v>
      </c>
      <c r="C1093" s="3" t="s">
        <v>48</v>
      </c>
      <c r="D1093" t="s">
        <v>528</v>
      </c>
      <c r="G1093">
        <v>8</v>
      </c>
      <c r="H1093" t="s">
        <v>514</v>
      </c>
      <c r="K1093">
        <v>341.58075601374497</v>
      </c>
      <c r="L1093" t="s">
        <v>550</v>
      </c>
      <c r="M1093" t="s">
        <v>535</v>
      </c>
      <c r="Q1093" t="s">
        <v>468</v>
      </c>
      <c r="R1093" t="s">
        <v>4</v>
      </c>
      <c r="S1093" t="s">
        <v>46</v>
      </c>
    </row>
    <row r="1094" spans="1:19" x14ac:dyDescent="0.3">
      <c r="A1094" s="2" t="s">
        <v>161</v>
      </c>
      <c r="B1094" s="4" t="s">
        <v>572</v>
      </c>
      <c r="C1094" s="3" t="s">
        <v>48</v>
      </c>
      <c r="D1094" t="s">
        <v>528</v>
      </c>
      <c r="G1094">
        <v>12</v>
      </c>
      <c r="H1094" t="s">
        <v>514</v>
      </c>
      <c r="K1094">
        <v>165.97938144329899</v>
      </c>
      <c r="L1094" t="s">
        <v>550</v>
      </c>
      <c r="M1094" t="s">
        <v>535</v>
      </c>
      <c r="Q1094" t="s">
        <v>468</v>
      </c>
      <c r="R1094" t="s">
        <v>4</v>
      </c>
      <c r="S1094" t="s">
        <v>46</v>
      </c>
    </row>
    <row r="1095" spans="1:19" x14ac:dyDescent="0.3">
      <c r="A1095" s="2" t="s">
        <v>161</v>
      </c>
      <c r="B1095" s="4" t="s">
        <v>572</v>
      </c>
      <c r="C1095" s="3" t="s">
        <v>48</v>
      </c>
      <c r="D1095" t="s">
        <v>528</v>
      </c>
      <c r="G1095">
        <v>16</v>
      </c>
      <c r="H1095" t="s">
        <v>514</v>
      </c>
      <c r="K1095">
        <v>105.841924398625</v>
      </c>
      <c r="L1095" t="s">
        <v>550</v>
      </c>
      <c r="M1095" t="s">
        <v>535</v>
      </c>
      <c r="Q1095" t="s">
        <v>468</v>
      </c>
      <c r="R1095" t="s">
        <v>4</v>
      </c>
      <c r="S1095" t="s">
        <v>46</v>
      </c>
    </row>
    <row r="1096" spans="1:19" x14ac:dyDescent="0.3">
      <c r="A1096" s="2" t="s">
        <v>161</v>
      </c>
      <c r="B1096" s="4" t="s">
        <v>572</v>
      </c>
      <c r="C1096" s="3" t="s">
        <v>48</v>
      </c>
      <c r="D1096" t="s">
        <v>528</v>
      </c>
      <c r="G1096">
        <v>24</v>
      </c>
      <c r="H1096" t="s">
        <v>514</v>
      </c>
      <c r="K1096">
        <v>57.749019034388702</v>
      </c>
      <c r="L1096" t="s">
        <v>550</v>
      </c>
      <c r="M1096" t="s">
        <v>535</v>
      </c>
      <c r="Q1096" t="s">
        <v>468</v>
      </c>
      <c r="R1096" t="s">
        <v>4</v>
      </c>
      <c r="S1096" t="s">
        <v>46</v>
      </c>
    </row>
    <row r="1097" spans="1:19" x14ac:dyDescent="0.3">
      <c r="A1097" s="2" t="s">
        <v>161</v>
      </c>
      <c r="B1097" s="4" t="s">
        <v>572</v>
      </c>
      <c r="C1097" s="3" t="s">
        <v>48</v>
      </c>
      <c r="D1097" t="s">
        <v>528</v>
      </c>
      <c r="G1097">
        <f>3*24</f>
        <v>72</v>
      </c>
      <c r="H1097" t="s">
        <v>514</v>
      </c>
      <c r="K1097">
        <v>130.87934560327199</v>
      </c>
      <c r="L1097" t="s">
        <v>550</v>
      </c>
      <c r="M1097" t="s">
        <v>535</v>
      </c>
      <c r="Q1097" t="s">
        <v>468</v>
      </c>
      <c r="R1097" t="s">
        <v>4</v>
      </c>
      <c r="S1097" t="s">
        <v>46</v>
      </c>
    </row>
    <row r="1098" spans="1:19" x14ac:dyDescent="0.3">
      <c r="A1098" s="2" t="s">
        <v>161</v>
      </c>
      <c r="B1098" s="4" t="s">
        <v>572</v>
      </c>
      <c r="C1098" s="3" t="s">
        <v>48</v>
      </c>
      <c r="D1098" t="s">
        <v>528</v>
      </c>
      <c r="G1098">
        <f>6*24</f>
        <v>144</v>
      </c>
      <c r="H1098" t="s">
        <v>514</v>
      </c>
      <c r="K1098">
        <v>179.95910020449901</v>
      </c>
      <c r="L1098" t="s">
        <v>550</v>
      </c>
      <c r="M1098" t="s">
        <v>535</v>
      </c>
      <c r="Q1098" t="s">
        <v>468</v>
      </c>
      <c r="R1098" t="s">
        <v>4</v>
      </c>
      <c r="S1098" t="s">
        <v>46</v>
      </c>
    </row>
    <row r="1099" spans="1:19" x14ac:dyDescent="0.3">
      <c r="A1099" s="2" t="s">
        <v>161</v>
      </c>
      <c r="B1099" s="4" t="s">
        <v>572</v>
      </c>
      <c r="C1099" s="3" t="s">
        <v>48</v>
      </c>
      <c r="D1099" t="s">
        <v>528</v>
      </c>
      <c r="G1099">
        <f>9*24</f>
        <v>216</v>
      </c>
      <c r="H1099" t="s">
        <v>514</v>
      </c>
      <c r="K1099">
        <v>255.62372188139</v>
      </c>
      <c r="L1099" t="s">
        <v>550</v>
      </c>
      <c r="M1099" t="s">
        <v>535</v>
      </c>
      <c r="Q1099" t="s">
        <v>468</v>
      </c>
      <c r="R1099" t="s">
        <v>4</v>
      </c>
      <c r="S1099" t="s">
        <v>46</v>
      </c>
    </row>
    <row r="1100" spans="1:19" x14ac:dyDescent="0.3">
      <c r="A1100" s="2" t="s">
        <v>161</v>
      </c>
      <c r="B1100" s="4" t="s">
        <v>572</v>
      </c>
      <c r="C1100" s="3" t="s">
        <v>48</v>
      </c>
      <c r="D1100" t="s">
        <v>528</v>
      </c>
      <c r="G1100">
        <f>11*24</f>
        <v>264</v>
      </c>
      <c r="H1100" t="s">
        <v>514</v>
      </c>
      <c r="K1100">
        <v>306.74846625766799</v>
      </c>
      <c r="L1100" t="s">
        <v>550</v>
      </c>
      <c r="M1100" t="s">
        <v>535</v>
      </c>
      <c r="Q1100" t="s">
        <v>468</v>
      </c>
      <c r="R1100" t="s">
        <v>4</v>
      </c>
      <c r="S1100" t="s">
        <v>46</v>
      </c>
    </row>
    <row r="1101" spans="1:19" x14ac:dyDescent="0.3">
      <c r="A1101" s="2" t="s">
        <v>161</v>
      </c>
      <c r="B1101" s="4" t="s">
        <v>572</v>
      </c>
      <c r="C1101" s="3" t="s">
        <v>48</v>
      </c>
      <c r="D1101" t="s">
        <v>528</v>
      </c>
      <c r="G1101">
        <f>12*24</f>
        <v>288</v>
      </c>
      <c r="H1101" t="s">
        <v>514</v>
      </c>
      <c r="K1101">
        <v>306.74846625766799</v>
      </c>
      <c r="L1101" t="s">
        <v>550</v>
      </c>
      <c r="M1101" t="s">
        <v>535</v>
      </c>
      <c r="Q1101" t="s">
        <v>468</v>
      </c>
      <c r="R1101" t="s">
        <v>4</v>
      </c>
      <c r="S1101" t="s">
        <v>46</v>
      </c>
    </row>
    <row r="1102" spans="1:19" x14ac:dyDescent="0.3">
      <c r="A1102" s="2" t="s">
        <v>161</v>
      </c>
      <c r="B1102" s="4" t="s">
        <v>572</v>
      </c>
      <c r="C1102" s="3" t="s">
        <v>48</v>
      </c>
      <c r="D1102" t="s">
        <v>528</v>
      </c>
      <c r="G1102">
        <f>13*24</f>
        <v>312</v>
      </c>
      <c r="H1102" t="s">
        <v>514</v>
      </c>
      <c r="K1102">
        <v>314.92842535787298</v>
      </c>
      <c r="L1102" t="s">
        <v>550</v>
      </c>
      <c r="M1102" t="s">
        <v>535</v>
      </c>
      <c r="Q1102" t="s">
        <v>468</v>
      </c>
      <c r="R1102" t="s">
        <v>4</v>
      </c>
      <c r="S1102" t="s">
        <v>46</v>
      </c>
    </row>
    <row r="1103" spans="1:19" x14ac:dyDescent="0.3">
      <c r="A1103" s="2" t="s">
        <v>161</v>
      </c>
      <c r="B1103" s="4" t="s">
        <v>572</v>
      </c>
      <c r="C1103" s="3" t="s">
        <v>48</v>
      </c>
      <c r="D1103" t="s">
        <v>528</v>
      </c>
      <c r="G1103">
        <f>13*24+0.5</f>
        <v>312.5</v>
      </c>
      <c r="H1103" t="s">
        <v>514</v>
      </c>
      <c r="K1103">
        <v>276.507276507276</v>
      </c>
      <c r="L1103" t="s">
        <v>550</v>
      </c>
      <c r="M1103" t="s">
        <v>535</v>
      </c>
      <c r="Q1103" t="s">
        <v>468</v>
      </c>
      <c r="R1103" t="s">
        <v>4</v>
      </c>
      <c r="S1103" t="s">
        <v>46</v>
      </c>
    </row>
    <row r="1104" spans="1:19" x14ac:dyDescent="0.3">
      <c r="A1104" s="2" t="s">
        <v>161</v>
      </c>
      <c r="B1104" s="4" t="s">
        <v>572</v>
      </c>
      <c r="C1104" s="3" t="s">
        <v>48</v>
      </c>
      <c r="D1104" t="s">
        <v>528</v>
      </c>
      <c r="G1104">
        <f>13*24+1</f>
        <v>313</v>
      </c>
      <c r="H1104" t="s">
        <v>514</v>
      </c>
      <c r="K1104">
        <v>356.54885654885697</v>
      </c>
      <c r="L1104" t="s">
        <v>550</v>
      </c>
      <c r="M1104" t="s">
        <v>535</v>
      </c>
      <c r="Q1104" t="s">
        <v>468</v>
      </c>
      <c r="R1104" t="s">
        <v>4</v>
      </c>
      <c r="S1104" t="s">
        <v>46</v>
      </c>
    </row>
    <row r="1105" spans="1:19" x14ac:dyDescent="0.3">
      <c r="A1105" s="2" t="s">
        <v>161</v>
      </c>
      <c r="B1105" s="4" t="s">
        <v>572</v>
      </c>
      <c r="C1105" s="3" t="s">
        <v>48</v>
      </c>
      <c r="D1105" t="s">
        <v>528</v>
      </c>
      <c r="G1105">
        <f>13*24+1.5</f>
        <v>313.5</v>
      </c>
      <c r="H1105" t="s">
        <v>514</v>
      </c>
      <c r="K1105">
        <v>538.46153846153902</v>
      </c>
      <c r="L1105" t="s">
        <v>550</v>
      </c>
      <c r="M1105" t="s">
        <v>535</v>
      </c>
      <c r="Q1105" t="s">
        <v>468</v>
      </c>
      <c r="R1105" t="s">
        <v>4</v>
      </c>
      <c r="S1105" t="s">
        <v>46</v>
      </c>
    </row>
    <row r="1106" spans="1:19" x14ac:dyDescent="0.3">
      <c r="A1106" s="2" t="s">
        <v>161</v>
      </c>
      <c r="B1106" s="4" t="s">
        <v>572</v>
      </c>
      <c r="C1106" s="3" t="s">
        <v>48</v>
      </c>
      <c r="D1106" t="s">
        <v>528</v>
      </c>
      <c r="G1106">
        <f>13*24+2</f>
        <v>314</v>
      </c>
      <c r="H1106" t="s">
        <v>514</v>
      </c>
      <c r="K1106">
        <v>764.033264033264</v>
      </c>
      <c r="L1106" t="s">
        <v>550</v>
      </c>
      <c r="M1106" t="s">
        <v>535</v>
      </c>
      <c r="Q1106" t="s">
        <v>468</v>
      </c>
      <c r="R1106" t="s">
        <v>4</v>
      </c>
      <c r="S1106" t="s">
        <v>46</v>
      </c>
    </row>
    <row r="1107" spans="1:19" x14ac:dyDescent="0.3">
      <c r="A1107" s="2" t="s">
        <v>161</v>
      </c>
      <c r="B1107" s="4" t="s">
        <v>572</v>
      </c>
      <c r="C1107" s="3" t="s">
        <v>48</v>
      </c>
      <c r="D1107" t="s">
        <v>528</v>
      </c>
      <c r="G1107">
        <f>13*24+2.5</f>
        <v>314.5</v>
      </c>
      <c r="H1107" t="s">
        <v>514</v>
      </c>
      <c r="K1107">
        <v>1004.158004158</v>
      </c>
      <c r="L1107" t="s">
        <v>550</v>
      </c>
      <c r="M1107" t="s">
        <v>535</v>
      </c>
      <c r="Q1107" t="s">
        <v>468</v>
      </c>
      <c r="R1107" t="s">
        <v>4</v>
      </c>
      <c r="S1107" t="s">
        <v>46</v>
      </c>
    </row>
    <row r="1108" spans="1:19" x14ac:dyDescent="0.3">
      <c r="A1108" s="2" t="s">
        <v>161</v>
      </c>
      <c r="B1108" s="4" t="s">
        <v>572</v>
      </c>
      <c r="C1108" s="3" t="s">
        <v>48</v>
      </c>
      <c r="D1108" t="s">
        <v>528</v>
      </c>
      <c r="G1108">
        <f>13*24+3</f>
        <v>315</v>
      </c>
      <c r="H1108" t="s">
        <v>514</v>
      </c>
      <c r="K1108">
        <v>1229.72972972972</v>
      </c>
      <c r="L1108" t="s">
        <v>550</v>
      </c>
      <c r="M1108" t="s">
        <v>535</v>
      </c>
      <c r="Q1108" t="s">
        <v>468</v>
      </c>
      <c r="R1108" t="s">
        <v>4</v>
      </c>
      <c r="S1108" t="s">
        <v>46</v>
      </c>
    </row>
    <row r="1109" spans="1:19" x14ac:dyDescent="0.3">
      <c r="A1109" s="2" t="s">
        <v>161</v>
      </c>
      <c r="B1109" s="4" t="s">
        <v>572</v>
      </c>
      <c r="C1109" s="3" t="s">
        <v>48</v>
      </c>
      <c r="D1109" t="s">
        <v>528</v>
      </c>
      <c r="G1109">
        <f>13*24+3.5</f>
        <v>315.5</v>
      </c>
      <c r="H1109" t="s">
        <v>514</v>
      </c>
      <c r="K1109">
        <v>1389.81288981288</v>
      </c>
      <c r="L1109" t="s">
        <v>550</v>
      </c>
      <c r="M1109" t="s">
        <v>535</v>
      </c>
      <c r="Q1109" t="s">
        <v>468</v>
      </c>
      <c r="R1109" t="s">
        <v>4</v>
      </c>
      <c r="S1109" t="s">
        <v>46</v>
      </c>
    </row>
    <row r="1110" spans="1:19" x14ac:dyDescent="0.3">
      <c r="A1110" s="2" t="s">
        <v>161</v>
      </c>
      <c r="B1110" s="4" t="s">
        <v>572</v>
      </c>
      <c r="C1110" s="3" t="s">
        <v>48</v>
      </c>
      <c r="D1110" t="s">
        <v>528</v>
      </c>
      <c r="G1110">
        <f>13*24+4</f>
        <v>316</v>
      </c>
      <c r="H1110" t="s">
        <v>514</v>
      </c>
      <c r="K1110">
        <v>1477.13097713097</v>
      </c>
      <c r="L1110" t="s">
        <v>550</v>
      </c>
      <c r="M1110" t="s">
        <v>535</v>
      </c>
      <c r="Q1110" t="s">
        <v>468</v>
      </c>
      <c r="R1110" t="s">
        <v>4</v>
      </c>
      <c r="S1110" t="s">
        <v>46</v>
      </c>
    </row>
    <row r="1111" spans="1:19" x14ac:dyDescent="0.3">
      <c r="A1111" s="2" t="s">
        <v>161</v>
      </c>
      <c r="B1111" s="4" t="s">
        <v>572</v>
      </c>
      <c r="C1111" s="3" t="s">
        <v>48</v>
      </c>
      <c r="D1111" t="s">
        <v>528</v>
      </c>
      <c r="G1111">
        <f>13*24+5</f>
        <v>317</v>
      </c>
      <c r="H1111" t="s">
        <v>514</v>
      </c>
      <c r="K1111">
        <v>1659.04365904365</v>
      </c>
      <c r="L1111" t="s">
        <v>550</v>
      </c>
      <c r="M1111" t="s">
        <v>535</v>
      </c>
      <c r="Q1111" t="s">
        <v>468</v>
      </c>
      <c r="R1111" t="s">
        <v>4</v>
      </c>
      <c r="S1111" t="s">
        <v>46</v>
      </c>
    </row>
    <row r="1112" spans="1:19" x14ac:dyDescent="0.3">
      <c r="A1112" s="2" t="s">
        <v>161</v>
      </c>
      <c r="B1112" s="4" t="s">
        <v>572</v>
      </c>
      <c r="C1112" s="3" t="s">
        <v>48</v>
      </c>
      <c r="D1112" t="s">
        <v>528</v>
      </c>
      <c r="G1112">
        <f>13*24+6</f>
        <v>318</v>
      </c>
      <c r="H1112" t="s">
        <v>514</v>
      </c>
      <c r="K1112">
        <v>1520.79002079002</v>
      </c>
      <c r="L1112" t="s">
        <v>550</v>
      </c>
      <c r="M1112" t="s">
        <v>535</v>
      </c>
      <c r="Q1112" t="s">
        <v>468</v>
      </c>
      <c r="R1112" t="s">
        <v>4</v>
      </c>
      <c r="S1112" t="s">
        <v>46</v>
      </c>
    </row>
    <row r="1113" spans="1:19" x14ac:dyDescent="0.3">
      <c r="A1113" s="2" t="s">
        <v>161</v>
      </c>
      <c r="B1113" s="4" t="s">
        <v>572</v>
      </c>
      <c r="C1113" s="3" t="s">
        <v>48</v>
      </c>
      <c r="D1113" t="s">
        <v>528</v>
      </c>
      <c r="G1113">
        <f>13*24+8</f>
        <v>320</v>
      </c>
      <c r="H1113" t="s">
        <v>514</v>
      </c>
      <c r="K1113">
        <v>945.94594594594503</v>
      </c>
      <c r="L1113" t="s">
        <v>550</v>
      </c>
      <c r="M1113" t="s">
        <v>535</v>
      </c>
      <c r="Q1113" t="s">
        <v>468</v>
      </c>
      <c r="R1113" t="s">
        <v>4</v>
      </c>
      <c r="S1113" t="s">
        <v>46</v>
      </c>
    </row>
    <row r="1114" spans="1:19" x14ac:dyDescent="0.3">
      <c r="A1114" s="2" t="s">
        <v>161</v>
      </c>
      <c r="B1114" s="4" t="s">
        <v>572</v>
      </c>
      <c r="C1114" s="3" t="s">
        <v>48</v>
      </c>
      <c r="D1114" t="s">
        <v>528</v>
      </c>
      <c r="G1114">
        <f>13*24+12</f>
        <v>324</v>
      </c>
      <c r="H1114" t="s">
        <v>514</v>
      </c>
      <c r="K1114">
        <v>603.95010395010399</v>
      </c>
      <c r="L1114" t="s">
        <v>550</v>
      </c>
      <c r="M1114" t="s">
        <v>535</v>
      </c>
      <c r="Q1114" t="s">
        <v>468</v>
      </c>
      <c r="R1114" t="s">
        <v>4</v>
      </c>
      <c r="S1114" t="s">
        <v>46</v>
      </c>
    </row>
    <row r="1115" spans="1:19" x14ac:dyDescent="0.3">
      <c r="A1115" s="2" t="s">
        <v>161</v>
      </c>
      <c r="B1115" s="4" t="s">
        <v>572</v>
      </c>
      <c r="C1115" s="3" t="s">
        <v>48</v>
      </c>
      <c r="D1115" t="s">
        <v>528</v>
      </c>
      <c r="G1115">
        <f>13*24+16</f>
        <v>328</v>
      </c>
      <c r="H1115" t="s">
        <v>514</v>
      </c>
      <c r="K1115">
        <v>400.20790020790002</v>
      </c>
      <c r="L1115" t="s">
        <v>550</v>
      </c>
      <c r="M1115" t="s">
        <v>535</v>
      </c>
      <c r="Q1115" t="s">
        <v>468</v>
      </c>
      <c r="R1115" t="s">
        <v>4</v>
      </c>
      <c r="S1115" t="s">
        <v>46</v>
      </c>
    </row>
    <row r="1116" spans="1:19" x14ac:dyDescent="0.3">
      <c r="A1116" s="2" t="s">
        <v>161</v>
      </c>
      <c r="B1116" s="4" t="s">
        <v>572</v>
      </c>
      <c r="C1116" s="3" t="s">
        <v>48</v>
      </c>
      <c r="D1116" t="s">
        <v>528</v>
      </c>
      <c r="G1116">
        <f>13*24+24</f>
        <v>336</v>
      </c>
      <c r="H1116" t="s">
        <v>514</v>
      </c>
      <c r="K1116">
        <v>356.54885654885499</v>
      </c>
      <c r="L1116" t="s">
        <v>550</v>
      </c>
      <c r="M1116" t="s">
        <v>535</v>
      </c>
      <c r="Q1116" t="s">
        <v>468</v>
      </c>
      <c r="R1116" t="s">
        <v>4</v>
      </c>
      <c r="S1116" t="s">
        <v>46</v>
      </c>
    </row>
    <row r="1117" spans="1:19" x14ac:dyDescent="0.3">
      <c r="A1117" s="2" t="s">
        <v>162</v>
      </c>
      <c r="B1117" s="4" t="s">
        <v>573</v>
      </c>
      <c r="C1117" s="3" t="s">
        <v>48</v>
      </c>
      <c r="D1117" t="s">
        <v>528</v>
      </c>
      <c r="G1117">
        <v>1</v>
      </c>
      <c r="H1117" t="s">
        <v>514</v>
      </c>
      <c r="K1117">
        <v>150.94928225000601</v>
      </c>
      <c r="L1117" t="s">
        <v>550</v>
      </c>
      <c r="M1117" t="s">
        <v>535</v>
      </c>
      <c r="Q1117" t="s">
        <v>468</v>
      </c>
      <c r="R1117" t="s">
        <v>4</v>
      </c>
      <c r="S1117" t="s">
        <v>46</v>
      </c>
    </row>
    <row r="1118" spans="1:19" x14ac:dyDescent="0.3">
      <c r="A1118" s="2" t="s">
        <v>162</v>
      </c>
      <c r="B1118" s="4" t="s">
        <v>573</v>
      </c>
      <c r="C1118" s="3" t="s">
        <v>48</v>
      </c>
      <c r="D1118" t="s">
        <v>528</v>
      </c>
      <c r="G1118">
        <v>1.5</v>
      </c>
      <c r="H1118" t="s">
        <v>514</v>
      </c>
      <c r="K1118">
        <v>316.62157880626802</v>
      </c>
      <c r="L1118" t="s">
        <v>550</v>
      </c>
      <c r="M1118" t="s">
        <v>535</v>
      </c>
      <c r="Q1118" t="s">
        <v>468</v>
      </c>
      <c r="R1118" t="s">
        <v>4</v>
      </c>
      <c r="S1118" t="s">
        <v>46</v>
      </c>
    </row>
    <row r="1119" spans="1:19" x14ac:dyDescent="0.3">
      <c r="A1119" s="2" t="s">
        <v>162</v>
      </c>
      <c r="B1119" s="4" t="s">
        <v>573</v>
      </c>
      <c r="C1119" s="3" t="s">
        <v>48</v>
      </c>
      <c r="D1119" t="s">
        <v>528</v>
      </c>
      <c r="G1119">
        <v>2.5</v>
      </c>
      <c r="H1119" t="s">
        <v>514</v>
      </c>
      <c r="K1119">
        <v>727.36467548926396</v>
      </c>
      <c r="L1119" t="s">
        <v>550</v>
      </c>
      <c r="M1119" t="s">
        <v>535</v>
      </c>
      <c r="Q1119" t="s">
        <v>468</v>
      </c>
      <c r="R1119" t="s">
        <v>4</v>
      </c>
      <c r="S1119" t="s">
        <v>46</v>
      </c>
    </row>
    <row r="1120" spans="1:19" x14ac:dyDescent="0.3">
      <c r="A1120" s="2" t="s">
        <v>162</v>
      </c>
      <c r="B1120" s="4" t="s">
        <v>573</v>
      </c>
      <c r="C1120" s="3" t="s">
        <v>48</v>
      </c>
      <c r="D1120" t="s">
        <v>528</v>
      </c>
      <c r="G1120">
        <v>3</v>
      </c>
      <c r="H1120" t="s">
        <v>514</v>
      </c>
      <c r="K1120">
        <v>979.63491018985701</v>
      </c>
      <c r="L1120" t="s">
        <v>550</v>
      </c>
      <c r="M1120" t="s">
        <v>535</v>
      </c>
      <c r="Q1120" t="s">
        <v>468</v>
      </c>
      <c r="R1120" t="s">
        <v>4</v>
      </c>
      <c r="S1120" t="s">
        <v>46</v>
      </c>
    </row>
    <row r="1121" spans="1:19" x14ac:dyDescent="0.3">
      <c r="A1121" s="2" t="s">
        <v>162</v>
      </c>
      <c r="B1121" s="4" t="s">
        <v>573</v>
      </c>
      <c r="C1121" s="3" t="s">
        <v>48</v>
      </c>
      <c r="D1121" t="s">
        <v>528</v>
      </c>
      <c r="G1121">
        <v>3.5</v>
      </c>
      <c r="H1121" t="s">
        <v>514</v>
      </c>
      <c r="K1121">
        <v>1138.10777217226</v>
      </c>
      <c r="L1121" t="s">
        <v>550</v>
      </c>
      <c r="M1121" t="s">
        <v>535</v>
      </c>
      <c r="Q1121" t="s">
        <v>468</v>
      </c>
      <c r="R1121" t="s">
        <v>4</v>
      </c>
      <c r="S1121" t="s">
        <v>46</v>
      </c>
    </row>
    <row r="1122" spans="1:19" x14ac:dyDescent="0.3">
      <c r="A1122" s="2" t="s">
        <v>162</v>
      </c>
      <c r="B1122" s="4" t="s">
        <v>573</v>
      </c>
      <c r="C1122" s="3" t="s">
        <v>48</v>
      </c>
      <c r="D1122" t="s">
        <v>528</v>
      </c>
      <c r="G1122">
        <v>4</v>
      </c>
      <c r="H1122" t="s">
        <v>514</v>
      </c>
      <c r="K1122">
        <v>1217.18213058419</v>
      </c>
      <c r="L1122" t="s">
        <v>550</v>
      </c>
      <c r="M1122" t="s">
        <v>535</v>
      </c>
      <c r="Q1122" t="s">
        <v>468</v>
      </c>
      <c r="R1122" t="s">
        <v>4</v>
      </c>
      <c r="S1122" t="s">
        <v>46</v>
      </c>
    </row>
    <row r="1123" spans="1:19" x14ac:dyDescent="0.3">
      <c r="A1123" s="2" t="s">
        <v>162</v>
      </c>
      <c r="B1123" s="4" t="s">
        <v>573</v>
      </c>
      <c r="C1123" s="3" t="s">
        <v>48</v>
      </c>
      <c r="D1123" t="s">
        <v>528</v>
      </c>
      <c r="G1123">
        <v>5</v>
      </c>
      <c r="H1123" t="s">
        <v>514</v>
      </c>
      <c r="K1123">
        <v>1281.53347468986</v>
      </c>
      <c r="L1123" t="s">
        <v>550</v>
      </c>
      <c r="M1123" t="s">
        <v>535</v>
      </c>
      <c r="Q1123" t="s">
        <v>468</v>
      </c>
      <c r="R1123" t="s">
        <v>4</v>
      </c>
      <c r="S1123" t="s">
        <v>46</v>
      </c>
    </row>
    <row r="1124" spans="1:19" x14ac:dyDescent="0.3">
      <c r="A1124" s="2" t="s">
        <v>162</v>
      </c>
      <c r="B1124" s="4" t="s">
        <v>573</v>
      </c>
      <c r="C1124" s="3" t="s">
        <v>48</v>
      </c>
      <c r="D1124" t="s">
        <v>528</v>
      </c>
      <c r="G1124">
        <v>6</v>
      </c>
      <c r="H1124" t="s">
        <v>514</v>
      </c>
      <c r="K1124">
        <v>970.61002656528001</v>
      </c>
      <c r="L1124" t="s">
        <v>550</v>
      </c>
      <c r="M1124" t="s">
        <v>535</v>
      </c>
      <c r="Q1124" t="s">
        <v>468</v>
      </c>
      <c r="R1124" t="s">
        <v>4</v>
      </c>
      <c r="S1124" t="s">
        <v>46</v>
      </c>
    </row>
    <row r="1125" spans="1:19" x14ac:dyDescent="0.3">
      <c r="A1125" s="2" t="s">
        <v>162</v>
      </c>
      <c r="B1125" s="4" t="s">
        <v>573</v>
      </c>
      <c r="C1125" s="3" t="s">
        <v>48</v>
      </c>
      <c r="D1125" t="s">
        <v>528</v>
      </c>
      <c r="G1125">
        <v>8</v>
      </c>
      <c r="H1125" t="s">
        <v>514</v>
      </c>
      <c r="K1125">
        <v>558.07560137457006</v>
      </c>
      <c r="L1125" t="s">
        <v>550</v>
      </c>
      <c r="M1125" t="s">
        <v>535</v>
      </c>
      <c r="Q1125" t="s">
        <v>468</v>
      </c>
      <c r="R1125" t="s">
        <v>4</v>
      </c>
      <c r="S1125" t="s">
        <v>46</v>
      </c>
    </row>
    <row r="1126" spans="1:19" x14ac:dyDescent="0.3">
      <c r="A1126" s="2" t="s">
        <v>162</v>
      </c>
      <c r="B1126" s="4" t="s">
        <v>573</v>
      </c>
      <c r="C1126" s="3" t="s">
        <v>48</v>
      </c>
      <c r="D1126" t="s">
        <v>528</v>
      </c>
      <c r="G1126">
        <v>12</v>
      </c>
      <c r="H1126" t="s">
        <v>514</v>
      </c>
      <c r="K1126">
        <v>267.01030927835001</v>
      </c>
      <c r="L1126" t="s">
        <v>550</v>
      </c>
      <c r="M1126" t="s">
        <v>535</v>
      </c>
      <c r="Q1126" t="s">
        <v>468</v>
      </c>
      <c r="R1126" t="s">
        <v>4</v>
      </c>
      <c r="S1126" t="s">
        <v>46</v>
      </c>
    </row>
    <row r="1127" spans="1:19" x14ac:dyDescent="0.3">
      <c r="A1127" s="2" t="s">
        <v>162</v>
      </c>
      <c r="B1127" s="4" t="s">
        <v>573</v>
      </c>
      <c r="C1127" s="3" t="s">
        <v>48</v>
      </c>
      <c r="D1127" t="s">
        <v>528</v>
      </c>
      <c r="G1127">
        <v>16</v>
      </c>
      <c r="H1127" t="s">
        <v>514</v>
      </c>
      <c r="K1127">
        <v>206.87285223367601</v>
      </c>
      <c r="L1127" t="s">
        <v>550</v>
      </c>
      <c r="M1127" t="s">
        <v>535</v>
      </c>
      <c r="Q1127" t="s">
        <v>468</v>
      </c>
      <c r="R1127" t="s">
        <v>4</v>
      </c>
      <c r="S1127" t="s">
        <v>46</v>
      </c>
    </row>
    <row r="1128" spans="1:19" x14ac:dyDescent="0.3">
      <c r="A1128" s="2" t="s">
        <v>162</v>
      </c>
      <c r="B1128" s="4" t="s">
        <v>573</v>
      </c>
      <c r="C1128" s="3" t="s">
        <v>48</v>
      </c>
      <c r="D1128" t="s">
        <v>528</v>
      </c>
      <c r="G1128">
        <v>24</v>
      </c>
      <c r="H1128" t="s">
        <v>514</v>
      </c>
      <c r="K1128">
        <v>137.11340206185599</v>
      </c>
      <c r="L1128" t="s">
        <v>550</v>
      </c>
      <c r="M1128" t="s">
        <v>535</v>
      </c>
      <c r="Q1128" t="s">
        <v>468</v>
      </c>
      <c r="R1128" t="s">
        <v>4</v>
      </c>
      <c r="S1128" t="s">
        <v>46</v>
      </c>
    </row>
    <row r="1129" spans="1:19" x14ac:dyDescent="0.3">
      <c r="A1129" s="2" t="s">
        <v>162</v>
      </c>
      <c r="B1129" s="4" t="s">
        <v>573</v>
      </c>
      <c r="C1129" s="3" t="s">
        <v>48</v>
      </c>
      <c r="D1129" t="s">
        <v>528</v>
      </c>
      <c r="G1129">
        <f>3*24</f>
        <v>72</v>
      </c>
      <c r="H1129" t="s">
        <v>514</v>
      </c>
      <c r="K1129">
        <v>204.49897750511201</v>
      </c>
      <c r="L1129" t="s">
        <v>550</v>
      </c>
      <c r="M1129" t="s">
        <v>535</v>
      </c>
      <c r="Q1129" t="s">
        <v>468</v>
      </c>
      <c r="R1129" t="s">
        <v>4</v>
      </c>
      <c r="S1129" t="s">
        <v>46</v>
      </c>
    </row>
    <row r="1130" spans="1:19" x14ac:dyDescent="0.3">
      <c r="A1130" s="2" t="s">
        <v>162</v>
      </c>
      <c r="B1130" s="4" t="s">
        <v>573</v>
      </c>
      <c r="C1130" s="3" t="s">
        <v>48</v>
      </c>
      <c r="D1130" t="s">
        <v>528</v>
      </c>
      <c r="G1130">
        <f>6*24</f>
        <v>144</v>
      </c>
      <c r="H1130" t="s">
        <v>514</v>
      </c>
      <c r="K1130">
        <v>278.11860940695198</v>
      </c>
      <c r="L1130" t="s">
        <v>550</v>
      </c>
      <c r="M1130" t="s">
        <v>535</v>
      </c>
      <c r="Q1130" t="s">
        <v>468</v>
      </c>
      <c r="R1130" t="s">
        <v>4</v>
      </c>
      <c r="S1130" t="s">
        <v>46</v>
      </c>
    </row>
    <row r="1131" spans="1:19" x14ac:dyDescent="0.3">
      <c r="A1131" s="2" t="s">
        <v>162</v>
      </c>
      <c r="B1131" s="4" t="s">
        <v>573</v>
      </c>
      <c r="C1131" s="3" t="s">
        <v>48</v>
      </c>
      <c r="D1131" t="s">
        <v>528</v>
      </c>
      <c r="G1131">
        <f>9*24</f>
        <v>216</v>
      </c>
      <c r="H1131" t="s">
        <v>514</v>
      </c>
      <c r="K1131">
        <v>370.14314928425301</v>
      </c>
      <c r="L1131" t="s">
        <v>550</v>
      </c>
      <c r="M1131" t="s">
        <v>535</v>
      </c>
      <c r="Q1131" t="s">
        <v>468</v>
      </c>
      <c r="R1131" t="s">
        <v>4</v>
      </c>
      <c r="S1131" t="s">
        <v>46</v>
      </c>
    </row>
    <row r="1132" spans="1:19" x14ac:dyDescent="0.3">
      <c r="A1132" s="2" t="s">
        <v>162</v>
      </c>
      <c r="B1132" s="4" t="s">
        <v>573</v>
      </c>
      <c r="C1132" s="3" t="s">
        <v>48</v>
      </c>
      <c r="D1132" t="s">
        <v>528</v>
      </c>
      <c r="G1132">
        <f>11*24</f>
        <v>264</v>
      </c>
      <c r="H1132" t="s">
        <v>514</v>
      </c>
      <c r="K1132">
        <v>451.94274028629798</v>
      </c>
      <c r="L1132" t="s">
        <v>550</v>
      </c>
      <c r="M1132" t="s">
        <v>535</v>
      </c>
      <c r="Q1132" t="s">
        <v>468</v>
      </c>
      <c r="R1132" t="s">
        <v>4</v>
      </c>
      <c r="S1132" t="s">
        <v>46</v>
      </c>
    </row>
    <row r="1133" spans="1:19" x14ac:dyDescent="0.3">
      <c r="A1133" s="2" t="s">
        <v>162</v>
      </c>
      <c r="B1133" s="4" t="s">
        <v>573</v>
      </c>
      <c r="C1133" s="3" t="s">
        <v>48</v>
      </c>
      <c r="D1133" t="s">
        <v>528</v>
      </c>
      <c r="G1133">
        <f>12*24</f>
        <v>288</v>
      </c>
      <c r="H1133" t="s">
        <v>514</v>
      </c>
      <c r="K1133">
        <v>433.53783231083798</v>
      </c>
      <c r="L1133" t="s">
        <v>550</v>
      </c>
      <c r="M1133" t="s">
        <v>535</v>
      </c>
      <c r="Q1133" t="s">
        <v>468</v>
      </c>
      <c r="R1133" t="s">
        <v>4</v>
      </c>
      <c r="S1133" t="s">
        <v>46</v>
      </c>
    </row>
    <row r="1134" spans="1:19" x14ac:dyDescent="0.3">
      <c r="A1134" s="2" t="s">
        <v>162</v>
      </c>
      <c r="B1134" s="4" t="s">
        <v>573</v>
      </c>
      <c r="C1134" s="3" t="s">
        <v>48</v>
      </c>
      <c r="D1134" t="s">
        <v>528</v>
      </c>
      <c r="G1134">
        <f>13*24</f>
        <v>312</v>
      </c>
      <c r="H1134" t="s">
        <v>514</v>
      </c>
      <c r="K1134">
        <v>472.39263803681001</v>
      </c>
      <c r="L1134" t="s">
        <v>550</v>
      </c>
      <c r="M1134" t="s">
        <v>535</v>
      </c>
      <c r="Q1134" t="s">
        <v>468</v>
      </c>
      <c r="R1134" t="s">
        <v>4</v>
      </c>
      <c r="S1134" t="s">
        <v>46</v>
      </c>
    </row>
    <row r="1135" spans="1:19" x14ac:dyDescent="0.3">
      <c r="A1135" s="2" t="s">
        <v>162</v>
      </c>
      <c r="B1135" s="4" t="s">
        <v>573</v>
      </c>
      <c r="C1135" s="3" t="s">
        <v>48</v>
      </c>
      <c r="D1135" t="s">
        <v>528</v>
      </c>
      <c r="G1135">
        <f>13*24+0.5</f>
        <v>312.5</v>
      </c>
      <c r="H1135" t="s">
        <v>514</v>
      </c>
      <c r="K1135">
        <v>385.65488565488602</v>
      </c>
      <c r="L1135" t="s">
        <v>550</v>
      </c>
      <c r="M1135" t="s">
        <v>535</v>
      </c>
      <c r="Q1135" t="s">
        <v>468</v>
      </c>
      <c r="R1135" t="s">
        <v>4</v>
      </c>
      <c r="S1135" t="s">
        <v>46</v>
      </c>
    </row>
    <row r="1136" spans="1:19" x14ac:dyDescent="0.3">
      <c r="A1136" s="2" t="s">
        <v>162</v>
      </c>
      <c r="B1136" s="4" t="s">
        <v>573</v>
      </c>
      <c r="C1136" s="3" t="s">
        <v>48</v>
      </c>
      <c r="D1136" t="s">
        <v>528</v>
      </c>
      <c r="G1136">
        <f>13*24+1</f>
        <v>313</v>
      </c>
      <c r="H1136" t="s">
        <v>514</v>
      </c>
      <c r="K1136">
        <v>487.52598752598698</v>
      </c>
      <c r="L1136" t="s">
        <v>550</v>
      </c>
      <c r="M1136" t="s">
        <v>535</v>
      </c>
      <c r="Q1136" t="s">
        <v>468</v>
      </c>
      <c r="R1136" t="s">
        <v>4</v>
      </c>
      <c r="S1136" t="s">
        <v>46</v>
      </c>
    </row>
    <row r="1137" spans="1:19" x14ac:dyDescent="0.3">
      <c r="A1137" s="2" t="s">
        <v>162</v>
      </c>
      <c r="B1137" s="4" t="s">
        <v>573</v>
      </c>
      <c r="C1137" s="3" t="s">
        <v>48</v>
      </c>
      <c r="D1137" t="s">
        <v>528</v>
      </c>
      <c r="G1137">
        <f>13*24+1.5</f>
        <v>313.5</v>
      </c>
      <c r="H1137" t="s">
        <v>514</v>
      </c>
      <c r="K1137">
        <v>822.245322245323</v>
      </c>
      <c r="L1137" t="s">
        <v>550</v>
      </c>
      <c r="M1137" t="s">
        <v>535</v>
      </c>
      <c r="Q1137" t="s">
        <v>468</v>
      </c>
      <c r="R1137" t="s">
        <v>4</v>
      </c>
      <c r="S1137" t="s">
        <v>46</v>
      </c>
    </row>
    <row r="1138" spans="1:19" x14ac:dyDescent="0.3">
      <c r="A1138" s="2" t="s">
        <v>162</v>
      </c>
      <c r="B1138" s="4" t="s">
        <v>573</v>
      </c>
      <c r="C1138" s="3" t="s">
        <v>48</v>
      </c>
      <c r="D1138" t="s">
        <v>528</v>
      </c>
      <c r="G1138">
        <f>13*24+2</f>
        <v>314</v>
      </c>
      <c r="H1138" t="s">
        <v>514</v>
      </c>
      <c r="K1138">
        <v>1084.1995841995799</v>
      </c>
      <c r="L1138" t="s">
        <v>550</v>
      </c>
      <c r="M1138" t="s">
        <v>535</v>
      </c>
      <c r="Q1138" t="s">
        <v>468</v>
      </c>
      <c r="R1138" t="s">
        <v>4</v>
      </c>
      <c r="S1138" t="s">
        <v>46</v>
      </c>
    </row>
    <row r="1139" spans="1:19" x14ac:dyDescent="0.3">
      <c r="A1139" s="2" t="s">
        <v>162</v>
      </c>
      <c r="B1139" s="4" t="s">
        <v>573</v>
      </c>
      <c r="C1139" s="3" t="s">
        <v>48</v>
      </c>
      <c r="D1139" t="s">
        <v>528</v>
      </c>
      <c r="G1139">
        <f>13*24+2.5</f>
        <v>314.5</v>
      </c>
      <c r="H1139" t="s">
        <v>514</v>
      </c>
      <c r="K1139">
        <v>1448.0249480249399</v>
      </c>
      <c r="L1139" t="s">
        <v>550</v>
      </c>
      <c r="M1139" t="s">
        <v>535</v>
      </c>
      <c r="Q1139" t="s">
        <v>468</v>
      </c>
      <c r="R1139" t="s">
        <v>4</v>
      </c>
      <c r="S1139" t="s">
        <v>46</v>
      </c>
    </row>
    <row r="1140" spans="1:19" x14ac:dyDescent="0.3">
      <c r="A1140" s="2" t="s">
        <v>162</v>
      </c>
      <c r="B1140" s="4" t="s">
        <v>573</v>
      </c>
      <c r="C1140" s="3" t="s">
        <v>48</v>
      </c>
      <c r="D1140" t="s">
        <v>528</v>
      </c>
      <c r="G1140">
        <f>13*24+3</f>
        <v>315</v>
      </c>
      <c r="H1140" t="s">
        <v>514</v>
      </c>
      <c r="K1140">
        <v>1717.2557172557099</v>
      </c>
      <c r="L1140" t="s">
        <v>550</v>
      </c>
      <c r="M1140" t="s">
        <v>535</v>
      </c>
      <c r="Q1140" t="s">
        <v>468</v>
      </c>
      <c r="R1140" t="s">
        <v>4</v>
      </c>
      <c r="S1140" t="s">
        <v>46</v>
      </c>
    </row>
    <row r="1141" spans="1:19" x14ac:dyDescent="0.3">
      <c r="A1141" s="2" t="s">
        <v>162</v>
      </c>
      <c r="B1141" s="4" t="s">
        <v>573</v>
      </c>
      <c r="C1141" s="3" t="s">
        <v>48</v>
      </c>
      <c r="D1141" t="s">
        <v>528</v>
      </c>
      <c r="G1141">
        <f>13*24+3.5</f>
        <v>315.5</v>
      </c>
      <c r="H1141" t="s">
        <v>514</v>
      </c>
      <c r="K1141">
        <v>1935.55093555093</v>
      </c>
      <c r="L1141" t="s">
        <v>550</v>
      </c>
      <c r="M1141" t="s">
        <v>535</v>
      </c>
      <c r="Q1141" t="s">
        <v>468</v>
      </c>
      <c r="R1141" t="s">
        <v>4</v>
      </c>
      <c r="S1141" t="s">
        <v>46</v>
      </c>
    </row>
    <row r="1142" spans="1:19" x14ac:dyDescent="0.3">
      <c r="A1142" s="2" t="s">
        <v>162</v>
      </c>
      <c r="B1142" s="4" t="s">
        <v>573</v>
      </c>
      <c r="C1142" s="3" t="s">
        <v>48</v>
      </c>
      <c r="D1142" t="s">
        <v>528</v>
      </c>
      <c r="G1142">
        <f>13*24+4</f>
        <v>316</v>
      </c>
      <c r="H1142" t="s">
        <v>514</v>
      </c>
      <c r="K1142">
        <v>2124.7401247401199</v>
      </c>
      <c r="L1142" t="s">
        <v>550</v>
      </c>
      <c r="M1142" t="s">
        <v>535</v>
      </c>
      <c r="Q1142" t="s">
        <v>468</v>
      </c>
      <c r="R1142" t="s">
        <v>4</v>
      </c>
      <c r="S1142" t="s">
        <v>46</v>
      </c>
    </row>
    <row r="1143" spans="1:19" x14ac:dyDescent="0.3">
      <c r="A1143" s="2" t="s">
        <v>162</v>
      </c>
      <c r="B1143" s="4" t="s">
        <v>573</v>
      </c>
      <c r="C1143" s="3" t="s">
        <v>48</v>
      </c>
      <c r="D1143" t="s">
        <v>528</v>
      </c>
      <c r="G1143">
        <f>13*24+5</f>
        <v>317</v>
      </c>
      <c r="H1143" t="s">
        <v>514</v>
      </c>
      <c r="K1143">
        <v>2343.0353430353398</v>
      </c>
      <c r="L1143" t="s">
        <v>550</v>
      </c>
      <c r="M1143" t="s">
        <v>535</v>
      </c>
      <c r="Q1143" t="s">
        <v>468</v>
      </c>
      <c r="R1143" t="s">
        <v>4</v>
      </c>
      <c r="S1143" t="s">
        <v>46</v>
      </c>
    </row>
    <row r="1144" spans="1:19" x14ac:dyDescent="0.3">
      <c r="A1144" s="2" t="s">
        <v>162</v>
      </c>
      <c r="B1144" s="4" t="s">
        <v>573</v>
      </c>
      <c r="C1144" s="3" t="s">
        <v>48</v>
      </c>
      <c r="D1144" t="s">
        <v>528</v>
      </c>
      <c r="G1144">
        <f>13*24+6</f>
        <v>318</v>
      </c>
      <c r="H1144" t="s">
        <v>514</v>
      </c>
      <c r="K1144">
        <v>1790.0207900207899</v>
      </c>
      <c r="L1144" t="s">
        <v>550</v>
      </c>
      <c r="M1144" t="s">
        <v>535</v>
      </c>
      <c r="Q1144" t="s">
        <v>468</v>
      </c>
      <c r="R1144" t="s">
        <v>4</v>
      </c>
      <c r="S1144" t="s">
        <v>46</v>
      </c>
    </row>
    <row r="1145" spans="1:19" x14ac:dyDescent="0.3">
      <c r="A1145" s="2" t="s">
        <v>162</v>
      </c>
      <c r="B1145" s="4" t="s">
        <v>573</v>
      </c>
      <c r="C1145" s="3" t="s">
        <v>48</v>
      </c>
      <c r="D1145" t="s">
        <v>528</v>
      </c>
      <c r="G1145">
        <f>13*24+8</f>
        <v>320</v>
      </c>
      <c r="H1145" t="s">
        <v>514</v>
      </c>
      <c r="K1145">
        <v>1186.07068607068</v>
      </c>
      <c r="L1145" t="s">
        <v>550</v>
      </c>
      <c r="M1145" t="s">
        <v>535</v>
      </c>
      <c r="Q1145" t="s">
        <v>468</v>
      </c>
      <c r="R1145" t="s">
        <v>4</v>
      </c>
      <c r="S1145" t="s">
        <v>46</v>
      </c>
    </row>
    <row r="1146" spans="1:19" x14ac:dyDescent="0.3">
      <c r="A1146" s="2" t="s">
        <v>162</v>
      </c>
      <c r="B1146" s="4" t="s">
        <v>573</v>
      </c>
      <c r="C1146" s="3" t="s">
        <v>48</v>
      </c>
      <c r="D1146" t="s">
        <v>528</v>
      </c>
      <c r="G1146">
        <f>13*24+12</f>
        <v>324</v>
      </c>
      <c r="H1146" t="s">
        <v>514</v>
      </c>
      <c r="K1146">
        <v>705.82120582120501</v>
      </c>
      <c r="L1146" t="s">
        <v>550</v>
      </c>
      <c r="M1146" t="s">
        <v>535</v>
      </c>
      <c r="Q1146" t="s">
        <v>468</v>
      </c>
      <c r="R1146" t="s">
        <v>4</v>
      </c>
      <c r="S1146" t="s">
        <v>46</v>
      </c>
    </row>
    <row r="1147" spans="1:19" x14ac:dyDescent="0.3">
      <c r="A1147" s="2" t="s">
        <v>162</v>
      </c>
      <c r="B1147" s="4" t="s">
        <v>573</v>
      </c>
      <c r="C1147" s="3" t="s">
        <v>48</v>
      </c>
      <c r="D1147" t="s">
        <v>528</v>
      </c>
      <c r="G1147">
        <f>13*24+16</f>
        <v>328</v>
      </c>
      <c r="H1147" t="s">
        <v>514</v>
      </c>
      <c r="K1147">
        <v>567.56756756756704</v>
      </c>
      <c r="L1147" t="s">
        <v>550</v>
      </c>
      <c r="M1147" t="s">
        <v>535</v>
      </c>
      <c r="Q1147" t="s">
        <v>468</v>
      </c>
      <c r="R1147" t="s">
        <v>4</v>
      </c>
      <c r="S1147" t="s">
        <v>46</v>
      </c>
    </row>
    <row r="1148" spans="1:19" x14ac:dyDescent="0.3">
      <c r="A1148" s="2" t="s">
        <v>162</v>
      </c>
      <c r="B1148" s="4" t="s">
        <v>573</v>
      </c>
      <c r="C1148" s="3" t="s">
        <v>48</v>
      </c>
      <c r="D1148" t="s">
        <v>528</v>
      </c>
      <c r="G1148">
        <f>13*24+24</f>
        <v>336</v>
      </c>
      <c r="H1148" t="s">
        <v>514</v>
      </c>
      <c r="K1148">
        <v>531.18503118502895</v>
      </c>
      <c r="L1148" t="s">
        <v>550</v>
      </c>
      <c r="M1148" t="s">
        <v>535</v>
      </c>
      <c r="Q1148" t="s">
        <v>468</v>
      </c>
      <c r="R1148" t="s">
        <v>4</v>
      </c>
      <c r="S1148" t="s">
        <v>46</v>
      </c>
    </row>
    <row r="1149" spans="1:19" x14ac:dyDescent="0.3">
      <c r="A1149" s="2" t="s">
        <v>163</v>
      </c>
      <c r="B1149" s="4" t="s">
        <v>393</v>
      </c>
      <c r="C1149" s="3" t="s">
        <v>53</v>
      </c>
      <c r="D1149" t="s">
        <v>575</v>
      </c>
      <c r="F1149" s="24"/>
      <c r="G1149" s="25">
        <v>0.25</v>
      </c>
      <c r="H1149" t="s">
        <v>514</v>
      </c>
      <c r="K1149" s="25">
        <v>284.39999999999998</v>
      </c>
      <c r="L1149" t="s">
        <v>550</v>
      </c>
      <c r="Q1149" t="s">
        <v>468</v>
      </c>
      <c r="R1149" t="s">
        <v>4</v>
      </c>
      <c r="S1149" t="s">
        <v>50</v>
      </c>
    </row>
    <row r="1150" spans="1:19" x14ac:dyDescent="0.3">
      <c r="A1150" s="2" t="s">
        <v>163</v>
      </c>
      <c r="B1150" s="4" t="s">
        <v>393</v>
      </c>
      <c r="C1150" s="3" t="s">
        <v>53</v>
      </c>
      <c r="D1150" t="s">
        <v>575</v>
      </c>
      <c r="F1150" s="24"/>
      <c r="G1150" s="25">
        <v>0.5</v>
      </c>
      <c r="H1150" t="s">
        <v>514</v>
      </c>
      <c r="K1150" s="25">
        <v>464</v>
      </c>
      <c r="L1150" t="s">
        <v>550</v>
      </c>
      <c r="Q1150" t="s">
        <v>468</v>
      </c>
      <c r="R1150" t="s">
        <v>4</v>
      </c>
      <c r="S1150" t="s">
        <v>50</v>
      </c>
    </row>
    <row r="1151" spans="1:19" x14ac:dyDescent="0.3">
      <c r="A1151" s="2" t="s">
        <v>163</v>
      </c>
      <c r="B1151" s="4" t="s">
        <v>393</v>
      </c>
      <c r="C1151" s="3" t="s">
        <v>53</v>
      </c>
      <c r="D1151" t="s">
        <v>575</v>
      </c>
      <c r="F1151" s="24"/>
      <c r="G1151" s="25">
        <v>1</v>
      </c>
      <c r="H1151" t="s">
        <v>514</v>
      </c>
      <c r="K1151" s="25">
        <v>85.1</v>
      </c>
      <c r="L1151" t="s">
        <v>550</v>
      </c>
      <c r="Q1151" t="s">
        <v>468</v>
      </c>
      <c r="R1151" t="s">
        <v>4</v>
      </c>
      <c r="S1151" t="s">
        <v>50</v>
      </c>
    </row>
    <row r="1152" spans="1:19" x14ac:dyDescent="0.3">
      <c r="A1152" s="2" t="s">
        <v>163</v>
      </c>
      <c r="B1152" s="4" t="s">
        <v>393</v>
      </c>
      <c r="C1152" s="3" t="s">
        <v>53</v>
      </c>
      <c r="D1152" t="s">
        <v>575</v>
      </c>
      <c r="F1152" s="24"/>
      <c r="G1152" s="25">
        <v>1.5</v>
      </c>
      <c r="H1152" t="s">
        <v>514</v>
      </c>
      <c r="K1152" s="25">
        <v>28.3</v>
      </c>
      <c r="L1152" t="s">
        <v>550</v>
      </c>
      <c r="Q1152" t="s">
        <v>468</v>
      </c>
      <c r="R1152" t="s">
        <v>4</v>
      </c>
      <c r="S1152" t="s">
        <v>50</v>
      </c>
    </row>
    <row r="1153" spans="1:19" x14ac:dyDescent="0.3">
      <c r="A1153" s="2" t="s">
        <v>163</v>
      </c>
      <c r="B1153" s="4" t="s">
        <v>393</v>
      </c>
      <c r="C1153" s="3" t="s">
        <v>53</v>
      </c>
      <c r="D1153" t="s">
        <v>575</v>
      </c>
      <c r="F1153" s="24"/>
      <c r="G1153" s="25">
        <v>2</v>
      </c>
      <c r="H1153" t="s">
        <v>514</v>
      </c>
      <c r="K1153" s="25">
        <v>14.9</v>
      </c>
      <c r="L1153" t="s">
        <v>550</v>
      </c>
      <c r="Q1153" t="s">
        <v>468</v>
      </c>
      <c r="R1153" t="s">
        <v>4</v>
      </c>
      <c r="S1153" t="s">
        <v>50</v>
      </c>
    </row>
    <row r="1154" spans="1:19" x14ac:dyDescent="0.3">
      <c r="A1154" s="2" t="s">
        <v>163</v>
      </c>
      <c r="B1154" s="4" t="s">
        <v>393</v>
      </c>
      <c r="C1154" s="3" t="s">
        <v>53</v>
      </c>
      <c r="D1154" t="s">
        <v>575</v>
      </c>
      <c r="F1154" s="24"/>
      <c r="G1154" s="25">
        <v>3</v>
      </c>
      <c r="H1154" t="s">
        <v>514</v>
      </c>
      <c r="K1154" s="25">
        <v>8.6999999999999993</v>
      </c>
      <c r="L1154" t="s">
        <v>550</v>
      </c>
      <c r="Q1154" t="s">
        <v>468</v>
      </c>
      <c r="R1154" t="s">
        <v>4</v>
      </c>
      <c r="S1154" t="s">
        <v>50</v>
      </c>
    </row>
    <row r="1155" spans="1:19" x14ac:dyDescent="0.3">
      <c r="A1155" s="2" t="s">
        <v>163</v>
      </c>
      <c r="B1155" s="4" t="s">
        <v>393</v>
      </c>
      <c r="C1155" s="3" t="s">
        <v>53</v>
      </c>
      <c r="D1155" t="s">
        <v>575</v>
      </c>
      <c r="F1155" s="24"/>
      <c r="G1155" s="25">
        <v>4</v>
      </c>
      <c r="H1155" t="s">
        <v>514</v>
      </c>
      <c r="K1155" s="25">
        <v>5.3</v>
      </c>
      <c r="L1155" t="s">
        <v>550</v>
      </c>
      <c r="Q1155" t="s">
        <v>468</v>
      </c>
      <c r="R1155" t="s">
        <v>4</v>
      </c>
      <c r="S1155" t="s">
        <v>50</v>
      </c>
    </row>
    <row r="1156" spans="1:19" x14ac:dyDescent="0.3">
      <c r="A1156" s="2" t="s">
        <v>163</v>
      </c>
      <c r="B1156" s="4" t="s">
        <v>393</v>
      </c>
      <c r="C1156" s="3" t="s">
        <v>53</v>
      </c>
      <c r="D1156" t="s">
        <v>575</v>
      </c>
      <c r="F1156" s="24"/>
      <c r="G1156" s="25">
        <v>6</v>
      </c>
      <c r="H1156" t="s">
        <v>514</v>
      </c>
      <c r="K1156" s="25">
        <v>2.9</v>
      </c>
      <c r="L1156" t="s">
        <v>550</v>
      </c>
      <c r="Q1156" t="s">
        <v>468</v>
      </c>
      <c r="R1156" t="s">
        <v>4</v>
      </c>
      <c r="S1156" t="s">
        <v>50</v>
      </c>
    </row>
    <row r="1157" spans="1:19" x14ac:dyDescent="0.3">
      <c r="A1157" s="2" t="s">
        <v>163</v>
      </c>
      <c r="B1157" s="4" t="s">
        <v>393</v>
      </c>
      <c r="C1157" s="3" t="s">
        <v>53</v>
      </c>
      <c r="D1157" t="s">
        <v>575</v>
      </c>
      <c r="F1157" s="24"/>
      <c r="G1157" s="25">
        <v>8</v>
      </c>
      <c r="H1157" t="s">
        <v>514</v>
      </c>
      <c r="K1157" s="25">
        <v>2.6</v>
      </c>
      <c r="L1157" t="s">
        <v>550</v>
      </c>
      <c r="Q1157" t="s">
        <v>468</v>
      </c>
      <c r="R1157" t="s">
        <v>4</v>
      </c>
      <c r="S1157" t="s">
        <v>50</v>
      </c>
    </row>
    <row r="1158" spans="1:19" x14ac:dyDescent="0.3">
      <c r="A1158" s="2" t="s">
        <v>163</v>
      </c>
      <c r="B1158" s="4" t="s">
        <v>393</v>
      </c>
      <c r="C1158" s="3" t="s">
        <v>53</v>
      </c>
      <c r="D1158" t="s">
        <v>575</v>
      </c>
      <c r="F1158" s="24"/>
      <c r="G1158" s="25">
        <v>10</v>
      </c>
      <c r="H1158" t="s">
        <v>514</v>
      </c>
      <c r="K1158" s="25">
        <v>2</v>
      </c>
      <c r="L1158" t="s">
        <v>550</v>
      </c>
      <c r="Q1158" t="s">
        <v>468</v>
      </c>
      <c r="R1158" t="s">
        <v>4</v>
      </c>
      <c r="S1158" t="s">
        <v>50</v>
      </c>
    </row>
    <row r="1159" spans="1:19" x14ac:dyDescent="0.3">
      <c r="A1159" s="2" t="s">
        <v>163</v>
      </c>
      <c r="B1159" s="4" t="s">
        <v>393</v>
      </c>
      <c r="C1159" s="3" t="s">
        <v>53</v>
      </c>
      <c r="D1159" t="s">
        <v>575</v>
      </c>
      <c r="F1159" s="24"/>
      <c r="G1159" s="25">
        <v>12</v>
      </c>
      <c r="H1159" t="s">
        <v>514</v>
      </c>
      <c r="K1159" s="25">
        <v>1.8</v>
      </c>
      <c r="L1159" t="s">
        <v>550</v>
      </c>
      <c r="Q1159" t="s">
        <v>468</v>
      </c>
      <c r="R1159" t="s">
        <v>4</v>
      </c>
      <c r="S1159" t="s">
        <v>50</v>
      </c>
    </row>
    <row r="1160" spans="1:19" x14ac:dyDescent="0.3">
      <c r="A1160" s="2" t="s">
        <v>163</v>
      </c>
      <c r="B1160" s="4" t="s">
        <v>393</v>
      </c>
      <c r="C1160" s="3" t="s">
        <v>53</v>
      </c>
      <c r="D1160" t="s">
        <v>575</v>
      </c>
      <c r="F1160" s="24"/>
      <c r="G1160" s="25">
        <v>24</v>
      </c>
      <c r="H1160" t="s">
        <v>514</v>
      </c>
      <c r="K1160" s="25">
        <v>0.9</v>
      </c>
      <c r="L1160" t="s">
        <v>550</v>
      </c>
      <c r="Q1160" t="s">
        <v>468</v>
      </c>
      <c r="R1160" t="s">
        <v>4</v>
      </c>
      <c r="S1160" t="s">
        <v>50</v>
      </c>
    </row>
    <row r="1161" spans="1:19" x14ac:dyDescent="0.3">
      <c r="A1161" s="2" t="s">
        <v>163</v>
      </c>
      <c r="B1161" s="4" t="s">
        <v>393</v>
      </c>
      <c r="C1161" s="3" t="s">
        <v>53</v>
      </c>
      <c r="D1161" t="s">
        <v>575</v>
      </c>
      <c r="F1161" s="24"/>
      <c r="G1161" s="25">
        <v>48</v>
      </c>
      <c r="H1161" t="s">
        <v>514</v>
      </c>
      <c r="K1161" s="25">
        <v>0.3</v>
      </c>
      <c r="L1161" t="s">
        <v>550</v>
      </c>
      <c r="Q1161" t="s">
        <v>468</v>
      </c>
      <c r="R1161" t="s">
        <v>4</v>
      </c>
      <c r="S1161" t="s">
        <v>50</v>
      </c>
    </row>
    <row r="1162" spans="1:19" ht="14.4" customHeight="1" x14ac:dyDescent="0.3">
      <c r="A1162" s="2" t="s">
        <v>164</v>
      </c>
      <c r="B1162" s="4" t="s">
        <v>392</v>
      </c>
      <c r="C1162" s="8" t="s">
        <v>49</v>
      </c>
      <c r="D1162" t="s">
        <v>576</v>
      </c>
      <c r="E1162">
        <v>0</v>
      </c>
      <c r="F1162">
        <f>13*24</f>
        <v>312</v>
      </c>
      <c r="G1162">
        <f>F1162+E1162</f>
        <v>312</v>
      </c>
      <c r="H1162" t="s">
        <v>514</v>
      </c>
      <c r="K1162">
        <v>9.1157038996365305</v>
      </c>
      <c r="L1162" t="s">
        <v>550</v>
      </c>
      <c r="M1162" t="s">
        <v>535</v>
      </c>
      <c r="Q1162" t="s">
        <v>468</v>
      </c>
      <c r="R1162" t="s">
        <v>4</v>
      </c>
      <c r="S1162" t="s">
        <v>50</v>
      </c>
    </row>
    <row r="1163" spans="1:19" ht="14.4" customHeight="1" x14ac:dyDescent="0.3">
      <c r="A1163" s="2" t="s">
        <v>164</v>
      </c>
      <c r="B1163" s="4" t="s">
        <v>392</v>
      </c>
      <c r="C1163" s="8" t="s">
        <v>49</v>
      </c>
      <c r="D1163" t="s">
        <v>576</v>
      </c>
      <c r="E1163">
        <v>0.25</v>
      </c>
      <c r="F1163">
        <f t="shared" ref="F1163:F1174" si="27">13*24</f>
        <v>312</v>
      </c>
      <c r="G1163">
        <f t="shared" ref="G1163:G1174" si="28">F1163+E1163</f>
        <v>312.25</v>
      </c>
      <c r="H1163" t="s">
        <v>514</v>
      </c>
      <c r="K1163">
        <v>41.246263829013401</v>
      </c>
      <c r="L1163" t="s">
        <v>550</v>
      </c>
      <c r="M1163" t="s">
        <v>535</v>
      </c>
      <c r="Q1163" t="s">
        <v>468</v>
      </c>
      <c r="R1163" t="s">
        <v>4</v>
      </c>
      <c r="S1163" t="s">
        <v>50</v>
      </c>
    </row>
    <row r="1164" spans="1:19" ht="14.4" customHeight="1" x14ac:dyDescent="0.3">
      <c r="A1164" s="2" t="s">
        <v>164</v>
      </c>
      <c r="B1164" s="4" t="s">
        <v>392</v>
      </c>
      <c r="C1164" s="8" t="s">
        <v>49</v>
      </c>
      <c r="D1164" t="s">
        <v>576</v>
      </c>
      <c r="E1164">
        <v>0.5</v>
      </c>
      <c r="F1164">
        <f t="shared" si="27"/>
        <v>312</v>
      </c>
      <c r="G1164">
        <f t="shared" si="28"/>
        <v>312.5</v>
      </c>
      <c r="H1164" t="s">
        <v>514</v>
      </c>
      <c r="K1164">
        <v>163.09523809523799</v>
      </c>
      <c r="L1164" t="s">
        <v>550</v>
      </c>
      <c r="M1164" t="s">
        <v>535</v>
      </c>
      <c r="Q1164" t="s">
        <v>468</v>
      </c>
      <c r="R1164" t="s">
        <v>4</v>
      </c>
      <c r="S1164" t="s">
        <v>50</v>
      </c>
    </row>
    <row r="1165" spans="1:19" ht="14.4" customHeight="1" x14ac:dyDescent="0.3">
      <c r="A1165" s="2" t="s">
        <v>164</v>
      </c>
      <c r="B1165" s="4" t="s">
        <v>392</v>
      </c>
      <c r="C1165" s="8" t="s">
        <v>49</v>
      </c>
      <c r="D1165" t="s">
        <v>576</v>
      </c>
      <c r="E1165">
        <v>0.75</v>
      </c>
      <c r="F1165">
        <f t="shared" si="27"/>
        <v>312</v>
      </c>
      <c r="G1165">
        <f t="shared" si="28"/>
        <v>312.75</v>
      </c>
      <c r="H1165" t="s">
        <v>514</v>
      </c>
      <c r="K1165">
        <v>110.714285714285</v>
      </c>
      <c r="L1165" t="s">
        <v>550</v>
      </c>
      <c r="M1165" t="s">
        <v>535</v>
      </c>
      <c r="Q1165" t="s">
        <v>468</v>
      </c>
      <c r="R1165" t="s">
        <v>4</v>
      </c>
      <c r="S1165" t="s">
        <v>50</v>
      </c>
    </row>
    <row r="1166" spans="1:19" ht="14.4" customHeight="1" x14ac:dyDescent="0.3">
      <c r="A1166" s="2" t="s">
        <v>164</v>
      </c>
      <c r="B1166" s="4" t="s">
        <v>392</v>
      </c>
      <c r="C1166" s="8" t="s">
        <v>49</v>
      </c>
      <c r="D1166" t="s">
        <v>576</v>
      </c>
      <c r="E1166">
        <v>1</v>
      </c>
      <c r="F1166">
        <f t="shared" si="27"/>
        <v>312</v>
      </c>
      <c r="G1166">
        <f t="shared" si="28"/>
        <v>313</v>
      </c>
      <c r="H1166" t="s">
        <v>514</v>
      </c>
      <c r="K1166">
        <v>61.904761904761898</v>
      </c>
      <c r="L1166" t="s">
        <v>550</v>
      </c>
      <c r="M1166" t="s">
        <v>535</v>
      </c>
      <c r="Q1166" t="s">
        <v>468</v>
      </c>
      <c r="R1166" t="s">
        <v>4</v>
      </c>
      <c r="S1166" t="s">
        <v>50</v>
      </c>
    </row>
    <row r="1167" spans="1:19" ht="14.4" customHeight="1" x14ac:dyDescent="0.3">
      <c r="A1167" s="2" t="s">
        <v>164</v>
      </c>
      <c r="B1167" s="4" t="s">
        <v>392</v>
      </c>
      <c r="C1167" s="8" t="s">
        <v>49</v>
      </c>
      <c r="D1167" t="s">
        <v>576</v>
      </c>
      <c r="E1167">
        <v>1.5</v>
      </c>
      <c r="F1167">
        <f t="shared" si="27"/>
        <v>312</v>
      </c>
      <c r="G1167">
        <f t="shared" si="28"/>
        <v>313.5</v>
      </c>
      <c r="H1167" t="s">
        <v>514</v>
      </c>
      <c r="K1167">
        <v>34.412267225110902</v>
      </c>
      <c r="L1167" t="s">
        <v>550</v>
      </c>
      <c r="M1167" t="s">
        <v>535</v>
      </c>
      <c r="Q1167" t="s">
        <v>468</v>
      </c>
      <c r="R1167" t="s">
        <v>4</v>
      </c>
      <c r="S1167" t="s">
        <v>50</v>
      </c>
    </row>
    <row r="1168" spans="1:19" ht="14.4" customHeight="1" x14ac:dyDescent="0.3">
      <c r="A1168" s="2" t="s">
        <v>164</v>
      </c>
      <c r="B1168" s="4" t="s">
        <v>392</v>
      </c>
      <c r="C1168" s="8" t="s">
        <v>49</v>
      </c>
      <c r="D1168" t="s">
        <v>576</v>
      </c>
      <c r="E1168">
        <v>2</v>
      </c>
      <c r="F1168">
        <f t="shared" si="27"/>
        <v>312</v>
      </c>
      <c r="G1168">
        <f t="shared" si="28"/>
        <v>314</v>
      </c>
      <c r="H1168" t="s">
        <v>514</v>
      </c>
      <c r="K1168">
        <v>24.2446201708233</v>
      </c>
      <c r="L1168" t="s">
        <v>550</v>
      </c>
      <c r="M1168" t="s">
        <v>535</v>
      </c>
      <c r="Q1168" t="s">
        <v>468</v>
      </c>
      <c r="R1168" t="s">
        <v>4</v>
      </c>
      <c r="S1168" t="s">
        <v>50</v>
      </c>
    </row>
    <row r="1169" spans="1:19" ht="14.4" customHeight="1" x14ac:dyDescent="0.3">
      <c r="A1169" s="2" t="s">
        <v>164</v>
      </c>
      <c r="B1169" s="4" t="s">
        <v>392</v>
      </c>
      <c r="C1169" s="8" t="s">
        <v>49</v>
      </c>
      <c r="D1169" t="s">
        <v>576</v>
      </c>
      <c r="E1169">
        <v>3</v>
      </c>
      <c r="F1169">
        <f t="shared" si="27"/>
        <v>312</v>
      </c>
      <c r="G1169">
        <f t="shared" si="28"/>
        <v>315</v>
      </c>
      <c r="H1169" t="s">
        <v>514</v>
      </c>
      <c r="K1169">
        <v>27.356651445472099</v>
      </c>
      <c r="L1169" t="s">
        <v>550</v>
      </c>
      <c r="M1169" t="s">
        <v>535</v>
      </c>
      <c r="Q1169" t="s">
        <v>468</v>
      </c>
      <c r="R1169" t="s">
        <v>4</v>
      </c>
      <c r="S1169" t="s">
        <v>50</v>
      </c>
    </row>
    <row r="1170" spans="1:19" ht="14.4" customHeight="1" x14ac:dyDescent="0.3">
      <c r="A1170" s="2" t="s">
        <v>164</v>
      </c>
      <c r="B1170" s="4" t="s">
        <v>392</v>
      </c>
      <c r="C1170" s="8" t="s">
        <v>49</v>
      </c>
      <c r="D1170" t="s">
        <v>576</v>
      </c>
      <c r="E1170">
        <v>4</v>
      </c>
      <c r="F1170">
        <f t="shared" si="27"/>
        <v>312</v>
      </c>
      <c r="G1170">
        <f t="shared" si="28"/>
        <v>316</v>
      </c>
      <c r="H1170" t="s">
        <v>514</v>
      </c>
      <c r="K1170">
        <v>22.011890446642798</v>
      </c>
      <c r="L1170" t="s">
        <v>550</v>
      </c>
      <c r="M1170" t="s">
        <v>535</v>
      </c>
      <c r="Q1170" t="s">
        <v>468</v>
      </c>
      <c r="R1170" t="s">
        <v>4</v>
      </c>
      <c r="S1170" t="s">
        <v>50</v>
      </c>
    </row>
    <row r="1171" spans="1:19" ht="14.4" customHeight="1" x14ac:dyDescent="0.3">
      <c r="A1171" s="2" t="s">
        <v>164</v>
      </c>
      <c r="B1171" s="4" t="s">
        <v>392</v>
      </c>
      <c r="C1171" s="8" t="s">
        <v>49</v>
      </c>
      <c r="D1171" t="s">
        <v>576</v>
      </c>
      <c r="E1171">
        <v>6</v>
      </c>
      <c r="F1171">
        <f t="shared" si="27"/>
        <v>312</v>
      </c>
      <c r="G1171">
        <f t="shared" si="28"/>
        <v>318</v>
      </c>
      <c r="H1171" t="s">
        <v>514</v>
      </c>
      <c r="K1171">
        <v>15.696549567005301</v>
      </c>
      <c r="L1171" t="s">
        <v>550</v>
      </c>
      <c r="M1171" t="s">
        <v>535</v>
      </c>
      <c r="Q1171" t="s">
        <v>468</v>
      </c>
      <c r="R1171" t="s">
        <v>4</v>
      </c>
      <c r="S1171" t="s">
        <v>50</v>
      </c>
    </row>
    <row r="1172" spans="1:19" ht="14.4" customHeight="1" x14ac:dyDescent="0.3">
      <c r="A1172" s="2" t="s">
        <v>164</v>
      </c>
      <c r="B1172" s="4" t="s">
        <v>392</v>
      </c>
      <c r="C1172" s="8" t="s">
        <v>49</v>
      </c>
      <c r="D1172" t="s">
        <v>576</v>
      </c>
      <c r="E1172">
        <v>8</v>
      </c>
      <c r="F1172">
        <f t="shared" si="27"/>
        <v>312</v>
      </c>
      <c r="G1172">
        <f t="shared" si="28"/>
        <v>320</v>
      </c>
      <c r="H1172" t="s">
        <v>514</v>
      </c>
      <c r="K1172">
        <v>12.034265271452499</v>
      </c>
      <c r="L1172" t="s">
        <v>550</v>
      </c>
      <c r="M1172" t="s">
        <v>535</v>
      </c>
      <c r="Q1172" t="s">
        <v>468</v>
      </c>
      <c r="R1172" t="s">
        <v>4</v>
      </c>
      <c r="S1172" t="s">
        <v>50</v>
      </c>
    </row>
    <row r="1173" spans="1:19" ht="14.4" customHeight="1" x14ac:dyDescent="0.3">
      <c r="A1173" s="2" t="s">
        <v>164</v>
      </c>
      <c r="B1173" s="4" t="s">
        <v>392</v>
      </c>
      <c r="C1173" s="8" t="s">
        <v>49</v>
      </c>
      <c r="D1173" t="s">
        <v>576</v>
      </c>
      <c r="E1173">
        <v>10</v>
      </c>
      <c r="F1173">
        <f t="shared" si="27"/>
        <v>312</v>
      </c>
      <c r="G1173">
        <f t="shared" si="28"/>
        <v>322</v>
      </c>
      <c r="H1173" t="s">
        <v>514</v>
      </c>
      <c r="K1173">
        <v>8.6858272752222998</v>
      </c>
      <c r="L1173" t="s">
        <v>550</v>
      </c>
      <c r="M1173" t="s">
        <v>535</v>
      </c>
      <c r="Q1173" t="s">
        <v>468</v>
      </c>
      <c r="R1173" t="s">
        <v>4</v>
      </c>
      <c r="S1173" t="s">
        <v>50</v>
      </c>
    </row>
    <row r="1174" spans="1:19" ht="14.4" customHeight="1" x14ac:dyDescent="0.3">
      <c r="A1174" s="2" t="s">
        <v>164</v>
      </c>
      <c r="B1174" s="4" t="s">
        <v>392</v>
      </c>
      <c r="C1174" s="8" t="s">
        <v>49</v>
      </c>
      <c r="D1174" t="s">
        <v>576</v>
      </c>
      <c r="E1174">
        <v>12</v>
      </c>
      <c r="F1174">
        <f t="shared" si="27"/>
        <v>312</v>
      </c>
      <c r="G1174">
        <f t="shared" si="28"/>
        <v>324</v>
      </c>
      <c r="H1174" t="s">
        <v>514</v>
      </c>
      <c r="K1174">
        <v>6.6592692289370001</v>
      </c>
      <c r="L1174" t="s">
        <v>550</v>
      </c>
      <c r="M1174" t="s">
        <v>535</v>
      </c>
      <c r="Q1174" t="s">
        <v>468</v>
      </c>
      <c r="R1174" t="s">
        <v>4</v>
      </c>
      <c r="S1174" t="s">
        <v>50</v>
      </c>
    </row>
    <row r="1175" spans="1:19" x14ac:dyDescent="0.3">
      <c r="A1175" s="2" t="s">
        <v>165</v>
      </c>
      <c r="B1175" s="4" t="s">
        <v>394</v>
      </c>
      <c r="C1175" s="3" t="s">
        <v>54</v>
      </c>
      <c r="D1175" t="s">
        <v>528</v>
      </c>
      <c r="G1175">
        <v>0.5</v>
      </c>
      <c r="H1175" t="s">
        <v>514</v>
      </c>
      <c r="K1175">
        <v>2.2255192878333201</v>
      </c>
      <c r="L1175" t="s">
        <v>550</v>
      </c>
      <c r="M1175" t="s">
        <v>535</v>
      </c>
      <c r="Q1175" t="s">
        <v>468</v>
      </c>
      <c r="R1175" t="s">
        <v>4</v>
      </c>
      <c r="S1175" t="s">
        <v>46</v>
      </c>
    </row>
    <row r="1176" spans="1:19" x14ac:dyDescent="0.3">
      <c r="A1176" s="2" t="s">
        <v>165</v>
      </c>
      <c r="B1176" s="4" t="s">
        <v>394</v>
      </c>
      <c r="C1176" s="3" t="s">
        <v>54</v>
      </c>
      <c r="D1176" t="s">
        <v>528</v>
      </c>
      <c r="G1176">
        <v>1</v>
      </c>
      <c r="H1176" t="s">
        <v>514</v>
      </c>
      <c r="K1176">
        <v>33.382789317507097</v>
      </c>
      <c r="L1176" t="s">
        <v>550</v>
      </c>
      <c r="M1176" t="s">
        <v>535</v>
      </c>
      <c r="Q1176" t="s">
        <v>468</v>
      </c>
      <c r="R1176" t="s">
        <v>4</v>
      </c>
      <c r="S1176" t="s">
        <v>46</v>
      </c>
    </row>
    <row r="1177" spans="1:19" x14ac:dyDescent="0.3">
      <c r="A1177" s="2" t="s">
        <v>165</v>
      </c>
      <c r="B1177" s="4" t="s">
        <v>394</v>
      </c>
      <c r="C1177" s="3" t="s">
        <v>54</v>
      </c>
      <c r="D1177" t="s">
        <v>528</v>
      </c>
      <c r="G1177">
        <v>2</v>
      </c>
      <c r="H1177" t="s">
        <v>514</v>
      </c>
      <c r="K1177">
        <v>102.37388724035399</v>
      </c>
      <c r="L1177" t="s">
        <v>550</v>
      </c>
      <c r="M1177" t="s">
        <v>535</v>
      </c>
      <c r="Q1177" t="s">
        <v>468</v>
      </c>
      <c r="R1177" t="s">
        <v>4</v>
      </c>
      <c r="S1177" t="s">
        <v>46</v>
      </c>
    </row>
    <row r="1178" spans="1:19" x14ac:dyDescent="0.3">
      <c r="A1178" s="2" t="s">
        <v>165</v>
      </c>
      <c r="B1178" s="4" t="s">
        <v>394</v>
      </c>
      <c r="C1178" s="3" t="s">
        <v>54</v>
      </c>
      <c r="D1178" t="s">
        <v>528</v>
      </c>
      <c r="G1178">
        <v>3</v>
      </c>
      <c r="H1178" t="s">
        <v>514</v>
      </c>
      <c r="K1178">
        <v>184.71810089020701</v>
      </c>
      <c r="L1178" t="s">
        <v>550</v>
      </c>
      <c r="M1178" t="s">
        <v>535</v>
      </c>
      <c r="Q1178" t="s">
        <v>468</v>
      </c>
      <c r="R1178" t="s">
        <v>4</v>
      </c>
      <c r="S1178" t="s">
        <v>46</v>
      </c>
    </row>
    <row r="1179" spans="1:19" x14ac:dyDescent="0.3">
      <c r="A1179" s="2" t="s">
        <v>165</v>
      </c>
      <c r="B1179" s="4" t="s">
        <v>394</v>
      </c>
      <c r="C1179" s="3" t="s">
        <v>54</v>
      </c>
      <c r="D1179" t="s">
        <v>528</v>
      </c>
      <c r="G1179">
        <v>4</v>
      </c>
      <c r="H1179" t="s">
        <v>514</v>
      </c>
      <c r="K1179">
        <v>255.93471810089</v>
      </c>
      <c r="L1179" t="s">
        <v>550</v>
      </c>
      <c r="M1179" t="s">
        <v>535</v>
      </c>
      <c r="Q1179" t="s">
        <v>468</v>
      </c>
      <c r="R1179" t="s">
        <v>4</v>
      </c>
      <c r="S1179" t="s">
        <v>46</v>
      </c>
    </row>
    <row r="1180" spans="1:19" x14ac:dyDescent="0.3">
      <c r="A1180" s="2" t="s">
        <v>165</v>
      </c>
      <c r="B1180" s="4" t="s">
        <v>394</v>
      </c>
      <c r="C1180" s="3" t="s">
        <v>54</v>
      </c>
      <c r="D1180" t="s">
        <v>528</v>
      </c>
      <c r="G1180">
        <v>5</v>
      </c>
      <c r="H1180" t="s">
        <v>514</v>
      </c>
      <c r="K1180">
        <v>278.18991097922799</v>
      </c>
      <c r="L1180" t="s">
        <v>550</v>
      </c>
      <c r="M1180" t="s">
        <v>535</v>
      </c>
      <c r="Q1180" t="s">
        <v>468</v>
      </c>
      <c r="R1180" t="s">
        <v>4</v>
      </c>
      <c r="S1180" t="s">
        <v>46</v>
      </c>
    </row>
    <row r="1181" spans="1:19" x14ac:dyDescent="0.3">
      <c r="A1181" s="2" t="s">
        <v>165</v>
      </c>
      <c r="B1181" s="4" t="s">
        <v>394</v>
      </c>
      <c r="C1181" s="3" t="s">
        <v>54</v>
      </c>
      <c r="D1181" t="s">
        <v>528</v>
      </c>
      <c r="G1181">
        <v>6</v>
      </c>
      <c r="H1181" t="s">
        <v>514</v>
      </c>
      <c r="K1181">
        <v>222.551928783383</v>
      </c>
      <c r="L1181" t="s">
        <v>550</v>
      </c>
      <c r="M1181" t="s">
        <v>535</v>
      </c>
      <c r="Q1181" t="s">
        <v>468</v>
      </c>
      <c r="R1181" t="s">
        <v>4</v>
      </c>
      <c r="S1181" t="s">
        <v>46</v>
      </c>
    </row>
    <row r="1182" spans="1:19" x14ac:dyDescent="0.3">
      <c r="A1182" s="2" t="s">
        <v>165</v>
      </c>
      <c r="B1182" s="4" t="s">
        <v>394</v>
      </c>
      <c r="C1182" s="3" t="s">
        <v>54</v>
      </c>
      <c r="D1182" t="s">
        <v>528</v>
      </c>
      <c r="G1182">
        <v>7</v>
      </c>
      <c r="H1182" t="s">
        <v>514</v>
      </c>
      <c r="K1182">
        <v>229.228486646882</v>
      </c>
      <c r="L1182" t="s">
        <v>550</v>
      </c>
      <c r="M1182" t="s">
        <v>535</v>
      </c>
      <c r="Q1182" t="s">
        <v>468</v>
      </c>
      <c r="R1182" t="s">
        <v>4</v>
      </c>
      <c r="S1182" t="s">
        <v>46</v>
      </c>
    </row>
    <row r="1183" spans="1:19" x14ac:dyDescent="0.3">
      <c r="A1183" s="2" t="s">
        <v>165</v>
      </c>
      <c r="B1183" s="4" t="s">
        <v>394</v>
      </c>
      <c r="C1183" s="3" t="s">
        <v>54</v>
      </c>
      <c r="D1183" t="s">
        <v>528</v>
      </c>
      <c r="G1183">
        <v>8</v>
      </c>
      <c r="H1183" t="s">
        <v>514</v>
      </c>
      <c r="K1183">
        <v>222.55192878338099</v>
      </c>
      <c r="L1183" t="s">
        <v>550</v>
      </c>
      <c r="M1183" t="s">
        <v>535</v>
      </c>
      <c r="Q1183" t="s">
        <v>468</v>
      </c>
      <c r="R1183" t="s">
        <v>4</v>
      </c>
      <c r="S1183" t="s">
        <v>46</v>
      </c>
    </row>
    <row r="1184" spans="1:19" x14ac:dyDescent="0.3">
      <c r="A1184" s="2" t="s">
        <v>165</v>
      </c>
      <c r="B1184" s="4" t="s">
        <v>394</v>
      </c>
      <c r="C1184" s="3" t="s">
        <v>54</v>
      </c>
      <c r="D1184" t="s">
        <v>528</v>
      </c>
      <c r="G1184">
        <v>12</v>
      </c>
      <c r="H1184" t="s">
        <v>514</v>
      </c>
      <c r="K1184">
        <v>202.52225519287799</v>
      </c>
      <c r="L1184" t="s">
        <v>550</v>
      </c>
      <c r="M1184" t="s">
        <v>535</v>
      </c>
      <c r="Q1184" t="s">
        <v>468</v>
      </c>
      <c r="R1184" t="s">
        <v>4</v>
      </c>
      <c r="S1184" t="s">
        <v>46</v>
      </c>
    </row>
    <row r="1185" spans="1:19" x14ac:dyDescent="0.3">
      <c r="A1185" s="2" t="s">
        <v>165</v>
      </c>
      <c r="B1185" s="4" t="s">
        <v>394</v>
      </c>
      <c r="C1185" s="3" t="s">
        <v>54</v>
      </c>
      <c r="D1185" t="s">
        <v>528</v>
      </c>
      <c r="G1185">
        <v>16</v>
      </c>
      <c r="H1185" t="s">
        <v>514</v>
      </c>
      <c r="K1185">
        <v>171.36498516320401</v>
      </c>
      <c r="L1185" t="s">
        <v>550</v>
      </c>
      <c r="M1185" t="s">
        <v>535</v>
      </c>
      <c r="Q1185" t="s">
        <v>468</v>
      </c>
      <c r="R1185" t="s">
        <v>4</v>
      </c>
      <c r="S1185" t="s">
        <v>46</v>
      </c>
    </row>
    <row r="1186" spans="1:19" x14ac:dyDescent="0.3">
      <c r="A1186" s="2" t="s">
        <v>165</v>
      </c>
      <c r="B1186" s="4" t="s">
        <v>394</v>
      </c>
      <c r="C1186" s="3" t="s">
        <v>54</v>
      </c>
      <c r="D1186" t="s">
        <v>528</v>
      </c>
      <c r="G1186">
        <v>20</v>
      </c>
      <c r="H1186" t="s">
        <v>514</v>
      </c>
      <c r="K1186">
        <v>155.786350148368</v>
      </c>
      <c r="L1186" t="s">
        <v>550</v>
      </c>
      <c r="M1186" t="s">
        <v>535</v>
      </c>
      <c r="Q1186" t="s">
        <v>468</v>
      </c>
      <c r="R1186" t="s">
        <v>4</v>
      </c>
      <c r="S1186" t="s">
        <v>46</v>
      </c>
    </row>
    <row r="1187" spans="1:19" x14ac:dyDescent="0.3">
      <c r="A1187" s="2" t="s">
        <v>165</v>
      </c>
      <c r="B1187" s="4" t="s">
        <v>394</v>
      </c>
      <c r="C1187" s="3" t="s">
        <v>54</v>
      </c>
      <c r="D1187" t="s">
        <v>528</v>
      </c>
      <c r="G1187">
        <v>24</v>
      </c>
      <c r="H1187" t="s">
        <v>514</v>
      </c>
      <c r="K1187">
        <v>135.75667655786299</v>
      </c>
      <c r="L1187" t="s">
        <v>550</v>
      </c>
      <c r="M1187" t="s">
        <v>535</v>
      </c>
      <c r="Q1187" t="s">
        <v>468</v>
      </c>
      <c r="R1187" t="s">
        <v>4</v>
      </c>
      <c r="S1187" t="s">
        <v>46</v>
      </c>
    </row>
    <row r="1188" spans="1:19" x14ac:dyDescent="0.3">
      <c r="A1188" s="2" t="s">
        <v>165</v>
      </c>
      <c r="B1188" s="4" t="s">
        <v>394</v>
      </c>
      <c r="C1188" s="3" t="s">
        <v>54</v>
      </c>
      <c r="D1188" t="s">
        <v>528</v>
      </c>
      <c r="G1188">
        <v>30</v>
      </c>
      <c r="H1188" t="s">
        <v>514</v>
      </c>
      <c r="K1188">
        <v>102.373887240356</v>
      </c>
      <c r="L1188" t="s">
        <v>550</v>
      </c>
      <c r="M1188" t="s">
        <v>535</v>
      </c>
      <c r="Q1188" t="s">
        <v>468</v>
      </c>
      <c r="R1188" t="s">
        <v>4</v>
      </c>
      <c r="S1188" t="s">
        <v>46</v>
      </c>
    </row>
    <row r="1189" spans="1:19" x14ac:dyDescent="0.3">
      <c r="A1189" s="2" t="s">
        <v>165</v>
      </c>
      <c r="B1189" s="4" t="s">
        <v>394</v>
      </c>
      <c r="C1189" s="3" t="s">
        <v>54</v>
      </c>
      <c r="D1189" t="s">
        <v>528</v>
      </c>
      <c r="G1189">
        <v>36</v>
      </c>
      <c r="H1189" t="s">
        <v>514</v>
      </c>
      <c r="K1189">
        <v>82.344213649851099</v>
      </c>
      <c r="L1189" t="s">
        <v>550</v>
      </c>
      <c r="M1189" t="s">
        <v>535</v>
      </c>
      <c r="Q1189" t="s">
        <v>468</v>
      </c>
      <c r="R1189" t="s">
        <v>4</v>
      </c>
      <c r="S1189" t="s">
        <v>46</v>
      </c>
    </row>
    <row r="1190" spans="1:19" x14ac:dyDescent="0.3">
      <c r="A1190" s="2" t="s">
        <v>166</v>
      </c>
      <c r="B1190" s="4" t="s">
        <v>395</v>
      </c>
      <c r="C1190" s="3" t="s">
        <v>54</v>
      </c>
      <c r="D1190" t="s">
        <v>528</v>
      </c>
      <c r="G1190">
        <v>0.5</v>
      </c>
      <c r="H1190" t="s">
        <v>514</v>
      </c>
      <c r="K1190">
        <v>144.65875370919801</v>
      </c>
      <c r="L1190" t="s">
        <v>550</v>
      </c>
      <c r="M1190" t="s">
        <v>535</v>
      </c>
      <c r="Q1190" t="s">
        <v>468</v>
      </c>
      <c r="R1190" t="s">
        <v>4</v>
      </c>
      <c r="S1190" t="s">
        <v>46</v>
      </c>
    </row>
    <row r="1191" spans="1:19" x14ac:dyDescent="0.3">
      <c r="A1191" s="2" t="s">
        <v>166</v>
      </c>
      <c r="B1191" s="4" t="s">
        <v>395</v>
      </c>
      <c r="C1191" s="3" t="s">
        <v>54</v>
      </c>
      <c r="D1191" t="s">
        <v>528</v>
      </c>
      <c r="G1191">
        <v>1</v>
      </c>
      <c r="H1191" t="s">
        <v>514</v>
      </c>
      <c r="K1191">
        <v>518.545994065282</v>
      </c>
      <c r="L1191" t="s">
        <v>550</v>
      </c>
      <c r="M1191" t="s">
        <v>535</v>
      </c>
      <c r="Q1191" t="s">
        <v>468</v>
      </c>
      <c r="R1191" t="s">
        <v>4</v>
      </c>
      <c r="S1191" t="s">
        <v>46</v>
      </c>
    </row>
    <row r="1192" spans="1:19" x14ac:dyDescent="0.3">
      <c r="A1192" s="2" t="s">
        <v>166</v>
      </c>
      <c r="B1192" s="4" t="s">
        <v>395</v>
      </c>
      <c r="C1192" s="3" t="s">
        <v>54</v>
      </c>
      <c r="D1192" t="s">
        <v>528</v>
      </c>
      <c r="G1192">
        <v>2</v>
      </c>
      <c r="H1192" t="s">
        <v>514</v>
      </c>
      <c r="K1192">
        <v>994.807121661721</v>
      </c>
      <c r="L1192" t="s">
        <v>550</v>
      </c>
      <c r="M1192" t="s">
        <v>535</v>
      </c>
      <c r="Q1192" t="s">
        <v>468</v>
      </c>
      <c r="R1192" t="s">
        <v>4</v>
      </c>
      <c r="S1192" t="s">
        <v>46</v>
      </c>
    </row>
    <row r="1193" spans="1:19" x14ac:dyDescent="0.3">
      <c r="A1193" s="2" t="s">
        <v>166</v>
      </c>
      <c r="B1193" s="4" t="s">
        <v>395</v>
      </c>
      <c r="C1193" s="3" t="s">
        <v>54</v>
      </c>
      <c r="D1193" t="s">
        <v>528</v>
      </c>
      <c r="G1193">
        <v>3</v>
      </c>
      <c r="H1193" t="s">
        <v>514</v>
      </c>
      <c r="K1193">
        <v>1117.21068249258</v>
      </c>
      <c r="L1193" t="s">
        <v>550</v>
      </c>
      <c r="M1193" t="s">
        <v>535</v>
      </c>
      <c r="Q1193" t="s">
        <v>468</v>
      </c>
      <c r="R1193" t="s">
        <v>4</v>
      </c>
      <c r="S1193" t="s">
        <v>46</v>
      </c>
    </row>
    <row r="1194" spans="1:19" x14ac:dyDescent="0.3">
      <c r="A1194" s="2" t="s">
        <v>166</v>
      </c>
      <c r="B1194" s="4" t="s">
        <v>395</v>
      </c>
      <c r="C1194" s="3" t="s">
        <v>54</v>
      </c>
      <c r="D1194" t="s">
        <v>528</v>
      </c>
      <c r="G1194">
        <v>4</v>
      </c>
      <c r="H1194" t="s">
        <v>514</v>
      </c>
      <c r="K1194">
        <v>1150.59347181008</v>
      </c>
      <c r="L1194" t="s">
        <v>550</v>
      </c>
      <c r="M1194" t="s">
        <v>535</v>
      </c>
      <c r="Q1194" t="s">
        <v>468</v>
      </c>
      <c r="R1194" t="s">
        <v>4</v>
      </c>
      <c r="S1194" t="s">
        <v>46</v>
      </c>
    </row>
    <row r="1195" spans="1:19" x14ac:dyDescent="0.3">
      <c r="A1195" s="2" t="s">
        <v>166</v>
      </c>
      <c r="B1195" s="4" t="s">
        <v>395</v>
      </c>
      <c r="C1195" s="3" t="s">
        <v>54</v>
      </c>
      <c r="D1195" t="s">
        <v>528</v>
      </c>
      <c r="G1195">
        <v>5</v>
      </c>
      <c r="H1195" t="s">
        <v>514</v>
      </c>
      <c r="K1195">
        <v>1077.1513353115699</v>
      </c>
      <c r="L1195" t="s">
        <v>550</v>
      </c>
      <c r="M1195" t="s">
        <v>535</v>
      </c>
      <c r="Q1195" t="s">
        <v>468</v>
      </c>
      <c r="R1195" t="s">
        <v>4</v>
      </c>
      <c r="S1195" t="s">
        <v>46</v>
      </c>
    </row>
    <row r="1196" spans="1:19" x14ac:dyDescent="0.3">
      <c r="A1196" s="2" t="s">
        <v>166</v>
      </c>
      <c r="B1196" s="4" t="s">
        <v>395</v>
      </c>
      <c r="C1196" s="3" t="s">
        <v>54</v>
      </c>
      <c r="D1196" t="s">
        <v>528</v>
      </c>
      <c r="G1196">
        <v>6</v>
      </c>
      <c r="H1196" t="s">
        <v>514</v>
      </c>
      <c r="K1196">
        <v>1003.70919881305</v>
      </c>
      <c r="L1196" t="s">
        <v>550</v>
      </c>
      <c r="M1196" t="s">
        <v>535</v>
      </c>
      <c r="Q1196" t="s">
        <v>468</v>
      </c>
      <c r="R1196" t="s">
        <v>4</v>
      </c>
      <c r="S1196" t="s">
        <v>46</v>
      </c>
    </row>
    <row r="1197" spans="1:19" x14ac:dyDescent="0.3">
      <c r="A1197" s="2" t="s">
        <v>166</v>
      </c>
      <c r="B1197" s="4" t="s">
        <v>395</v>
      </c>
      <c r="C1197" s="3" t="s">
        <v>54</v>
      </c>
      <c r="D1197" t="s">
        <v>528</v>
      </c>
      <c r="G1197">
        <v>7</v>
      </c>
      <c r="H1197" t="s">
        <v>514</v>
      </c>
      <c r="K1197">
        <v>979.22848664688399</v>
      </c>
      <c r="L1197" t="s">
        <v>550</v>
      </c>
      <c r="M1197" t="s">
        <v>535</v>
      </c>
      <c r="Q1197" t="s">
        <v>468</v>
      </c>
      <c r="R1197" t="s">
        <v>4</v>
      </c>
      <c r="S1197" t="s">
        <v>46</v>
      </c>
    </row>
    <row r="1198" spans="1:19" x14ac:dyDescent="0.3">
      <c r="A1198" s="2" t="s">
        <v>166</v>
      </c>
      <c r="B1198" s="4" t="s">
        <v>395</v>
      </c>
      <c r="C1198" s="3" t="s">
        <v>54</v>
      </c>
      <c r="D1198" t="s">
        <v>528</v>
      </c>
      <c r="G1198">
        <v>8</v>
      </c>
      <c r="H1198" t="s">
        <v>514</v>
      </c>
      <c r="K1198">
        <v>961.42433234421298</v>
      </c>
      <c r="L1198" t="s">
        <v>550</v>
      </c>
      <c r="M1198" t="s">
        <v>535</v>
      </c>
      <c r="Q1198" t="s">
        <v>468</v>
      </c>
      <c r="R1198" t="s">
        <v>4</v>
      </c>
      <c r="S1198" t="s">
        <v>46</v>
      </c>
    </row>
    <row r="1199" spans="1:19" x14ac:dyDescent="0.3">
      <c r="A1199" s="2" t="s">
        <v>166</v>
      </c>
      <c r="B1199" s="4" t="s">
        <v>395</v>
      </c>
      <c r="C1199" s="3" t="s">
        <v>54</v>
      </c>
      <c r="D1199" t="s">
        <v>528</v>
      </c>
      <c r="G1199">
        <v>12</v>
      </c>
      <c r="H1199" t="s">
        <v>514</v>
      </c>
      <c r="K1199">
        <v>787.833827893175</v>
      </c>
      <c r="L1199" t="s">
        <v>550</v>
      </c>
      <c r="M1199" t="s">
        <v>535</v>
      </c>
      <c r="Q1199" t="s">
        <v>468</v>
      </c>
      <c r="R1199" t="s">
        <v>4</v>
      </c>
      <c r="S1199" t="s">
        <v>46</v>
      </c>
    </row>
    <row r="1200" spans="1:19" x14ac:dyDescent="0.3">
      <c r="A1200" s="2" t="s">
        <v>166</v>
      </c>
      <c r="B1200" s="4" t="s">
        <v>395</v>
      </c>
      <c r="C1200" s="3" t="s">
        <v>54</v>
      </c>
      <c r="D1200" t="s">
        <v>528</v>
      </c>
      <c r="G1200">
        <v>16</v>
      </c>
      <c r="H1200" t="s">
        <v>514</v>
      </c>
      <c r="K1200">
        <v>652.07715133531099</v>
      </c>
      <c r="L1200" t="s">
        <v>550</v>
      </c>
      <c r="M1200" t="s">
        <v>535</v>
      </c>
      <c r="Q1200" t="s">
        <v>468</v>
      </c>
      <c r="R1200" t="s">
        <v>4</v>
      </c>
      <c r="S1200" t="s">
        <v>46</v>
      </c>
    </row>
    <row r="1201" spans="1:19" x14ac:dyDescent="0.3">
      <c r="A1201" s="2" t="s">
        <v>166</v>
      </c>
      <c r="B1201" s="4" t="s">
        <v>395</v>
      </c>
      <c r="C1201" s="3" t="s">
        <v>54</v>
      </c>
      <c r="D1201" t="s">
        <v>528</v>
      </c>
      <c r="G1201">
        <v>20</v>
      </c>
      <c r="H1201" t="s">
        <v>514</v>
      </c>
      <c r="K1201">
        <v>551.92878338278797</v>
      </c>
      <c r="L1201" t="s">
        <v>550</v>
      </c>
      <c r="M1201" t="s">
        <v>535</v>
      </c>
      <c r="Q1201" t="s">
        <v>468</v>
      </c>
      <c r="R1201" t="s">
        <v>4</v>
      </c>
      <c r="S1201" t="s">
        <v>46</v>
      </c>
    </row>
    <row r="1202" spans="1:19" x14ac:dyDescent="0.3">
      <c r="A1202" s="2" t="s">
        <v>166</v>
      </c>
      <c r="B1202" s="4" t="s">
        <v>395</v>
      </c>
      <c r="C1202" s="3" t="s">
        <v>54</v>
      </c>
      <c r="D1202" t="s">
        <v>528</v>
      </c>
      <c r="G1202">
        <v>24</v>
      </c>
      <c r="H1202" t="s">
        <v>514</v>
      </c>
      <c r="K1202">
        <v>460.68249258160301</v>
      </c>
      <c r="L1202" t="s">
        <v>550</v>
      </c>
      <c r="M1202" t="s">
        <v>535</v>
      </c>
      <c r="Q1202" t="s">
        <v>468</v>
      </c>
      <c r="R1202" t="s">
        <v>4</v>
      </c>
      <c r="S1202" t="s">
        <v>46</v>
      </c>
    </row>
    <row r="1203" spans="1:19" x14ac:dyDescent="0.3">
      <c r="A1203" s="2" t="s">
        <v>166</v>
      </c>
      <c r="B1203" s="4" t="s">
        <v>395</v>
      </c>
      <c r="C1203" s="3" t="s">
        <v>54</v>
      </c>
      <c r="D1203" t="s">
        <v>528</v>
      </c>
      <c r="G1203">
        <v>30</v>
      </c>
      <c r="H1203" t="s">
        <v>514</v>
      </c>
      <c r="K1203">
        <v>313.79821958456898</v>
      </c>
      <c r="L1203" t="s">
        <v>550</v>
      </c>
      <c r="M1203" t="s">
        <v>535</v>
      </c>
      <c r="Q1203" t="s">
        <v>468</v>
      </c>
      <c r="R1203" t="s">
        <v>4</v>
      </c>
      <c r="S1203" t="s">
        <v>46</v>
      </c>
    </row>
    <row r="1204" spans="1:19" x14ac:dyDescent="0.3">
      <c r="A1204" s="2" t="s">
        <v>166</v>
      </c>
      <c r="B1204" s="4" t="s">
        <v>395</v>
      </c>
      <c r="C1204" s="3" t="s">
        <v>54</v>
      </c>
      <c r="D1204" t="s">
        <v>528</v>
      </c>
      <c r="G1204">
        <v>36</v>
      </c>
      <c r="H1204" t="s">
        <v>514</v>
      </c>
      <c r="K1204">
        <v>247.03264094955401</v>
      </c>
      <c r="L1204" t="s">
        <v>550</v>
      </c>
      <c r="M1204" t="s">
        <v>535</v>
      </c>
      <c r="Q1204" t="s">
        <v>468</v>
      </c>
      <c r="R1204" t="s">
        <v>4</v>
      </c>
      <c r="S1204" t="s">
        <v>46</v>
      </c>
    </row>
    <row r="1205" spans="1:19" x14ac:dyDescent="0.3">
      <c r="A1205" s="2" t="s">
        <v>166</v>
      </c>
      <c r="B1205" s="4" t="s">
        <v>395</v>
      </c>
      <c r="C1205" s="3" t="s">
        <v>54</v>
      </c>
      <c r="D1205" t="s">
        <v>528</v>
      </c>
      <c r="G1205">
        <v>144</v>
      </c>
      <c r="H1205" t="s">
        <v>514</v>
      </c>
      <c r="K1205">
        <v>6.6765578635013298</v>
      </c>
      <c r="L1205" t="s">
        <v>550</v>
      </c>
      <c r="M1205" t="s">
        <v>535</v>
      </c>
      <c r="Q1205" t="s">
        <v>468</v>
      </c>
      <c r="R1205" t="s">
        <v>4</v>
      </c>
      <c r="S1205" t="s">
        <v>46</v>
      </c>
    </row>
    <row r="1206" spans="1:19" x14ac:dyDescent="0.3">
      <c r="A1206" s="2" t="s">
        <v>167</v>
      </c>
      <c r="B1206" s="4" t="s">
        <v>396</v>
      </c>
      <c r="C1206" s="3" t="s">
        <v>54</v>
      </c>
      <c r="D1206" t="s">
        <v>528</v>
      </c>
      <c r="G1206">
        <v>0.5</v>
      </c>
      <c r="H1206" t="s">
        <v>514</v>
      </c>
      <c r="K1206">
        <v>173.59050445103799</v>
      </c>
      <c r="L1206" t="s">
        <v>550</v>
      </c>
      <c r="M1206" t="s">
        <v>535</v>
      </c>
      <c r="Q1206" t="s">
        <v>468</v>
      </c>
      <c r="R1206" t="s">
        <v>4</v>
      </c>
      <c r="S1206" t="s">
        <v>46</v>
      </c>
    </row>
    <row r="1207" spans="1:19" x14ac:dyDescent="0.3">
      <c r="A1207" s="2" t="s">
        <v>167</v>
      </c>
      <c r="B1207" s="4" t="s">
        <v>396</v>
      </c>
      <c r="C1207" s="3" t="s">
        <v>54</v>
      </c>
      <c r="D1207" t="s">
        <v>528</v>
      </c>
      <c r="G1207">
        <v>1</v>
      </c>
      <c r="H1207" t="s">
        <v>514</v>
      </c>
      <c r="K1207">
        <v>616.46884272996999</v>
      </c>
      <c r="L1207" t="s">
        <v>550</v>
      </c>
      <c r="M1207" t="s">
        <v>535</v>
      </c>
      <c r="Q1207" t="s">
        <v>468</v>
      </c>
      <c r="R1207" t="s">
        <v>4</v>
      </c>
      <c r="S1207" t="s">
        <v>46</v>
      </c>
    </row>
    <row r="1208" spans="1:19" x14ac:dyDescent="0.3">
      <c r="A1208" s="2" t="s">
        <v>167</v>
      </c>
      <c r="B1208" s="4" t="s">
        <v>396</v>
      </c>
      <c r="C1208" s="3" t="s">
        <v>54</v>
      </c>
      <c r="D1208" t="s">
        <v>528</v>
      </c>
      <c r="G1208">
        <v>2</v>
      </c>
      <c r="H1208" t="s">
        <v>514</v>
      </c>
      <c r="K1208">
        <v>1019.28783382789</v>
      </c>
      <c r="L1208" t="s">
        <v>550</v>
      </c>
      <c r="M1208" t="s">
        <v>535</v>
      </c>
      <c r="Q1208" t="s">
        <v>468</v>
      </c>
      <c r="R1208" t="s">
        <v>4</v>
      </c>
      <c r="S1208" t="s">
        <v>46</v>
      </c>
    </row>
    <row r="1209" spans="1:19" x14ac:dyDescent="0.3">
      <c r="A1209" s="2" t="s">
        <v>167</v>
      </c>
      <c r="B1209" s="4" t="s">
        <v>396</v>
      </c>
      <c r="C1209" s="3" t="s">
        <v>54</v>
      </c>
      <c r="D1209" t="s">
        <v>528</v>
      </c>
      <c r="G1209">
        <v>3</v>
      </c>
      <c r="H1209" t="s">
        <v>514</v>
      </c>
      <c r="K1209">
        <v>1255.19287833827</v>
      </c>
      <c r="L1209" t="s">
        <v>550</v>
      </c>
      <c r="M1209" t="s">
        <v>535</v>
      </c>
      <c r="Q1209" t="s">
        <v>468</v>
      </c>
      <c r="R1209" t="s">
        <v>4</v>
      </c>
      <c r="S1209" t="s">
        <v>46</v>
      </c>
    </row>
    <row r="1210" spans="1:19" x14ac:dyDescent="0.3">
      <c r="A1210" s="2" t="s">
        <v>167</v>
      </c>
      <c r="B1210" s="4" t="s">
        <v>396</v>
      </c>
      <c r="C1210" s="3" t="s">
        <v>54</v>
      </c>
      <c r="D1210" t="s">
        <v>528</v>
      </c>
      <c r="G1210">
        <v>4</v>
      </c>
      <c r="H1210" t="s">
        <v>514</v>
      </c>
      <c r="K1210">
        <v>1462.1661721068201</v>
      </c>
      <c r="L1210" t="s">
        <v>550</v>
      </c>
      <c r="M1210" t="s">
        <v>535</v>
      </c>
      <c r="Q1210" t="s">
        <v>468</v>
      </c>
      <c r="R1210" t="s">
        <v>4</v>
      </c>
      <c r="S1210" t="s">
        <v>46</v>
      </c>
    </row>
    <row r="1211" spans="1:19" x14ac:dyDescent="0.3">
      <c r="A1211" s="2" t="s">
        <v>167</v>
      </c>
      <c r="B1211" s="4" t="s">
        <v>396</v>
      </c>
      <c r="C1211" s="3" t="s">
        <v>54</v>
      </c>
      <c r="D1211" t="s">
        <v>528</v>
      </c>
      <c r="G1211">
        <v>5</v>
      </c>
      <c r="H1211" t="s">
        <v>514</v>
      </c>
      <c r="K1211">
        <v>1597.92284866468</v>
      </c>
      <c r="L1211" t="s">
        <v>550</v>
      </c>
      <c r="M1211" t="s">
        <v>535</v>
      </c>
      <c r="Q1211" t="s">
        <v>468</v>
      </c>
      <c r="R1211" t="s">
        <v>4</v>
      </c>
      <c r="S1211" t="s">
        <v>46</v>
      </c>
    </row>
    <row r="1212" spans="1:19" x14ac:dyDescent="0.3">
      <c r="A1212" s="2" t="s">
        <v>167</v>
      </c>
      <c r="B1212" s="4" t="s">
        <v>396</v>
      </c>
      <c r="C1212" s="3" t="s">
        <v>54</v>
      </c>
      <c r="D1212" t="s">
        <v>528</v>
      </c>
      <c r="G1212">
        <v>6</v>
      </c>
      <c r="H1212" t="s">
        <v>514</v>
      </c>
      <c r="K1212">
        <v>1451.0385756676501</v>
      </c>
      <c r="L1212" t="s">
        <v>550</v>
      </c>
      <c r="M1212" t="s">
        <v>535</v>
      </c>
      <c r="Q1212" t="s">
        <v>468</v>
      </c>
      <c r="R1212" t="s">
        <v>4</v>
      </c>
      <c r="S1212" t="s">
        <v>46</v>
      </c>
    </row>
    <row r="1213" spans="1:19" x14ac:dyDescent="0.3">
      <c r="A1213" s="2" t="s">
        <v>167</v>
      </c>
      <c r="B1213" s="4" t="s">
        <v>396</v>
      </c>
      <c r="C1213" s="3" t="s">
        <v>54</v>
      </c>
      <c r="D1213" t="s">
        <v>528</v>
      </c>
      <c r="G1213">
        <v>7</v>
      </c>
      <c r="H1213" t="s">
        <v>514</v>
      </c>
      <c r="K1213">
        <v>1462.1661721068201</v>
      </c>
      <c r="L1213" t="s">
        <v>550</v>
      </c>
      <c r="M1213" t="s">
        <v>535</v>
      </c>
      <c r="Q1213" t="s">
        <v>468</v>
      </c>
      <c r="R1213" t="s">
        <v>4</v>
      </c>
      <c r="S1213" t="s">
        <v>46</v>
      </c>
    </row>
    <row r="1214" spans="1:19" x14ac:dyDescent="0.3">
      <c r="A1214" s="2" t="s">
        <v>167</v>
      </c>
      <c r="B1214" s="4" t="s">
        <v>396</v>
      </c>
      <c r="C1214" s="3" t="s">
        <v>54</v>
      </c>
      <c r="D1214" t="s">
        <v>528</v>
      </c>
      <c r="G1214">
        <v>8</v>
      </c>
      <c r="H1214" t="s">
        <v>514</v>
      </c>
      <c r="K1214">
        <v>1388.7240356083</v>
      </c>
      <c r="L1214" t="s">
        <v>550</v>
      </c>
      <c r="M1214" t="s">
        <v>535</v>
      </c>
      <c r="Q1214" t="s">
        <v>468</v>
      </c>
      <c r="R1214" t="s">
        <v>4</v>
      </c>
      <c r="S1214" t="s">
        <v>46</v>
      </c>
    </row>
    <row r="1215" spans="1:19" x14ac:dyDescent="0.3">
      <c r="A1215" s="2" t="s">
        <v>167</v>
      </c>
      <c r="B1215" s="4" t="s">
        <v>396</v>
      </c>
      <c r="C1215" s="3" t="s">
        <v>54</v>
      </c>
      <c r="D1215" t="s">
        <v>528</v>
      </c>
      <c r="G1215">
        <v>12</v>
      </c>
      <c r="H1215" t="s">
        <v>514</v>
      </c>
      <c r="K1215">
        <v>1219.58456973293</v>
      </c>
      <c r="L1215" t="s">
        <v>550</v>
      </c>
      <c r="M1215" t="s">
        <v>535</v>
      </c>
      <c r="Q1215" t="s">
        <v>468</v>
      </c>
      <c r="R1215" t="s">
        <v>4</v>
      </c>
      <c r="S1215" t="s">
        <v>46</v>
      </c>
    </row>
    <row r="1216" spans="1:19" x14ac:dyDescent="0.3">
      <c r="A1216" s="2" t="s">
        <v>167</v>
      </c>
      <c r="B1216" s="4" t="s">
        <v>396</v>
      </c>
      <c r="C1216" s="3" t="s">
        <v>54</v>
      </c>
      <c r="D1216" t="s">
        <v>528</v>
      </c>
      <c r="G1216">
        <v>16</v>
      </c>
      <c r="H1216" t="s">
        <v>514</v>
      </c>
      <c r="K1216">
        <v>1099.40652818991</v>
      </c>
      <c r="L1216" t="s">
        <v>550</v>
      </c>
      <c r="M1216" t="s">
        <v>535</v>
      </c>
      <c r="Q1216" t="s">
        <v>468</v>
      </c>
      <c r="R1216" t="s">
        <v>4</v>
      </c>
      <c r="S1216" t="s">
        <v>46</v>
      </c>
    </row>
    <row r="1217" spans="1:19" x14ac:dyDescent="0.3">
      <c r="A1217" s="2" t="s">
        <v>167</v>
      </c>
      <c r="B1217" s="4" t="s">
        <v>396</v>
      </c>
      <c r="C1217" s="3" t="s">
        <v>54</v>
      </c>
      <c r="D1217" t="s">
        <v>528</v>
      </c>
      <c r="G1217">
        <v>20</v>
      </c>
      <c r="H1217" t="s">
        <v>514</v>
      </c>
      <c r="K1217">
        <v>910.23738872403499</v>
      </c>
      <c r="L1217" t="s">
        <v>550</v>
      </c>
      <c r="M1217" t="s">
        <v>535</v>
      </c>
      <c r="Q1217" t="s">
        <v>468</v>
      </c>
      <c r="R1217" t="s">
        <v>4</v>
      </c>
      <c r="S1217" t="s">
        <v>46</v>
      </c>
    </row>
    <row r="1218" spans="1:19" x14ac:dyDescent="0.3">
      <c r="A1218" s="2" t="s">
        <v>167</v>
      </c>
      <c r="B1218" s="4" t="s">
        <v>396</v>
      </c>
      <c r="C1218" s="3" t="s">
        <v>54</v>
      </c>
      <c r="D1218" t="s">
        <v>528</v>
      </c>
      <c r="G1218">
        <v>24</v>
      </c>
      <c r="H1218" t="s">
        <v>514</v>
      </c>
      <c r="K1218">
        <v>756.67655786350099</v>
      </c>
      <c r="L1218" t="s">
        <v>550</v>
      </c>
      <c r="M1218" t="s">
        <v>535</v>
      </c>
      <c r="Q1218" t="s">
        <v>468</v>
      </c>
      <c r="R1218" t="s">
        <v>4</v>
      </c>
      <c r="S1218" t="s">
        <v>46</v>
      </c>
    </row>
    <row r="1219" spans="1:19" x14ac:dyDescent="0.3">
      <c r="A1219" s="2" t="s">
        <v>167</v>
      </c>
      <c r="B1219" s="4" t="s">
        <v>396</v>
      </c>
      <c r="C1219" s="3" t="s">
        <v>54</v>
      </c>
      <c r="D1219" t="s">
        <v>528</v>
      </c>
      <c r="G1219">
        <v>30</v>
      </c>
      <c r="H1219" t="s">
        <v>514</v>
      </c>
      <c r="K1219">
        <v>511.86943620177999</v>
      </c>
      <c r="L1219" t="s">
        <v>550</v>
      </c>
      <c r="M1219" t="s">
        <v>535</v>
      </c>
      <c r="Q1219" t="s">
        <v>468</v>
      </c>
      <c r="R1219" t="s">
        <v>4</v>
      </c>
      <c r="S1219" t="s">
        <v>46</v>
      </c>
    </row>
    <row r="1220" spans="1:19" x14ac:dyDescent="0.3">
      <c r="A1220" s="2" t="s">
        <v>167</v>
      </c>
      <c r="B1220" s="4" t="s">
        <v>396</v>
      </c>
      <c r="C1220" s="3" t="s">
        <v>54</v>
      </c>
      <c r="D1220" t="s">
        <v>528</v>
      </c>
      <c r="G1220">
        <v>36</v>
      </c>
      <c r="H1220" t="s">
        <v>514</v>
      </c>
      <c r="K1220">
        <v>416.17210682492498</v>
      </c>
      <c r="L1220" t="s">
        <v>550</v>
      </c>
      <c r="M1220" t="s">
        <v>535</v>
      </c>
      <c r="Q1220" t="s">
        <v>468</v>
      </c>
      <c r="R1220" t="s">
        <v>4</v>
      </c>
      <c r="S1220" t="s">
        <v>46</v>
      </c>
    </row>
    <row r="1221" spans="1:19" x14ac:dyDescent="0.3">
      <c r="A1221" s="2" t="s">
        <v>167</v>
      </c>
      <c r="B1221" s="4" t="s">
        <v>396</v>
      </c>
      <c r="C1221" s="3" t="s">
        <v>54</v>
      </c>
      <c r="D1221" t="s">
        <v>528</v>
      </c>
      <c r="G1221">
        <v>144</v>
      </c>
      <c r="H1221" t="s">
        <v>514</v>
      </c>
      <c r="K1221">
        <v>6.6765578635013298</v>
      </c>
      <c r="L1221" t="s">
        <v>550</v>
      </c>
      <c r="M1221" t="s">
        <v>535</v>
      </c>
      <c r="Q1221" t="s">
        <v>468</v>
      </c>
      <c r="R1221" t="s">
        <v>4</v>
      </c>
      <c r="S1221" t="s">
        <v>46</v>
      </c>
    </row>
    <row r="1222" spans="1:19" x14ac:dyDescent="0.3">
      <c r="A1222" s="2" t="s">
        <v>168</v>
      </c>
      <c r="B1222" s="4" t="s">
        <v>397</v>
      </c>
      <c r="C1222" s="3" t="s">
        <v>54</v>
      </c>
      <c r="D1222" t="s">
        <v>528</v>
      </c>
      <c r="G1222">
        <v>0.5</v>
      </c>
      <c r="H1222" t="s">
        <v>514</v>
      </c>
      <c r="K1222">
        <v>133.53115727003001</v>
      </c>
      <c r="L1222" t="s">
        <v>550</v>
      </c>
      <c r="M1222" t="s">
        <v>535</v>
      </c>
      <c r="Q1222" t="s">
        <v>468</v>
      </c>
      <c r="R1222" t="s">
        <v>4</v>
      </c>
      <c r="S1222" t="s">
        <v>46</v>
      </c>
    </row>
    <row r="1223" spans="1:19" x14ac:dyDescent="0.3">
      <c r="A1223" s="2" t="s">
        <v>168</v>
      </c>
      <c r="B1223" s="4" t="s">
        <v>397</v>
      </c>
      <c r="C1223" s="3" t="s">
        <v>54</v>
      </c>
      <c r="D1223" t="s">
        <v>528</v>
      </c>
      <c r="G1223">
        <v>1</v>
      </c>
      <c r="H1223" t="s">
        <v>514</v>
      </c>
      <c r="K1223">
        <v>367.21068249258201</v>
      </c>
      <c r="L1223" t="s">
        <v>550</v>
      </c>
      <c r="M1223" t="s">
        <v>535</v>
      </c>
      <c r="Q1223" t="s">
        <v>468</v>
      </c>
      <c r="R1223" t="s">
        <v>4</v>
      </c>
      <c r="S1223" t="s">
        <v>46</v>
      </c>
    </row>
    <row r="1224" spans="1:19" x14ac:dyDescent="0.3">
      <c r="A1224" s="2" t="s">
        <v>168</v>
      </c>
      <c r="B1224" s="4" t="s">
        <v>397</v>
      </c>
      <c r="C1224" s="3" t="s">
        <v>54</v>
      </c>
      <c r="D1224" t="s">
        <v>528</v>
      </c>
      <c r="G1224">
        <v>2</v>
      </c>
      <c r="H1224" t="s">
        <v>514</v>
      </c>
      <c r="K1224">
        <v>961.42433234421298</v>
      </c>
      <c r="L1224" t="s">
        <v>550</v>
      </c>
      <c r="M1224" t="s">
        <v>535</v>
      </c>
      <c r="Q1224" t="s">
        <v>468</v>
      </c>
      <c r="R1224" t="s">
        <v>4</v>
      </c>
      <c r="S1224" t="s">
        <v>46</v>
      </c>
    </row>
    <row r="1225" spans="1:19" x14ac:dyDescent="0.3">
      <c r="A1225" s="2" t="s">
        <v>168</v>
      </c>
      <c r="B1225" s="4" t="s">
        <v>397</v>
      </c>
      <c r="C1225" s="3" t="s">
        <v>54</v>
      </c>
      <c r="D1225" t="s">
        <v>528</v>
      </c>
      <c r="G1225">
        <v>3</v>
      </c>
      <c r="H1225" t="s">
        <v>514</v>
      </c>
      <c r="K1225">
        <v>1221.81008902077</v>
      </c>
      <c r="L1225" t="s">
        <v>550</v>
      </c>
      <c r="M1225" t="s">
        <v>535</v>
      </c>
      <c r="Q1225" t="s">
        <v>468</v>
      </c>
      <c r="R1225" t="s">
        <v>4</v>
      </c>
      <c r="S1225" t="s">
        <v>46</v>
      </c>
    </row>
    <row r="1226" spans="1:19" x14ac:dyDescent="0.3">
      <c r="A1226" s="2" t="s">
        <v>168</v>
      </c>
      <c r="B1226" s="4" t="s">
        <v>397</v>
      </c>
      <c r="C1226" s="3" t="s">
        <v>54</v>
      </c>
      <c r="D1226" t="s">
        <v>528</v>
      </c>
      <c r="G1226">
        <v>4</v>
      </c>
      <c r="H1226" t="s">
        <v>514</v>
      </c>
      <c r="K1226">
        <v>1477.74480712166</v>
      </c>
      <c r="L1226" t="s">
        <v>550</v>
      </c>
      <c r="M1226" t="s">
        <v>535</v>
      </c>
      <c r="Q1226" t="s">
        <v>468</v>
      </c>
      <c r="R1226" t="s">
        <v>4</v>
      </c>
      <c r="S1226" t="s">
        <v>46</v>
      </c>
    </row>
    <row r="1227" spans="1:19" x14ac:dyDescent="0.3">
      <c r="A1227" s="2" t="s">
        <v>168</v>
      </c>
      <c r="B1227" s="4" t="s">
        <v>397</v>
      </c>
      <c r="C1227" s="3" t="s">
        <v>54</v>
      </c>
      <c r="D1227" t="s">
        <v>528</v>
      </c>
      <c r="G1227">
        <v>5</v>
      </c>
      <c r="H1227" t="s">
        <v>514</v>
      </c>
      <c r="K1227">
        <v>1827.1513353115699</v>
      </c>
      <c r="L1227" t="s">
        <v>550</v>
      </c>
      <c r="M1227" t="s">
        <v>535</v>
      </c>
      <c r="Q1227" t="s">
        <v>468</v>
      </c>
      <c r="R1227" t="s">
        <v>4</v>
      </c>
      <c r="S1227" t="s">
        <v>46</v>
      </c>
    </row>
    <row r="1228" spans="1:19" x14ac:dyDescent="0.3">
      <c r="A1228" s="2" t="s">
        <v>168</v>
      </c>
      <c r="B1228" s="4" t="s">
        <v>397</v>
      </c>
      <c r="C1228" s="3" t="s">
        <v>54</v>
      </c>
      <c r="D1228" t="s">
        <v>528</v>
      </c>
      <c r="G1228">
        <v>6</v>
      </c>
      <c r="H1228" t="s">
        <v>514</v>
      </c>
      <c r="K1228">
        <v>1782.6409495548901</v>
      </c>
      <c r="L1228" t="s">
        <v>550</v>
      </c>
      <c r="M1228" t="s">
        <v>535</v>
      </c>
      <c r="Q1228" t="s">
        <v>468</v>
      </c>
      <c r="R1228" t="s">
        <v>4</v>
      </c>
      <c r="S1228" t="s">
        <v>46</v>
      </c>
    </row>
    <row r="1229" spans="1:19" x14ac:dyDescent="0.3">
      <c r="A1229" s="2" t="s">
        <v>168</v>
      </c>
      <c r="B1229" s="4" t="s">
        <v>397</v>
      </c>
      <c r="C1229" s="3" t="s">
        <v>54</v>
      </c>
      <c r="D1229" t="s">
        <v>528</v>
      </c>
      <c r="G1229">
        <v>7</v>
      </c>
      <c r="H1229" t="s">
        <v>514</v>
      </c>
      <c r="K1229">
        <v>1816.0237388723999</v>
      </c>
      <c r="L1229" t="s">
        <v>550</v>
      </c>
      <c r="M1229" t="s">
        <v>535</v>
      </c>
      <c r="Q1229" t="s">
        <v>468</v>
      </c>
      <c r="R1229" t="s">
        <v>4</v>
      </c>
      <c r="S1229" t="s">
        <v>46</v>
      </c>
    </row>
    <row r="1230" spans="1:19" x14ac:dyDescent="0.3">
      <c r="A1230" s="2" t="s">
        <v>168</v>
      </c>
      <c r="B1230" s="4" t="s">
        <v>397</v>
      </c>
      <c r="C1230" s="3" t="s">
        <v>54</v>
      </c>
      <c r="D1230" t="s">
        <v>528</v>
      </c>
      <c r="G1230">
        <v>8</v>
      </c>
      <c r="H1230" t="s">
        <v>514</v>
      </c>
      <c r="K1230">
        <v>1838.27893175074</v>
      </c>
      <c r="L1230" t="s">
        <v>550</v>
      </c>
      <c r="M1230" t="s">
        <v>535</v>
      </c>
      <c r="Q1230" t="s">
        <v>468</v>
      </c>
      <c r="R1230" t="s">
        <v>4</v>
      </c>
      <c r="S1230" t="s">
        <v>46</v>
      </c>
    </row>
    <row r="1231" spans="1:19" x14ac:dyDescent="0.3">
      <c r="A1231" s="2" t="s">
        <v>168</v>
      </c>
      <c r="B1231" s="4" t="s">
        <v>397</v>
      </c>
      <c r="C1231" s="3" t="s">
        <v>54</v>
      </c>
      <c r="D1231" t="s">
        <v>528</v>
      </c>
      <c r="G1231">
        <v>12</v>
      </c>
      <c r="H1231" t="s">
        <v>514</v>
      </c>
      <c r="K1231">
        <v>1698.07121661721</v>
      </c>
      <c r="L1231" t="s">
        <v>550</v>
      </c>
      <c r="M1231" t="s">
        <v>535</v>
      </c>
      <c r="Q1231" t="s">
        <v>468</v>
      </c>
      <c r="R1231" t="s">
        <v>4</v>
      </c>
      <c r="S1231" t="s">
        <v>46</v>
      </c>
    </row>
    <row r="1232" spans="1:19" x14ac:dyDescent="0.3">
      <c r="A1232" s="2" t="s">
        <v>168</v>
      </c>
      <c r="B1232" s="4" t="s">
        <v>397</v>
      </c>
      <c r="C1232" s="3" t="s">
        <v>54</v>
      </c>
      <c r="D1232" t="s">
        <v>528</v>
      </c>
      <c r="G1232">
        <v>16</v>
      </c>
      <c r="H1232" t="s">
        <v>514</v>
      </c>
      <c r="K1232">
        <v>1555.6379821958401</v>
      </c>
      <c r="L1232" t="s">
        <v>550</v>
      </c>
      <c r="M1232" t="s">
        <v>535</v>
      </c>
      <c r="Q1232" t="s">
        <v>468</v>
      </c>
      <c r="R1232" t="s">
        <v>4</v>
      </c>
      <c r="S1232" t="s">
        <v>46</v>
      </c>
    </row>
    <row r="1233" spans="1:19" x14ac:dyDescent="0.3">
      <c r="A1233" s="2" t="s">
        <v>168</v>
      </c>
      <c r="B1233" s="4" t="s">
        <v>397</v>
      </c>
      <c r="C1233" s="3" t="s">
        <v>54</v>
      </c>
      <c r="D1233" t="s">
        <v>528</v>
      </c>
      <c r="G1233">
        <v>20</v>
      </c>
      <c r="H1233" t="s">
        <v>514</v>
      </c>
      <c r="K1233">
        <v>1393.1750741839701</v>
      </c>
      <c r="L1233" t="s">
        <v>550</v>
      </c>
      <c r="M1233" t="s">
        <v>535</v>
      </c>
      <c r="Q1233" t="s">
        <v>468</v>
      </c>
      <c r="R1233" t="s">
        <v>4</v>
      </c>
      <c r="S1233" t="s">
        <v>46</v>
      </c>
    </row>
    <row r="1234" spans="1:19" x14ac:dyDescent="0.3">
      <c r="A1234" s="2" t="s">
        <v>168</v>
      </c>
      <c r="B1234" s="4" t="s">
        <v>397</v>
      </c>
      <c r="C1234" s="3" t="s">
        <v>54</v>
      </c>
      <c r="D1234" t="s">
        <v>528</v>
      </c>
      <c r="G1234">
        <v>24</v>
      </c>
      <c r="H1234" t="s">
        <v>514</v>
      </c>
      <c r="K1234">
        <v>1123.8872403560799</v>
      </c>
      <c r="L1234" t="s">
        <v>550</v>
      </c>
      <c r="M1234" t="s">
        <v>535</v>
      </c>
      <c r="Q1234" t="s">
        <v>468</v>
      </c>
      <c r="R1234" t="s">
        <v>4</v>
      </c>
      <c r="S1234" t="s">
        <v>46</v>
      </c>
    </row>
    <row r="1235" spans="1:19" x14ac:dyDescent="0.3">
      <c r="A1235" s="2" t="s">
        <v>168</v>
      </c>
      <c r="B1235" s="4" t="s">
        <v>397</v>
      </c>
      <c r="C1235" s="3" t="s">
        <v>54</v>
      </c>
      <c r="D1235" t="s">
        <v>528</v>
      </c>
      <c r="G1235">
        <v>30</v>
      </c>
      <c r="H1235" t="s">
        <v>514</v>
      </c>
      <c r="K1235">
        <v>816.76557863501398</v>
      </c>
      <c r="L1235" t="s">
        <v>550</v>
      </c>
      <c r="M1235" t="s">
        <v>535</v>
      </c>
      <c r="Q1235" t="s">
        <v>468</v>
      </c>
      <c r="R1235" t="s">
        <v>4</v>
      </c>
      <c r="S1235" t="s">
        <v>46</v>
      </c>
    </row>
    <row r="1236" spans="1:19" x14ac:dyDescent="0.3">
      <c r="A1236" s="2" t="s">
        <v>168</v>
      </c>
      <c r="B1236" s="4" t="s">
        <v>397</v>
      </c>
      <c r="C1236" s="3" t="s">
        <v>54</v>
      </c>
      <c r="D1236" t="s">
        <v>528</v>
      </c>
      <c r="G1236">
        <v>36</v>
      </c>
      <c r="H1236" t="s">
        <v>514</v>
      </c>
      <c r="K1236">
        <v>672.106824925816</v>
      </c>
      <c r="L1236" t="s">
        <v>550</v>
      </c>
      <c r="M1236" t="s">
        <v>535</v>
      </c>
      <c r="Q1236" t="s">
        <v>468</v>
      </c>
      <c r="R1236" t="s">
        <v>4</v>
      </c>
      <c r="S1236" t="s">
        <v>46</v>
      </c>
    </row>
    <row r="1237" spans="1:19" x14ac:dyDescent="0.3">
      <c r="A1237" s="2" t="s">
        <v>168</v>
      </c>
      <c r="B1237" s="4" t="s">
        <v>397</v>
      </c>
      <c r="C1237" s="3" t="s">
        <v>54</v>
      </c>
      <c r="D1237" t="s">
        <v>528</v>
      </c>
      <c r="G1237">
        <v>144</v>
      </c>
      <c r="H1237" t="s">
        <v>514</v>
      </c>
      <c r="K1237">
        <v>8.9020771513350994</v>
      </c>
      <c r="L1237" t="s">
        <v>550</v>
      </c>
      <c r="M1237" t="s">
        <v>535</v>
      </c>
      <c r="Q1237" t="s">
        <v>468</v>
      </c>
      <c r="R1237" t="s">
        <v>4</v>
      </c>
      <c r="S1237" t="s">
        <v>46</v>
      </c>
    </row>
    <row r="1238" spans="1:19" x14ac:dyDescent="0.3">
      <c r="A1238" s="2" t="s">
        <v>169</v>
      </c>
      <c r="B1238" s="4" t="s">
        <v>398</v>
      </c>
      <c r="C1238" s="3" t="s">
        <v>54</v>
      </c>
      <c r="D1238" t="s">
        <v>528</v>
      </c>
      <c r="G1238">
        <v>0.5</v>
      </c>
      <c r="H1238" t="s">
        <v>514</v>
      </c>
      <c r="K1238">
        <v>287.091988130564</v>
      </c>
      <c r="L1238" t="s">
        <v>550</v>
      </c>
      <c r="M1238" t="s">
        <v>535</v>
      </c>
      <c r="Q1238" t="s">
        <v>468</v>
      </c>
      <c r="R1238" t="s">
        <v>4</v>
      </c>
      <c r="S1238" t="s">
        <v>46</v>
      </c>
    </row>
    <row r="1239" spans="1:19" x14ac:dyDescent="0.3">
      <c r="A1239" s="2" t="s">
        <v>169</v>
      </c>
      <c r="B1239" s="4" t="s">
        <v>398</v>
      </c>
      <c r="C1239" s="3" t="s">
        <v>54</v>
      </c>
      <c r="D1239" t="s">
        <v>528</v>
      </c>
      <c r="G1239">
        <v>1</v>
      </c>
      <c r="H1239" t="s">
        <v>514</v>
      </c>
      <c r="K1239">
        <v>781.15727002967299</v>
      </c>
      <c r="L1239" t="s">
        <v>550</v>
      </c>
      <c r="M1239" t="s">
        <v>535</v>
      </c>
      <c r="Q1239" t="s">
        <v>468</v>
      </c>
      <c r="R1239" t="s">
        <v>4</v>
      </c>
      <c r="S1239" t="s">
        <v>46</v>
      </c>
    </row>
    <row r="1240" spans="1:19" x14ac:dyDescent="0.3">
      <c r="A1240" s="2" t="s">
        <v>169</v>
      </c>
      <c r="B1240" s="4" t="s">
        <v>398</v>
      </c>
      <c r="C1240" s="3" t="s">
        <v>54</v>
      </c>
      <c r="D1240" t="s">
        <v>528</v>
      </c>
      <c r="G1240">
        <v>2</v>
      </c>
      <c r="H1240" t="s">
        <v>514</v>
      </c>
      <c r="K1240">
        <v>1738.13056379821</v>
      </c>
      <c r="L1240" t="s">
        <v>550</v>
      </c>
      <c r="M1240" t="s">
        <v>535</v>
      </c>
      <c r="Q1240" t="s">
        <v>468</v>
      </c>
      <c r="R1240" t="s">
        <v>4</v>
      </c>
      <c r="S1240" t="s">
        <v>46</v>
      </c>
    </row>
    <row r="1241" spans="1:19" x14ac:dyDescent="0.3">
      <c r="A1241" s="2" t="s">
        <v>169</v>
      </c>
      <c r="B1241" s="4" t="s">
        <v>398</v>
      </c>
      <c r="C1241" s="3" t="s">
        <v>54</v>
      </c>
      <c r="D1241" t="s">
        <v>528</v>
      </c>
      <c r="G1241">
        <v>3</v>
      </c>
      <c r="H1241" t="s">
        <v>514</v>
      </c>
      <c r="K1241">
        <v>2129.8219584569702</v>
      </c>
      <c r="L1241" t="s">
        <v>550</v>
      </c>
      <c r="M1241" t="s">
        <v>535</v>
      </c>
      <c r="Q1241" t="s">
        <v>468</v>
      </c>
      <c r="R1241" t="s">
        <v>4</v>
      </c>
      <c r="S1241" t="s">
        <v>46</v>
      </c>
    </row>
    <row r="1242" spans="1:19" x14ac:dyDescent="0.3">
      <c r="A1242" s="2" t="s">
        <v>169</v>
      </c>
      <c r="B1242" s="4" t="s">
        <v>398</v>
      </c>
      <c r="C1242" s="3" t="s">
        <v>54</v>
      </c>
      <c r="D1242" t="s">
        <v>528</v>
      </c>
      <c r="G1242">
        <v>4</v>
      </c>
      <c r="H1242" t="s">
        <v>514</v>
      </c>
      <c r="K1242">
        <v>2494.80712166172</v>
      </c>
      <c r="L1242" t="s">
        <v>550</v>
      </c>
      <c r="M1242" t="s">
        <v>535</v>
      </c>
      <c r="Q1242" t="s">
        <v>468</v>
      </c>
      <c r="R1242" t="s">
        <v>4</v>
      </c>
      <c r="S1242" t="s">
        <v>46</v>
      </c>
    </row>
    <row r="1243" spans="1:19" x14ac:dyDescent="0.3">
      <c r="A1243" s="2" t="s">
        <v>169</v>
      </c>
      <c r="B1243" s="4" t="s">
        <v>398</v>
      </c>
      <c r="C1243" s="3" t="s">
        <v>54</v>
      </c>
      <c r="D1243" t="s">
        <v>528</v>
      </c>
      <c r="G1243">
        <v>5</v>
      </c>
      <c r="H1243" t="s">
        <v>514</v>
      </c>
      <c r="K1243">
        <v>2681.7507418397599</v>
      </c>
      <c r="L1243" t="s">
        <v>550</v>
      </c>
      <c r="M1243" t="s">
        <v>535</v>
      </c>
      <c r="Q1243" t="s">
        <v>468</v>
      </c>
      <c r="R1243" t="s">
        <v>4</v>
      </c>
      <c r="S1243" t="s">
        <v>46</v>
      </c>
    </row>
    <row r="1244" spans="1:19" x14ac:dyDescent="0.3">
      <c r="A1244" s="2" t="s">
        <v>169</v>
      </c>
      <c r="B1244" s="4" t="s">
        <v>398</v>
      </c>
      <c r="C1244" s="3" t="s">
        <v>54</v>
      </c>
      <c r="D1244" t="s">
        <v>528</v>
      </c>
      <c r="G1244">
        <v>6</v>
      </c>
      <c r="H1244" t="s">
        <v>514</v>
      </c>
      <c r="K1244">
        <v>2570.4747774480702</v>
      </c>
      <c r="L1244" t="s">
        <v>550</v>
      </c>
      <c r="M1244" t="s">
        <v>535</v>
      </c>
      <c r="Q1244" t="s">
        <v>468</v>
      </c>
      <c r="R1244" t="s">
        <v>4</v>
      </c>
      <c r="S1244" t="s">
        <v>46</v>
      </c>
    </row>
    <row r="1245" spans="1:19" x14ac:dyDescent="0.3">
      <c r="A1245" s="2" t="s">
        <v>169</v>
      </c>
      <c r="B1245" s="4" t="s">
        <v>398</v>
      </c>
      <c r="C1245" s="3" t="s">
        <v>54</v>
      </c>
      <c r="D1245" t="s">
        <v>528</v>
      </c>
      <c r="G1245">
        <v>7</v>
      </c>
      <c r="H1245" t="s">
        <v>514</v>
      </c>
      <c r="K1245">
        <v>2528.1899109792198</v>
      </c>
      <c r="L1245" t="s">
        <v>550</v>
      </c>
      <c r="M1245" t="s">
        <v>535</v>
      </c>
      <c r="Q1245" t="s">
        <v>468</v>
      </c>
      <c r="R1245" t="s">
        <v>4</v>
      </c>
      <c r="S1245" t="s">
        <v>46</v>
      </c>
    </row>
    <row r="1246" spans="1:19" x14ac:dyDescent="0.3">
      <c r="A1246" s="2" t="s">
        <v>169</v>
      </c>
      <c r="B1246" s="4" t="s">
        <v>398</v>
      </c>
      <c r="C1246" s="3" t="s">
        <v>54</v>
      </c>
      <c r="D1246" t="s">
        <v>528</v>
      </c>
      <c r="G1246">
        <v>8</v>
      </c>
      <c r="H1246" t="s">
        <v>514</v>
      </c>
      <c r="K1246">
        <v>2512.6112759643902</v>
      </c>
      <c r="L1246" t="s">
        <v>550</v>
      </c>
      <c r="M1246" t="s">
        <v>535</v>
      </c>
      <c r="Q1246" t="s">
        <v>468</v>
      </c>
      <c r="R1246" t="s">
        <v>4</v>
      </c>
      <c r="S1246" t="s">
        <v>46</v>
      </c>
    </row>
    <row r="1247" spans="1:19" x14ac:dyDescent="0.3">
      <c r="A1247" s="2" t="s">
        <v>169</v>
      </c>
      <c r="B1247" s="4" t="s">
        <v>398</v>
      </c>
      <c r="C1247" s="3" t="s">
        <v>54</v>
      </c>
      <c r="D1247" t="s">
        <v>528</v>
      </c>
      <c r="G1247">
        <v>12</v>
      </c>
      <c r="H1247" t="s">
        <v>514</v>
      </c>
      <c r="K1247">
        <v>2325.6676557863502</v>
      </c>
      <c r="L1247" t="s">
        <v>550</v>
      </c>
      <c r="M1247" t="s">
        <v>535</v>
      </c>
      <c r="Q1247" t="s">
        <v>468</v>
      </c>
      <c r="R1247" t="s">
        <v>4</v>
      </c>
      <c r="S1247" t="s">
        <v>46</v>
      </c>
    </row>
    <row r="1248" spans="1:19" x14ac:dyDescent="0.3">
      <c r="A1248" s="2" t="s">
        <v>169</v>
      </c>
      <c r="B1248" s="4" t="s">
        <v>398</v>
      </c>
      <c r="C1248" s="3" t="s">
        <v>54</v>
      </c>
      <c r="D1248" t="s">
        <v>528</v>
      </c>
      <c r="G1248">
        <v>16</v>
      </c>
      <c r="H1248" t="s">
        <v>514</v>
      </c>
      <c r="K1248">
        <v>2185.45994065281</v>
      </c>
      <c r="L1248" t="s">
        <v>550</v>
      </c>
      <c r="M1248" t="s">
        <v>535</v>
      </c>
      <c r="Q1248" t="s">
        <v>468</v>
      </c>
      <c r="R1248" t="s">
        <v>4</v>
      </c>
      <c r="S1248" t="s">
        <v>46</v>
      </c>
    </row>
    <row r="1249" spans="1:19" x14ac:dyDescent="0.3">
      <c r="A1249" s="2" t="s">
        <v>169</v>
      </c>
      <c r="B1249" s="4" t="s">
        <v>398</v>
      </c>
      <c r="C1249" s="3" t="s">
        <v>54</v>
      </c>
      <c r="D1249" t="s">
        <v>528</v>
      </c>
      <c r="G1249">
        <v>20</v>
      </c>
      <c r="H1249" t="s">
        <v>514</v>
      </c>
      <c r="K1249">
        <v>2031.8991097922799</v>
      </c>
      <c r="L1249" t="s">
        <v>550</v>
      </c>
      <c r="M1249" t="s">
        <v>535</v>
      </c>
      <c r="Q1249" t="s">
        <v>468</v>
      </c>
      <c r="R1249" t="s">
        <v>4</v>
      </c>
      <c r="S1249" t="s">
        <v>46</v>
      </c>
    </row>
    <row r="1250" spans="1:19" x14ac:dyDescent="0.3">
      <c r="A1250" s="2" t="s">
        <v>169</v>
      </c>
      <c r="B1250" s="4" t="s">
        <v>398</v>
      </c>
      <c r="C1250" s="3" t="s">
        <v>54</v>
      </c>
      <c r="D1250" t="s">
        <v>528</v>
      </c>
      <c r="G1250">
        <v>24</v>
      </c>
      <c r="H1250" t="s">
        <v>514</v>
      </c>
      <c r="K1250">
        <v>1744.80712166172</v>
      </c>
      <c r="L1250" t="s">
        <v>550</v>
      </c>
      <c r="M1250" t="s">
        <v>535</v>
      </c>
      <c r="Q1250" t="s">
        <v>468</v>
      </c>
      <c r="R1250" t="s">
        <v>4</v>
      </c>
      <c r="S1250" t="s">
        <v>46</v>
      </c>
    </row>
    <row r="1251" spans="1:19" x14ac:dyDescent="0.3">
      <c r="A1251" s="2" t="s">
        <v>169</v>
      </c>
      <c r="B1251" s="4" t="s">
        <v>398</v>
      </c>
      <c r="C1251" s="3" t="s">
        <v>54</v>
      </c>
      <c r="D1251" t="s">
        <v>528</v>
      </c>
      <c r="G1251">
        <v>30</v>
      </c>
      <c r="H1251" t="s">
        <v>514</v>
      </c>
      <c r="K1251">
        <v>1339.7626112759599</v>
      </c>
      <c r="L1251" t="s">
        <v>550</v>
      </c>
      <c r="M1251" t="s">
        <v>535</v>
      </c>
      <c r="Q1251" t="s">
        <v>468</v>
      </c>
      <c r="R1251" t="s">
        <v>4</v>
      </c>
      <c r="S1251" t="s">
        <v>46</v>
      </c>
    </row>
    <row r="1252" spans="1:19" x14ac:dyDescent="0.3">
      <c r="A1252" s="2" t="s">
        <v>169</v>
      </c>
      <c r="B1252" s="4" t="s">
        <v>398</v>
      </c>
      <c r="C1252" s="3" t="s">
        <v>54</v>
      </c>
      <c r="D1252" t="s">
        <v>528</v>
      </c>
      <c r="G1252">
        <v>36</v>
      </c>
      <c r="H1252" t="s">
        <v>514</v>
      </c>
      <c r="K1252">
        <v>1166.1721068249201</v>
      </c>
      <c r="L1252" t="s">
        <v>550</v>
      </c>
      <c r="M1252" t="s">
        <v>535</v>
      </c>
      <c r="Q1252" t="s">
        <v>468</v>
      </c>
      <c r="R1252" t="s">
        <v>4</v>
      </c>
      <c r="S1252" t="s">
        <v>46</v>
      </c>
    </row>
    <row r="1253" spans="1:19" x14ac:dyDescent="0.3">
      <c r="A1253" s="2" t="s">
        <v>169</v>
      </c>
      <c r="B1253" s="4" t="s">
        <v>398</v>
      </c>
      <c r="C1253" s="3" t="s">
        <v>54</v>
      </c>
      <c r="D1253" t="s">
        <v>528</v>
      </c>
      <c r="G1253">
        <v>144</v>
      </c>
      <c r="H1253" t="s">
        <v>514</v>
      </c>
      <c r="K1253">
        <v>20.0296735905053</v>
      </c>
      <c r="L1253" t="s">
        <v>550</v>
      </c>
      <c r="M1253" t="s">
        <v>535</v>
      </c>
      <c r="Q1253" t="s">
        <v>468</v>
      </c>
      <c r="R1253" t="s">
        <v>4</v>
      </c>
      <c r="S1253" t="s">
        <v>46</v>
      </c>
    </row>
    <row r="1254" spans="1:19" x14ac:dyDescent="0.3">
      <c r="A1254" s="2" t="s">
        <v>170</v>
      </c>
      <c r="B1254" s="4" t="s">
        <v>399</v>
      </c>
      <c r="C1254" s="3" t="s">
        <v>54</v>
      </c>
      <c r="D1254" t="s">
        <v>528</v>
      </c>
      <c r="G1254">
        <v>0.5</v>
      </c>
      <c r="H1254" t="s">
        <v>514</v>
      </c>
      <c r="K1254">
        <v>431.75074183976199</v>
      </c>
      <c r="L1254" t="s">
        <v>550</v>
      </c>
      <c r="M1254" t="s">
        <v>535</v>
      </c>
      <c r="Q1254" t="s">
        <v>468</v>
      </c>
      <c r="R1254" t="s">
        <v>4</v>
      </c>
      <c r="S1254" t="s">
        <v>46</v>
      </c>
    </row>
    <row r="1255" spans="1:19" x14ac:dyDescent="0.3">
      <c r="A1255" s="2" t="s">
        <v>170</v>
      </c>
      <c r="B1255" s="4" t="s">
        <v>399</v>
      </c>
      <c r="C1255" s="3" t="s">
        <v>54</v>
      </c>
      <c r="D1255" t="s">
        <v>528</v>
      </c>
      <c r="G1255">
        <v>1</v>
      </c>
      <c r="H1255" t="s">
        <v>514</v>
      </c>
      <c r="K1255">
        <v>1019.28783382789</v>
      </c>
      <c r="L1255" t="s">
        <v>550</v>
      </c>
      <c r="M1255" t="s">
        <v>535</v>
      </c>
      <c r="Q1255" t="s">
        <v>468</v>
      </c>
      <c r="R1255" t="s">
        <v>4</v>
      </c>
      <c r="S1255" t="s">
        <v>46</v>
      </c>
    </row>
    <row r="1256" spans="1:19" x14ac:dyDescent="0.3">
      <c r="A1256" s="2" t="s">
        <v>170</v>
      </c>
      <c r="B1256" s="4" t="s">
        <v>399</v>
      </c>
      <c r="C1256" s="3" t="s">
        <v>54</v>
      </c>
      <c r="D1256" t="s">
        <v>528</v>
      </c>
      <c r="G1256">
        <v>2</v>
      </c>
      <c r="H1256" t="s">
        <v>514</v>
      </c>
      <c r="K1256">
        <v>2020.7715133531101</v>
      </c>
      <c r="L1256" t="s">
        <v>550</v>
      </c>
      <c r="M1256" t="s">
        <v>535</v>
      </c>
      <c r="Q1256" t="s">
        <v>468</v>
      </c>
      <c r="R1256" t="s">
        <v>4</v>
      </c>
      <c r="S1256" t="s">
        <v>46</v>
      </c>
    </row>
    <row r="1257" spans="1:19" x14ac:dyDescent="0.3">
      <c r="A1257" s="2" t="s">
        <v>170</v>
      </c>
      <c r="B1257" s="4" t="s">
        <v>399</v>
      </c>
      <c r="C1257" s="3" t="s">
        <v>54</v>
      </c>
      <c r="D1257" t="s">
        <v>528</v>
      </c>
      <c r="G1257">
        <v>3</v>
      </c>
      <c r="H1257" t="s">
        <v>514</v>
      </c>
      <c r="K1257">
        <v>2566.0237388723999</v>
      </c>
      <c r="L1257" t="s">
        <v>550</v>
      </c>
      <c r="M1257" t="s">
        <v>535</v>
      </c>
      <c r="Q1257" t="s">
        <v>468</v>
      </c>
      <c r="R1257" t="s">
        <v>4</v>
      </c>
      <c r="S1257" t="s">
        <v>46</v>
      </c>
    </row>
    <row r="1258" spans="1:19" x14ac:dyDescent="0.3">
      <c r="A1258" s="2" t="s">
        <v>170</v>
      </c>
      <c r="B1258" s="4" t="s">
        <v>399</v>
      </c>
      <c r="C1258" s="3" t="s">
        <v>54</v>
      </c>
      <c r="D1258" t="s">
        <v>528</v>
      </c>
      <c r="G1258">
        <v>4</v>
      </c>
      <c r="H1258" t="s">
        <v>514</v>
      </c>
      <c r="K1258">
        <v>2797.47774480712</v>
      </c>
      <c r="L1258" t="s">
        <v>550</v>
      </c>
      <c r="M1258" t="s">
        <v>535</v>
      </c>
      <c r="Q1258" t="s">
        <v>468</v>
      </c>
      <c r="R1258" t="s">
        <v>4</v>
      </c>
      <c r="S1258" t="s">
        <v>46</v>
      </c>
    </row>
    <row r="1259" spans="1:19" x14ac:dyDescent="0.3">
      <c r="A1259" s="2" t="s">
        <v>170</v>
      </c>
      <c r="B1259" s="4" t="s">
        <v>399</v>
      </c>
      <c r="C1259" s="3" t="s">
        <v>54</v>
      </c>
      <c r="D1259" t="s">
        <v>528</v>
      </c>
      <c r="G1259">
        <v>5</v>
      </c>
      <c r="H1259" t="s">
        <v>514</v>
      </c>
      <c r="K1259">
        <v>2663.9465875370902</v>
      </c>
      <c r="L1259" t="s">
        <v>550</v>
      </c>
      <c r="M1259" t="s">
        <v>535</v>
      </c>
      <c r="Q1259" t="s">
        <v>468</v>
      </c>
      <c r="R1259" t="s">
        <v>4</v>
      </c>
      <c r="S1259" t="s">
        <v>46</v>
      </c>
    </row>
    <row r="1260" spans="1:19" x14ac:dyDescent="0.3">
      <c r="A1260" s="2" t="s">
        <v>170</v>
      </c>
      <c r="B1260" s="4" t="s">
        <v>399</v>
      </c>
      <c r="C1260" s="3" t="s">
        <v>54</v>
      </c>
      <c r="D1260" t="s">
        <v>528</v>
      </c>
      <c r="G1260">
        <v>6</v>
      </c>
      <c r="H1260" t="s">
        <v>514</v>
      </c>
      <c r="K1260">
        <v>2570.4747774480702</v>
      </c>
      <c r="L1260" t="s">
        <v>550</v>
      </c>
      <c r="M1260" t="s">
        <v>535</v>
      </c>
      <c r="Q1260" t="s">
        <v>468</v>
      </c>
      <c r="R1260" t="s">
        <v>4</v>
      </c>
      <c r="S1260" t="s">
        <v>46</v>
      </c>
    </row>
    <row r="1261" spans="1:19" x14ac:dyDescent="0.3">
      <c r="A1261" s="2" t="s">
        <v>170</v>
      </c>
      <c r="B1261" s="4" t="s">
        <v>399</v>
      </c>
      <c r="C1261" s="3" t="s">
        <v>54</v>
      </c>
      <c r="D1261" t="s">
        <v>528</v>
      </c>
      <c r="G1261">
        <v>7</v>
      </c>
      <c r="H1261" t="s">
        <v>514</v>
      </c>
      <c r="K1261">
        <v>2490.3560830860501</v>
      </c>
      <c r="L1261" t="s">
        <v>550</v>
      </c>
      <c r="M1261" t="s">
        <v>535</v>
      </c>
      <c r="Q1261" t="s">
        <v>468</v>
      </c>
      <c r="R1261" t="s">
        <v>4</v>
      </c>
      <c r="S1261" t="s">
        <v>46</v>
      </c>
    </row>
    <row r="1262" spans="1:19" x14ac:dyDescent="0.3">
      <c r="A1262" s="2" t="s">
        <v>170</v>
      </c>
      <c r="B1262" s="4" t="s">
        <v>399</v>
      </c>
      <c r="C1262" s="3" t="s">
        <v>54</v>
      </c>
      <c r="D1262" t="s">
        <v>528</v>
      </c>
      <c r="G1262">
        <v>8</v>
      </c>
      <c r="H1262" t="s">
        <v>514</v>
      </c>
      <c r="K1262">
        <v>2523.73887240356</v>
      </c>
      <c r="L1262" t="s">
        <v>550</v>
      </c>
      <c r="M1262" t="s">
        <v>535</v>
      </c>
      <c r="Q1262" t="s">
        <v>468</v>
      </c>
      <c r="R1262" t="s">
        <v>4</v>
      </c>
      <c r="S1262" t="s">
        <v>46</v>
      </c>
    </row>
    <row r="1263" spans="1:19" x14ac:dyDescent="0.3">
      <c r="A1263" s="2" t="s">
        <v>170</v>
      </c>
      <c r="B1263" s="4" t="s">
        <v>399</v>
      </c>
      <c r="C1263" s="3" t="s">
        <v>54</v>
      </c>
      <c r="D1263" t="s">
        <v>528</v>
      </c>
      <c r="G1263">
        <v>12</v>
      </c>
      <c r="H1263" t="s">
        <v>514</v>
      </c>
      <c r="K1263">
        <v>2405.7863501483598</v>
      </c>
      <c r="L1263" t="s">
        <v>550</v>
      </c>
      <c r="M1263" t="s">
        <v>535</v>
      </c>
      <c r="Q1263" t="s">
        <v>468</v>
      </c>
      <c r="R1263" t="s">
        <v>4</v>
      </c>
      <c r="S1263" t="s">
        <v>46</v>
      </c>
    </row>
    <row r="1264" spans="1:19" x14ac:dyDescent="0.3">
      <c r="A1264" s="2" t="s">
        <v>170</v>
      </c>
      <c r="B1264" s="4" t="s">
        <v>399</v>
      </c>
      <c r="C1264" s="3" t="s">
        <v>54</v>
      </c>
      <c r="D1264" t="s">
        <v>528</v>
      </c>
      <c r="G1264">
        <v>16</v>
      </c>
      <c r="H1264" t="s">
        <v>514</v>
      </c>
      <c r="K1264">
        <v>2290.0593471809998</v>
      </c>
      <c r="L1264" t="s">
        <v>550</v>
      </c>
      <c r="M1264" t="s">
        <v>535</v>
      </c>
      <c r="Q1264" t="s">
        <v>468</v>
      </c>
      <c r="R1264" t="s">
        <v>4</v>
      </c>
      <c r="S1264" t="s">
        <v>46</v>
      </c>
    </row>
    <row r="1265" spans="1:19" x14ac:dyDescent="0.3">
      <c r="A1265" s="2" t="s">
        <v>170</v>
      </c>
      <c r="B1265" s="4" t="s">
        <v>399</v>
      </c>
      <c r="C1265" s="3" t="s">
        <v>54</v>
      </c>
      <c r="D1265" t="s">
        <v>528</v>
      </c>
      <c r="G1265">
        <v>20</v>
      </c>
      <c r="H1265" t="s">
        <v>514</v>
      </c>
      <c r="K1265">
        <v>2060.8308605341199</v>
      </c>
      <c r="L1265" t="s">
        <v>550</v>
      </c>
      <c r="M1265" t="s">
        <v>535</v>
      </c>
      <c r="Q1265" t="s">
        <v>468</v>
      </c>
      <c r="R1265" t="s">
        <v>4</v>
      </c>
      <c r="S1265" t="s">
        <v>46</v>
      </c>
    </row>
    <row r="1266" spans="1:19" x14ac:dyDescent="0.3">
      <c r="A1266" s="2" t="s">
        <v>170</v>
      </c>
      <c r="B1266" s="4" t="s">
        <v>399</v>
      </c>
      <c r="C1266" s="3" t="s">
        <v>54</v>
      </c>
      <c r="D1266" t="s">
        <v>528</v>
      </c>
      <c r="G1266">
        <v>24</v>
      </c>
      <c r="H1266" t="s">
        <v>514</v>
      </c>
      <c r="K1266">
        <v>1727.00296735905</v>
      </c>
      <c r="L1266" t="s">
        <v>550</v>
      </c>
      <c r="M1266" t="s">
        <v>535</v>
      </c>
      <c r="Q1266" t="s">
        <v>468</v>
      </c>
      <c r="R1266" t="s">
        <v>4</v>
      </c>
      <c r="S1266" t="s">
        <v>46</v>
      </c>
    </row>
    <row r="1267" spans="1:19" x14ac:dyDescent="0.3">
      <c r="A1267" s="2" t="s">
        <v>170</v>
      </c>
      <c r="B1267" s="4" t="s">
        <v>399</v>
      </c>
      <c r="C1267" s="3" t="s">
        <v>54</v>
      </c>
      <c r="D1267" t="s">
        <v>528</v>
      </c>
      <c r="G1267">
        <v>30</v>
      </c>
      <c r="H1267" t="s">
        <v>514</v>
      </c>
      <c r="K1267">
        <v>1306.3798219584501</v>
      </c>
      <c r="L1267" t="s">
        <v>550</v>
      </c>
      <c r="M1267" t="s">
        <v>535</v>
      </c>
      <c r="Q1267" t="s">
        <v>468</v>
      </c>
      <c r="R1267" t="s">
        <v>4</v>
      </c>
      <c r="S1267" t="s">
        <v>46</v>
      </c>
    </row>
    <row r="1268" spans="1:19" x14ac:dyDescent="0.3">
      <c r="A1268" s="2" t="s">
        <v>170</v>
      </c>
      <c r="B1268" s="4" t="s">
        <v>399</v>
      </c>
      <c r="C1268" s="3" t="s">
        <v>54</v>
      </c>
      <c r="D1268" t="s">
        <v>528</v>
      </c>
      <c r="G1268">
        <v>36</v>
      </c>
      <c r="H1268" t="s">
        <v>514</v>
      </c>
      <c r="K1268">
        <v>1117.21068249258</v>
      </c>
      <c r="L1268" t="s">
        <v>550</v>
      </c>
      <c r="M1268" t="s">
        <v>535</v>
      </c>
      <c r="Q1268" t="s">
        <v>468</v>
      </c>
      <c r="R1268" t="s">
        <v>4</v>
      </c>
      <c r="S1268" t="s">
        <v>46</v>
      </c>
    </row>
    <row r="1269" spans="1:19" x14ac:dyDescent="0.3">
      <c r="A1269" s="2" t="s">
        <v>170</v>
      </c>
      <c r="B1269" s="4" t="s">
        <v>399</v>
      </c>
      <c r="C1269" s="3" t="s">
        <v>54</v>
      </c>
      <c r="D1269" t="s">
        <v>528</v>
      </c>
      <c r="G1269">
        <v>144</v>
      </c>
      <c r="H1269" t="s">
        <v>514</v>
      </c>
      <c r="K1269">
        <v>4.4510385756670896</v>
      </c>
      <c r="L1269" t="s">
        <v>550</v>
      </c>
      <c r="M1269" t="s">
        <v>535</v>
      </c>
      <c r="Q1269" t="s">
        <v>468</v>
      </c>
      <c r="R1269" t="s">
        <v>4</v>
      </c>
      <c r="S1269" t="s">
        <v>46</v>
      </c>
    </row>
    <row r="1270" spans="1:19" x14ac:dyDescent="0.3">
      <c r="A1270" s="2" t="s">
        <v>171</v>
      </c>
      <c r="B1270" s="4" t="s">
        <v>400</v>
      </c>
      <c r="C1270" s="3" t="s">
        <v>54</v>
      </c>
      <c r="D1270" t="s">
        <v>528</v>
      </c>
      <c r="G1270">
        <v>1</v>
      </c>
      <c r="H1270" t="s">
        <v>514</v>
      </c>
      <c r="K1270">
        <v>867.95252225519198</v>
      </c>
      <c r="L1270" t="s">
        <v>550</v>
      </c>
      <c r="M1270" t="s">
        <v>535</v>
      </c>
      <c r="Q1270" t="s">
        <v>468</v>
      </c>
      <c r="R1270" t="s">
        <v>4</v>
      </c>
      <c r="S1270" t="s">
        <v>46</v>
      </c>
    </row>
    <row r="1271" spans="1:19" x14ac:dyDescent="0.3">
      <c r="A1271" s="2" t="s">
        <v>171</v>
      </c>
      <c r="B1271" s="4" t="s">
        <v>400</v>
      </c>
      <c r="C1271" s="3" t="s">
        <v>54</v>
      </c>
      <c r="D1271" t="s">
        <v>528</v>
      </c>
      <c r="G1271">
        <v>2</v>
      </c>
      <c r="H1271" t="s">
        <v>514</v>
      </c>
      <c r="K1271">
        <v>1800.4451038575601</v>
      </c>
      <c r="L1271" t="s">
        <v>550</v>
      </c>
      <c r="M1271" t="s">
        <v>535</v>
      </c>
      <c r="Q1271" t="s">
        <v>468</v>
      </c>
      <c r="R1271" t="s">
        <v>4</v>
      </c>
      <c r="S1271" t="s">
        <v>46</v>
      </c>
    </row>
    <row r="1272" spans="1:19" x14ac:dyDescent="0.3">
      <c r="A1272" s="2" t="s">
        <v>171</v>
      </c>
      <c r="B1272" s="4" t="s">
        <v>400</v>
      </c>
      <c r="C1272" s="3" t="s">
        <v>54</v>
      </c>
      <c r="D1272" t="s">
        <v>528</v>
      </c>
      <c r="G1272">
        <v>3</v>
      </c>
      <c r="H1272" t="s">
        <v>514</v>
      </c>
      <c r="K1272">
        <v>2419.1394658753702</v>
      </c>
      <c r="L1272" t="s">
        <v>550</v>
      </c>
      <c r="M1272" t="s">
        <v>535</v>
      </c>
      <c r="Q1272" t="s">
        <v>468</v>
      </c>
      <c r="R1272" t="s">
        <v>4</v>
      </c>
      <c r="S1272" t="s">
        <v>46</v>
      </c>
    </row>
    <row r="1273" spans="1:19" x14ac:dyDescent="0.3">
      <c r="A1273" s="2" t="s">
        <v>171</v>
      </c>
      <c r="B1273" s="4" t="s">
        <v>400</v>
      </c>
      <c r="C1273" s="3" t="s">
        <v>54</v>
      </c>
      <c r="D1273" t="s">
        <v>528</v>
      </c>
      <c r="G1273">
        <v>4</v>
      </c>
      <c r="H1273" t="s">
        <v>514</v>
      </c>
      <c r="K1273">
        <v>2779.6735905044502</v>
      </c>
      <c r="L1273" t="s">
        <v>550</v>
      </c>
      <c r="M1273" t="s">
        <v>535</v>
      </c>
      <c r="Q1273" t="s">
        <v>468</v>
      </c>
      <c r="R1273" t="s">
        <v>4</v>
      </c>
      <c r="S1273" t="s">
        <v>46</v>
      </c>
    </row>
    <row r="1274" spans="1:19" x14ac:dyDescent="0.3">
      <c r="A1274" s="2" t="s">
        <v>171</v>
      </c>
      <c r="B1274" s="4" t="s">
        <v>400</v>
      </c>
      <c r="C1274" s="3" t="s">
        <v>54</v>
      </c>
      <c r="D1274" t="s">
        <v>528</v>
      </c>
      <c r="G1274">
        <v>5</v>
      </c>
      <c r="H1274" t="s">
        <v>514</v>
      </c>
      <c r="K1274">
        <v>2721.8100890207702</v>
      </c>
      <c r="L1274" t="s">
        <v>550</v>
      </c>
      <c r="M1274" t="s">
        <v>535</v>
      </c>
      <c r="Q1274" t="s">
        <v>468</v>
      </c>
      <c r="R1274" t="s">
        <v>4</v>
      </c>
      <c r="S1274" t="s">
        <v>46</v>
      </c>
    </row>
    <row r="1275" spans="1:19" x14ac:dyDescent="0.3">
      <c r="A1275" s="2" t="s">
        <v>171</v>
      </c>
      <c r="B1275" s="4" t="s">
        <v>400</v>
      </c>
      <c r="C1275" s="3" t="s">
        <v>54</v>
      </c>
      <c r="D1275" t="s">
        <v>528</v>
      </c>
      <c r="G1275">
        <v>6</v>
      </c>
      <c r="H1275" t="s">
        <v>514</v>
      </c>
      <c r="K1275">
        <v>2617.21068249258</v>
      </c>
      <c r="L1275" t="s">
        <v>550</v>
      </c>
      <c r="M1275" t="s">
        <v>535</v>
      </c>
      <c r="Q1275" t="s">
        <v>468</v>
      </c>
      <c r="R1275" t="s">
        <v>4</v>
      </c>
      <c r="S1275" t="s">
        <v>46</v>
      </c>
    </row>
    <row r="1276" spans="1:19" x14ac:dyDescent="0.3">
      <c r="A1276" s="2" t="s">
        <v>171</v>
      </c>
      <c r="B1276" s="4" t="s">
        <v>400</v>
      </c>
      <c r="C1276" s="3" t="s">
        <v>54</v>
      </c>
      <c r="D1276" t="s">
        <v>528</v>
      </c>
      <c r="G1276">
        <v>7</v>
      </c>
      <c r="H1276" t="s">
        <v>514</v>
      </c>
      <c r="K1276">
        <v>2568.2492581602301</v>
      </c>
      <c r="L1276" t="s">
        <v>550</v>
      </c>
      <c r="M1276" t="s">
        <v>535</v>
      </c>
      <c r="Q1276" t="s">
        <v>468</v>
      </c>
      <c r="R1276" t="s">
        <v>4</v>
      </c>
      <c r="S1276" t="s">
        <v>46</v>
      </c>
    </row>
    <row r="1277" spans="1:19" x14ac:dyDescent="0.3">
      <c r="A1277" s="2" t="s">
        <v>171</v>
      </c>
      <c r="B1277" s="4" t="s">
        <v>400</v>
      </c>
      <c r="C1277" s="3" t="s">
        <v>54</v>
      </c>
      <c r="D1277" t="s">
        <v>528</v>
      </c>
      <c r="G1277">
        <v>8</v>
      </c>
      <c r="H1277" t="s">
        <v>514</v>
      </c>
      <c r="K1277">
        <v>2568.2492581602301</v>
      </c>
      <c r="L1277" t="s">
        <v>550</v>
      </c>
      <c r="M1277" t="s">
        <v>535</v>
      </c>
      <c r="Q1277" t="s">
        <v>468</v>
      </c>
      <c r="R1277" t="s">
        <v>4</v>
      </c>
      <c r="S1277" t="s">
        <v>46</v>
      </c>
    </row>
    <row r="1278" spans="1:19" x14ac:dyDescent="0.3">
      <c r="A1278" s="2" t="s">
        <v>171</v>
      </c>
      <c r="B1278" s="4" t="s">
        <v>400</v>
      </c>
      <c r="C1278" s="3" t="s">
        <v>54</v>
      </c>
      <c r="D1278" t="s">
        <v>528</v>
      </c>
      <c r="G1278">
        <v>12</v>
      </c>
      <c r="H1278" t="s">
        <v>514</v>
      </c>
      <c r="K1278">
        <v>2528.1899109792198</v>
      </c>
      <c r="L1278" t="s">
        <v>550</v>
      </c>
      <c r="M1278" t="s">
        <v>535</v>
      </c>
      <c r="Q1278" t="s">
        <v>468</v>
      </c>
      <c r="R1278" t="s">
        <v>4</v>
      </c>
      <c r="S1278" t="s">
        <v>46</v>
      </c>
    </row>
    <row r="1279" spans="1:19" x14ac:dyDescent="0.3">
      <c r="A1279" s="2" t="s">
        <v>171</v>
      </c>
      <c r="B1279" s="4" t="s">
        <v>400</v>
      </c>
      <c r="C1279" s="3" t="s">
        <v>54</v>
      </c>
      <c r="D1279" t="s">
        <v>528</v>
      </c>
      <c r="G1279">
        <v>16</v>
      </c>
      <c r="H1279" t="s">
        <v>514</v>
      </c>
      <c r="K1279">
        <v>2499.2581602373798</v>
      </c>
      <c r="L1279" t="s">
        <v>550</v>
      </c>
      <c r="M1279" t="s">
        <v>535</v>
      </c>
      <c r="Q1279" t="s">
        <v>468</v>
      </c>
      <c r="R1279" t="s">
        <v>4</v>
      </c>
      <c r="S1279" t="s">
        <v>46</v>
      </c>
    </row>
    <row r="1280" spans="1:19" x14ac:dyDescent="0.3">
      <c r="A1280" s="2" t="s">
        <v>171</v>
      </c>
      <c r="B1280" s="4" t="s">
        <v>400</v>
      </c>
      <c r="C1280" s="3" t="s">
        <v>54</v>
      </c>
      <c r="D1280" t="s">
        <v>528</v>
      </c>
      <c r="G1280">
        <v>20</v>
      </c>
      <c r="H1280" t="s">
        <v>514</v>
      </c>
      <c r="K1280">
        <v>2365.72700296735</v>
      </c>
      <c r="L1280" t="s">
        <v>550</v>
      </c>
      <c r="M1280" t="s">
        <v>535</v>
      </c>
      <c r="Q1280" t="s">
        <v>468</v>
      </c>
      <c r="R1280" t="s">
        <v>4</v>
      </c>
      <c r="S1280" t="s">
        <v>46</v>
      </c>
    </row>
    <row r="1281" spans="1:19" x14ac:dyDescent="0.3">
      <c r="A1281" s="2" t="s">
        <v>171</v>
      </c>
      <c r="B1281" s="4" t="s">
        <v>400</v>
      </c>
      <c r="C1281" s="3" t="s">
        <v>54</v>
      </c>
      <c r="D1281" t="s">
        <v>528</v>
      </c>
      <c r="G1281">
        <v>24</v>
      </c>
      <c r="H1281" t="s">
        <v>514</v>
      </c>
      <c r="K1281">
        <v>2005.19287833827</v>
      </c>
      <c r="L1281" t="s">
        <v>550</v>
      </c>
      <c r="M1281" t="s">
        <v>535</v>
      </c>
      <c r="Q1281" t="s">
        <v>468</v>
      </c>
      <c r="R1281" t="s">
        <v>4</v>
      </c>
      <c r="S1281" t="s">
        <v>46</v>
      </c>
    </row>
    <row r="1282" spans="1:19" x14ac:dyDescent="0.3">
      <c r="A1282" s="2" t="s">
        <v>171</v>
      </c>
      <c r="B1282" s="4" t="s">
        <v>400</v>
      </c>
      <c r="C1282" s="3" t="s">
        <v>54</v>
      </c>
      <c r="D1282" t="s">
        <v>528</v>
      </c>
      <c r="G1282">
        <v>30</v>
      </c>
      <c r="H1282" t="s">
        <v>514</v>
      </c>
      <c r="K1282">
        <v>1406.52818991097</v>
      </c>
      <c r="L1282" t="s">
        <v>550</v>
      </c>
      <c r="M1282" t="s">
        <v>535</v>
      </c>
      <c r="Q1282" t="s">
        <v>468</v>
      </c>
      <c r="R1282" t="s">
        <v>4</v>
      </c>
      <c r="S1282" t="s">
        <v>46</v>
      </c>
    </row>
    <row r="1283" spans="1:19" x14ac:dyDescent="0.3">
      <c r="A1283" s="2" t="s">
        <v>171</v>
      </c>
      <c r="B1283" s="4" t="s">
        <v>400</v>
      </c>
      <c r="C1283" s="3" t="s">
        <v>54</v>
      </c>
      <c r="D1283" t="s">
        <v>528</v>
      </c>
      <c r="G1283">
        <v>36</v>
      </c>
      <c r="H1283" t="s">
        <v>514</v>
      </c>
      <c r="K1283">
        <v>1179.52522255192</v>
      </c>
      <c r="L1283" t="s">
        <v>550</v>
      </c>
      <c r="M1283" t="s">
        <v>535</v>
      </c>
      <c r="Q1283" t="s">
        <v>468</v>
      </c>
      <c r="R1283" t="s">
        <v>4</v>
      </c>
      <c r="S1283" t="s">
        <v>46</v>
      </c>
    </row>
    <row r="1284" spans="1:19" x14ac:dyDescent="0.3">
      <c r="A1284" s="2" t="s">
        <v>171</v>
      </c>
      <c r="B1284" s="4" t="s">
        <v>400</v>
      </c>
      <c r="C1284" s="3" t="s">
        <v>54</v>
      </c>
      <c r="D1284" t="s">
        <v>528</v>
      </c>
      <c r="G1284">
        <v>144</v>
      </c>
      <c r="H1284" t="s">
        <v>514</v>
      </c>
      <c r="K1284">
        <v>17.804154302670199</v>
      </c>
      <c r="L1284" t="s">
        <v>550</v>
      </c>
      <c r="M1284" t="s">
        <v>535</v>
      </c>
      <c r="Q1284" t="s">
        <v>468</v>
      </c>
      <c r="R1284" t="s">
        <v>4</v>
      </c>
      <c r="S1284" t="s">
        <v>46</v>
      </c>
    </row>
    <row r="1285" spans="1:19" x14ac:dyDescent="0.3">
      <c r="A1285" s="2" t="s">
        <v>172</v>
      </c>
      <c r="B1285" s="4" t="s">
        <v>401</v>
      </c>
      <c r="C1285" s="3" t="s">
        <v>54</v>
      </c>
      <c r="D1285" t="s">
        <v>529</v>
      </c>
      <c r="G1285">
        <f>1+1/24</f>
        <v>1.0416666666666667</v>
      </c>
      <c r="H1285" t="s">
        <v>577</v>
      </c>
      <c r="K1285">
        <v>371.14358839428701</v>
      </c>
      <c r="L1285" t="s">
        <v>550</v>
      </c>
      <c r="M1285" t="s">
        <v>535</v>
      </c>
      <c r="Q1285" t="s">
        <v>468</v>
      </c>
      <c r="R1285" t="s">
        <v>4</v>
      </c>
      <c r="S1285" t="s">
        <v>46</v>
      </c>
    </row>
    <row r="1286" spans="1:19" x14ac:dyDescent="0.3">
      <c r="A1286" s="2" t="s">
        <v>172</v>
      </c>
      <c r="B1286" s="4" t="s">
        <v>401</v>
      </c>
      <c r="C1286" s="3" t="s">
        <v>54</v>
      </c>
      <c r="D1286" t="s">
        <v>529</v>
      </c>
      <c r="G1286">
        <f>1+2/24</f>
        <v>1.0833333333333333</v>
      </c>
      <c r="H1286" t="s">
        <v>577</v>
      </c>
      <c r="K1286">
        <v>686.67926423804602</v>
      </c>
      <c r="L1286" t="s">
        <v>550</v>
      </c>
      <c r="M1286" t="s">
        <v>535</v>
      </c>
      <c r="Q1286" t="s">
        <v>468</v>
      </c>
      <c r="R1286" t="s">
        <v>4</v>
      </c>
      <c r="S1286" t="s">
        <v>46</v>
      </c>
    </row>
    <row r="1287" spans="1:19" x14ac:dyDescent="0.3">
      <c r="A1287" s="2" t="s">
        <v>172</v>
      </c>
      <c r="B1287" s="4" t="s">
        <v>401</v>
      </c>
      <c r="C1287" s="3" t="s">
        <v>54</v>
      </c>
      <c r="D1287" t="s">
        <v>529</v>
      </c>
      <c r="G1287">
        <f>1+3/24</f>
        <v>1.125</v>
      </c>
      <c r="H1287" t="s">
        <v>577</v>
      </c>
      <c r="K1287">
        <v>878.47170728984702</v>
      </c>
      <c r="L1287" t="s">
        <v>550</v>
      </c>
      <c r="M1287" t="s">
        <v>535</v>
      </c>
      <c r="Q1287" t="s">
        <v>468</v>
      </c>
      <c r="R1287" t="s">
        <v>4</v>
      </c>
      <c r="S1287" t="s">
        <v>46</v>
      </c>
    </row>
    <row r="1288" spans="1:19" x14ac:dyDescent="0.3">
      <c r="A1288" s="2" t="s">
        <v>172</v>
      </c>
      <c r="B1288" s="4" t="s">
        <v>401</v>
      </c>
      <c r="C1288" s="3" t="s">
        <v>54</v>
      </c>
      <c r="D1288" t="s">
        <v>529</v>
      </c>
      <c r="G1288">
        <f>1+4/24</f>
        <v>1.1666666666666667</v>
      </c>
      <c r="H1288" t="s">
        <v>577</v>
      </c>
      <c r="K1288">
        <v>983.64229275799005</v>
      </c>
      <c r="L1288" t="s">
        <v>550</v>
      </c>
      <c r="M1288" t="s">
        <v>535</v>
      </c>
      <c r="Q1288" t="s">
        <v>468</v>
      </c>
      <c r="R1288" t="s">
        <v>4</v>
      </c>
      <c r="S1288" t="s">
        <v>46</v>
      </c>
    </row>
    <row r="1289" spans="1:19" x14ac:dyDescent="0.3">
      <c r="A1289" s="2" t="s">
        <v>172</v>
      </c>
      <c r="B1289" s="4" t="s">
        <v>401</v>
      </c>
      <c r="C1289" s="3" t="s">
        <v>54</v>
      </c>
      <c r="D1289" t="s">
        <v>529</v>
      </c>
      <c r="G1289">
        <f>1+5/24</f>
        <v>1.2083333333333333</v>
      </c>
      <c r="H1289" t="s">
        <v>577</v>
      </c>
      <c r="K1289">
        <v>921.76110858627999</v>
      </c>
      <c r="L1289" t="s">
        <v>550</v>
      </c>
      <c r="M1289" t="s">
        <v>535</v>
      </c>
      <c r="Q1289" t="s">
        <v>468</v>
      </c>
      <c r="R1289" t="s">
        <v>4</v>
      </c>
      <c r="S1289" t="s">
        <v>46</v>
      </c>
    </row>
    <row r="1290" spans="1:19" x14ac:dyDescent="0.3">
      <c r="A1290" s="2" t="s">
        <v>172</v>
      </c>
      <c r="B1290" s="4" t="s">
        <v>401</v>
      </c>
      <c r="C1290" s="3" t="s">
        <v>54</v>
      </c>
      <c r="D1290" t="s">
        <v>529</v>
      </c>
      <c r="G1290">
        <f>1+6/24</f>
        <v>1.25</v>
      </c>
      <c r="H1290" t="s">
        <v>577</v>
      </c>
      <c r="K1290">
        <v>835.13127785617905</v>
      </c>
      <c r="L1290" t="s">
        <v>550</v>
      </c>
      <c r="M1290" t="s">
        <v>535</v>
      </c>
      <c r="Q1290" t="s">
        <v>468</v>
      </c>
      <c r="R1290" t="s">
        <v>4</v>
      </c>
      <c r="S1290" t="s">
        <v>46</v>
      </c>
    </row>
    <row r="1291" spans="1:19" x14ac:dyDescent="0.3">
      <c r="A1291" s="2" t="s">
        <v>172</v>
      </c>
      <c r="B1291" s="4" t="s">
        <v>401</v>
      </c>
      <c r="C1291" s="3" t="s">
        <v>54</v>
      </c>
      <c r="D1291" t="s">
        <v>529</v>
      </c>
      <c r="G1291">
        <f>1+7/24</f>
        <v>1.2916666666666667</v>
      </c>
      <c r="H1291" t="s">
        <v>577</v>
      </c>
      <c r="K1291">
        <v>850.58961417944101</v>
      </c>
      <c r="L1291" t="s">
        <v>550</v>
      </c>
      <c r="M1291" t="s">
        <v>535</v>
      </c>
      <c r="Q1291" t="s">
        <v>468</v>
      </c>
      <c r="R1291" t="s">
        <v>4</v>
      </c>
      <c r="S1291" t="s">
        <v>46</v>
      </c>
    </row>
    <row r="1292" spans="1:19" x14ac:dyDescent="0.3">
      <c r="A1292" s="2" t="s">
        <v>172</v>
      </c>
      <c r="B1292" s="4" t="s">
        <v>401</v>
      </c>
      <c r="C1292" s="3" t="s">
        <v>54</v>
      </c>
      <c r="D1292" t="s">
        <v>529</v>
      </c>
      <c r="G1292">
        <f>1+8/24</f>
        <v>1.3333333333333333</v>
      </c>
      <c r="H1292" t="s">
        <v>577</v>
      </c>
      <c r="K1292">
        <v>810.36190111703797</v>
      </c>
      <c r="L1292" t="s">
        <v>550</v>
      </c>
      <c r="M1292" t="s">
        <v>535</v>
      </c>
      <c r="Q1292" t="s">
        <v>468</v>
      </c>
      <c r="R1292" t="s">
        <v>4</v>
      </c>
      <c r="S1292" t="s">
        <v>46</v>
      </c>
    </row>
    <row r="1293" spans="1:19" x14ac:dyDescent="0.3">
      <c r="A1293" s="2" t="s">
        <v>172</v>
      </c>
      <c r="B1293" s="4" t="s">
        <v>401</v>
      </c>
      <c r="C1293" s="3" t="s">
        <v>54</v>
      </c>
      <c r="D1293" t="s">
        <v>529</v>
      </c>
      <c r="G1293">
        <f>1+12/24</f>
        <v>1.5</v>
      </c>
      <c r="H1293" t="s">
        <v>577</v>
      </c>
      <c r="K1293">
        <v>686.57880259286605</v>
      </c>
      <c r="L1293" t="s">
        <v>550</v>
      </c>
      <c r="M1293" t="s">
        <v>535</v>
      </c>
      <c r="Q1293" t="s">
        <v>468</v>
      </c>
      <c r="R1293" t="s">
        <v>4</v>
      </c>
      <c r="S1293" t="s">
        <v>46</v>
      </c>
    </row>
    <row r="1294" spans="1:19" x14ac:dyDescent="0.3">
      <c r="A1294" s="2" t="s">
        <v>172</v>
      </c>
      <c r="B1294" s="4" t="s">
        <v>401</v>
      </c>
      <c r="C1294" s="3" t="s">
        <v>54</v>
      </c>
      <c r="D1294" t="s">
        <v>529</v>
      </c>
      <c r="G1294">
        <f>1+16/24</f>
        <v>1.6666666666666665</v>
      </c>
      <c r="H1294" t="s">
        <v>577</v>
      </c>
      <c r="K1294">
        <v>581.35878361677806</v>
      </c>
      <c r="L1294" t="s">
        <v>550</v>
      </c>
      <c r="M1294" t="s">
        <v>535</v>
      </c>
      <c r="Q1294" t="s">
        <v>468</v>
      </c>
      <c r="R1294" t="s">
        <v>4</v>
      </c>
      <c r="S1294" t="s">
        <v>46</v>
      </c>
    </row>
    <row r="1295" spans="1:19" x14ac:dyDescent="0.3">
      <c r="A1295" s="2" t="s">
        <v>172</v>
      </c>
      <c r="B1295" s="4" t="s">
        <v>401</v>
      </c>
      <c r="C1295" s="3" t="s">
        <v>54</v>
      </c>
      <c r="D1295" t="s">
        <v>529</v>
      </c>
      <c r="G1295">
        <v>2</v>
      </c>
      <c r="H1295" t="s">
        <v>577</v>
      </c>
      <c r="K1295">
        <v>451.35025235008499</v>
      </c>
      <c r="L1295" t="s">
        <v>550</v>
      </c>
      <c r="M1295" t="s">
        <v>535</v>
      </c>
      <c r="Q1295" t="s">
        <v>468</v>
      </c>
      <c r="R1295" t="s">
        <v>4</v>
      </c>
      <c r="S1295" t="s">
        <v>46</v>
      </c>
    </row>
    <row r="1296" spans="1:19" x14ac:dyDescent="0.3">
      <c r="A1296" s="2" t="s">
        <v>172</v>
      </c>
      <c r="B1296" s="4" t="s">
        <v>401</v>
      </c>
      <c r="C1296" s="3" t="s">
        <v>54</v>
      </c>
      <c r="D1296" t="s">
        <v>529</v>
      </c>
      <c r="G1296">
        <v>3</v>
      </c>
      <c r="H1296" t="s">
        <v>577</v>
      </c>
      <c r="K1296">
        <v>729.53333173870396</v>
      </c>
      <c r="L1296" t="s">
        <v>550</v>
      </c>
      <c r="M1296" t="s">
        <v>535</v>
      </c>
      <c r="Q1296" t="s">
        <v>468</v>
      </c>
      <c r="R1296" t="s">
        <v>4</v>
      </c>
      <c r="S1296" t="s">
        <v>46</v>
      </c>
    </row>
    <row r="1297" spans="1:19" x14ac:dyDescent="0.3">
      <c r="A1297" s="2" t="s">
        <v>172</v>
      </c>
      <c r="B1297" s="4" t="s">
        <v>401</v>
      </c>
      <c r="C1297" s="3" t="s">
        <v>54</v>
      </c>
      <c r="D1297" t="s">
        <v>529</v>
      </c>
      <c r="G1297">
        <v>4</v>
      </c>
      <c r="H1297" t="s">
        <v>577</v>
      </c>
      <c r="K1297">
        <v>853.038964766665</v>
      </c>
      <c r="L1297" t="s">
        <v>550</v>
      </c>
      <c r="M1297" t="s">
        <v>535</v>
      </c>
      <c r="Q1297" t="s">
        <v>468</v>
      </c>
      <c r="R1297" t="s">
        <v>4</v>
      </c>
      <c r="S1297" t="s">
        <v>46</v>
      </c>
    </row>
    <row r="1298" spans="1:19" x14ac:dyDescent="0.3">
      <c r="A1298" s="2" t="s">
        <v>172</v>
      </c>
      <c r="B1298" s="4" t="s">
        <v>401</v>
      </c>
      <c r="C1298" s="3" t="s">
        <v>54</v>
      </c>
      <c r="D1298" t="s">
        <v>529</v>
      </c>
      <c r="G1298">
        <v>5</v>
      </c>
      <c r="H1298" t="s">
        <v>577</v>
      </c>
      <c r="K1298">
        <v>889.92433484025696</v>
      </c>
      <c r="L1298" t="s">
        <v>550</v>
      </c>
      <c r="M1298" t="s">
        <v>535</v>
      </c>
      <c r="Q1298" t="s">
        <v>468</v>
      </c>
      <c r="R1298" t="s">
        <v>4</v>
      </c>
      <c r="S1298" t="s">
        <v>46</v>
      </c>
    </row>
    <row r="1299" spans="1:19" x14ac:dyDescent="0.3">
      <c r="A1299" s="2" t="s">
        <v>172</v>
      </c>
      <c r="B1299" s="4" t="s">
        <v>401</v>
      </c>
      <c r="C1299" s="3" t="s">
        <v>54</v>
      </c>
      <c r="D1299" t="s">
        <v>529</v>
      </c>
      <c r="G1299">
        <v>6</v>
      </c>
      <c r="H1299" t="s">
        <v>577</v>
      </c>
      <c r="K1299">
        <v>939.18243356375604</v>
      </c>
      <c r="L1299" t="s">
        <v>550</v>
      </c>
      <c r="M1299" t="s">
        <v>535</v>
      </c>
      <c r="Q1299" t="s">
        <v>468</v>
      </c>
      <c r="R1299" t="s">
        <v>4</v>
      </c>
      <c r="S1299" t="s">
        <v>46</v>
      </c>
    </row>
    <row r="1300" spans="1:19" x14ac:dyDescent="0.3">
      <c r="A1300" s="2" t="s">
        <v>172</v>
      </c>
      <c r="B1300" s="4" t="s">
        <v>401</v>
      </c>
      <c r="C1300" s="3" t="s">
        <v>54</v>
      </c>
      <c r="D1300" t="s">
        <v>529</v>
      </c>
      <c r="G1300">
        <v>7</v>
      </c>
      <c r="H1300" t="s">
        <v>577</v>
      </c>
      <c r="K1300">
        <v>870.88605576418604</v>
      </c>
      <c r="L1300" t="s">
        <v>550</v>
      </c>
      <c r="M1300" t="s">
        <v>535</v>
      </c>
      <c r="Q1300" t="s">
        <v>468</v>
      </c>
      <c r="R1300" t="s">
        <v>4</v>
      </c>
      <c r="S1300" t="s">
        <v>46</v>
      </c>
    </row>
    <row r="1301" spans="1:19" x14ac:dyDescent="0.3">
      <c r="A1301" s="2" t="s">
        <v>172</v>
      </c>
      <c r="B1301" s="4" t="s">
        <v>401</v>
      </c>
      <c r="C1301" s="3" t="s">
        <v>54</v>
      </c>
      <c r="D1301" t="s">
        <v>529</v>
      </c>
      <c r="G1301">
        <f>7+1/24</f>
        <v>7.041666666666667</v>
      </c>
      <c r="H1301" t="s">
        <v>577</v>
      </c>
      <c r="K1301">
        <v>1195.7024740673401</v>
      </c>
      <c r="L1301" t="s">
        <v>550</v>
      </c>
      <c r="M1301" t="s">
        <v>535</v>
      </c>
      <c r="Q1301" t="s">
        <v>468</v>
      </c>
      <c r="R1301" t="s">
        <v>4</v>
      </c>
      <c r="S1301" t="s">
        <v>46</v>
      </c>
    </row>
    <row r="1302" spans="1:19" x14ac:dyDescent="0.3">
      <c r="A1302" s="2" t="s">
        <v>172</v>
      </c>
      <c r="B1302" s="4" t="s">
        <v>401</v>
      </c>
      <c r="C1302" s="3" t="s">
        <v>54</v>
      </c>
      <c r="D1302" t="s">
        <v>529</v>
      </c>
      <c r="G1302">
        <f>7+2/24</f>
        <v>7.083333333333333</v>
      </c>
      <c r="H1302" t="s">
        <v>577</v>
      </c>
      <c r="K1302">
        <v>1638.07336889356</v>
      </c>
      <c r="L1302" t="s">
        <v>550</v>
      </c>
      <c r="M1302" t="s">
        <v>535</v>
      </c>
      <c r="Q1302" t="s">
        <v>468</v>
      </c>
      <c r="R1302" t="s">
        <v>4</v>
      </c>
      <c r="S1302" t="s">
        <v>46</v>
      </c>
    </row>
    <row r="1303" spans="1:19" x14ac:dyDescent="0.3">
      <c r="A1303" s="2" t="s">
        <v>172</v>
      </c>
      <c r="B1303" s="4" t="s">
        <v>401</v>
      </c>
      <c r="C1303" s="3" t="s">
        <v>54</v>
      </c>
      <c r="D1303" t="s">
        <v>529</v>
      </c>
      <c r="G1303">
        <f>7+3/24</f>
        <v>7.125</v>
      </c>
      <c r="H1303" t="s">
        <v>577</v>
      </c>
      <c r="K1303">
        <v>1684.4675134148099</v>
      </c>
      <c r="L1303" t="s">
        <v>550</v>
      </c>
      <c r="M1303" t="s">
        <v>535</v>
      </c>
      <c r="Q1303" t="s">
        <v>468</v>
      </c>
      <c r="R1303" t="s">
        <v>4</v>
      </c>
      <c r="S1303" t="s">
        <v>46</v>
      </c>
    </row>
    <row r="1304" spans="1:19" x14ac:dyDescent="0.3">
      <c r="A1304" s="2" t="s">
        <v>172</v>
      </c>
      <c r="B1304" s="4" t="s">
        <v>401</v>
      </c>
      <c r="C1304" s="3" t="s">
        <v>54</v>
      </c>
      <c r="D1304" t="s">
        <v>529</v>
      </c>
      <c r="G1304">
        <f>7+4/24</f>
        <v>7.166666666666667</v>
      </c>
      <c r="H1304" t="s">
        <v>577</v>
      </c>
      <c r="K1304">
        <v>1662.8028799004901</v>
      </c>
      <c r="L1304" t="s">
        <v>550</v>
      </c>
      <c r="M1304" t="s">
        <v>535</v>
      </c>
      <c r="Q1304" t="s">
        <v>468</v>
      </c>
      <c r="R1304" t="s">
        <v>4</v>
      </c>
      <c r="S1304" t="s">
        <v>46</v>
      </c>
    </row>
    <row r="1305" spans="1:19" x14ac:dyDescent="0.3">
      <c r="A1305" s="2" t="s">
        <v>172</v>
      </c>
      <c r="B1305" s="4" t="s">
        <v>401</v>
      </c>
      <c r="C1305" s="3" t="s">
        <v>54</v>
      </c>
      <c r="D1305" t="s">
        <v>529</v>
      </c>
      <c r="G1305">
        <f>7+5/24</f>
        <v>7.208333333333333</v>
      </c>
      <c r="H1305" t="s">
        <v>577</v>
      </c>
      <c r="K1305">
        <v>1588.5457778202999</v>
      </c>
      <c r="L1305" t="s">
        <v>550</v>
      </c>
      <c r="M1305" t="s">
        <v>535</v>
      </c>
      <c r="Q1305" t="s">
        <v>468</v>
      </c>
      <c r="R1305" t="s">
        <v>4</v>
      </c>
      <c r="S1305" t="s">
        <v>46</v>
      </c>
    </row>
    <row r="1306" spans="1:19" x14ac:dyDescent="0.3">
      <c r="A1306" s="2" t="s">
        <v>172</v>
      </c>
      <c r="B1306" s="4" t="s">
        <v>401</v>
      </c>
      <c r="C1306" s="3" t="s">
        <v>54</v>
      </c>
      <c r="D1306" t="s">
        <v>529</v>
      </c>
      <c r="G1306">
        <f>7+6/24</f>
        <v>7.25</v>
      </c>
      <c r="H1306" t="s">
        <v>577</v>
      </c>
      <c r="K1306">
        <v>1535.94533610798</v>
      </c>
      <c r="L1306" t="s">
        <v>550</v>
      </c>
      <c r="M1306" t="s">
        <v>535</v>
      </c>
      <c r="Q1306" t="s">
        <v>468</v>
      </c>
      <c r="R1306" t="s">
        <v>4</v>
      </c>
      <c r="S1306" t="s">
        <v>46</v>
      </c>
    </row>
    <row r="1307" spans="1:19" x14ac:dyDescent="0.3">
      <c r="A1307" s="2" t="s">
        <v>172</v>
      </c>
      <c r="B1307" s="4" t="s">
        <v>401</v>
      </c>
      <c r="C1307" s="3" t="s">
        <v>54</v>
      </c>
      <c r="D1307" t="s">
        <v>529</v>
      </c>
      <c r="G1307">
        <f>7+7/24</f>
        <v>7.291666666666667</v>
      </c>
      <c r="H1307" t="s">
        <v>577</v>
      </c>
      <c r="K1307">
        <v>1514.2822972229501</v>
      </c>
      <c r="L1307" t="s">
        <v>550</v>
      </c>
      <c r="M1307" t="s">
        <v>535</v>
      </c>
      <c r="Q1307" t="s">
        <v>468</v>
      </c>
      <c r="R1307" t="s">
        <v>4</v>
      </c>
      <c r="S1307" t="s">
        <v>46</v>
      </c>
    </row>
    <row r="1308" spans="1:19" x14ac:dyDescent="0.3">
      <c r="A1308" s="2" t="s">
        <v>172</v>
      </c>
      <c r="B1308" s="4" t="s">
        <v>401</v>
      </c>
      <c r="C1308" s="3" t="s">
        <v>54</v>
      </c>
      <c r="D1308" t="s">
        <v>529</v>
      </c>
      <c r="G1308">
        <f>7+8/24</f>
        <v>7.333333333333333</v>
      </c>
      <c r="H1308" t="s">
        <v>577</v>
      </c>
      <c r="K1308">
        <v>1501.8968115387299</v>
      </c>
      <c r="L1308" t="s">
        <v>550</v>
      </c>
      <c r="M1308" t="s">
        <v>535</v>
      </c>
      <c r="Q1308" t="s">
        <v>468</v>
      </c>
      <c r="R1308" t="s">
        <v>4</v>
      </c>
      <c r="S1308" t="s">
        <v>46</v>
      </c>
    </row>
    <row r="1309" spans="1:19" x14ac:dyDescent="0.3">
      <c r="A1309" s="2" t="s">
        <v>172</v>
      </c>
      <c r="B1309" s="4" t="s">
        <v>401</v>
      </c>
      <c r="C1309" s="3" t="s">
        <v>54</v>
      </c>
      <c r="D1309" t="s">
        <v>529</v>
      </c>
      <c r="G1309">
        <f>7+12/24</f>
        <v>7.5</v>
      </c>
      <c r="H1309" t="s">
        <v>577</v>
      </c>
      <c r="K1309">
        <v>1263.651222682</v>
      </c>
      <c r="L1309" t="s">
        <v>550</v>
      </c>
      <c r="M1309" t="s">
        <v>535</v>
      </c>
      <c r="Q1309" t="s">
        <v>468</v>
      </c>
      <c r="R1309" t="s">
        <v>4</v>
      </c>
      <c r="S1309" t="s">
        <v>46</v>
      </c>
    </row>
    <row r="1310" spans="1:19" x14ac:dyDescent="0.3">
      <c r="A1310" s="2" t="s">
        <v>172</v>
      </c>
      <c r="B1310" s="4" t="s">
        <v>401</v>
      </c>
      <c r="C1310" s="3" t="s">
        <v>54</v>
      </c>
      <c r="D1310" t="s">
        <v>529</v>
      </c>
      <c r="G1310">
        <f>7+16/24</f>
        <v>7.666666666666667</v>
      </c>
      <c r="H1310" t="s">
        <v>577</v>
      </c>
      <c r="K1310">
        <v>1130.5873816984399</v>
      </c>
      <c r="L1310" t="s">
        <v>550</v>
      </c>
      <c r="M1310" t="s">
        <v>535</v>
      </c>
      <c r="Q1310" t="s">
        <v>468</v>
      </c>
      <c r="R1310" t="s">
        <v>4</v>
      </c>
      <c r="S1310" t="s">
        <v>46</v>
      </c>
    </row>
    <row r="1311" spans="1:19" x14ac:dyDescent="0.3">
      <c r="A1311" s="2" t="s">
        <v>172</v>
      </c>
      <c r="B1311" s="4" t="s">
        <v>401</v>
      </c>
      <c r="C1311" s="3" t="s">
        <v>54</v>
      </c>
      <c r="D1311" t="s">
        <v>529</v>
      </c>
      <c r="G1311">
        <f>7+24/24</f>
        <v>8</v>
      </c>
      <c r="H1311" t="s">
        <v>577</v>
      </c>
      <c r="K1311">
        <v>824.24314907391795</v>
      </c>
      <c r="L1311" t="s">
        <v>550</v>
      </c>
      <c r="M1311" t="s">
        <v>535</v>
      </c>
      <c r="Q1311" t="s">
        <v>468</v>
      </c>
      <c r="R1311" t="s">
        <v>4</v>
      </c>
      <c r="S1311" t="s">
        <v>46</v>
      </c>
    </row>
    <row r="1312" spans="1:19" x14ac:dyDescent="0.3">
      <c r="A1312" s="2" t="s">
        <v>172</v>
      </c>
      <c r="B1312" s="4" t="s">
        <v>401</v>
      </c>
      <c r="C1312" s="3" t="s">
        <v>54</v>
      </c>
      <c r="D1312" t="s">
        <v>529</v>
      </c>
      <c r="G1312">
        <f>7+30/24</f>
        <v>8.25</v>
      </c>
      <c r="H1312" t="s">
        <v>577</v>
      </c>
      <c r="K1312">
        <v>620.00781368351295</v>
      </c>
      <c r="L1312" t="s">
        <v>550</v>
      </c>
      <c r="M1312" t="s">
        <v>535</v>
      </c>
      <c r="Q1312" t="s">
        <v>468</v>
      </c>
      <c r="R1312" t="s">
        <v>4</v>
      </c>
      <c r="S1312" t="s">
        <v>46</v>
      </c>
    </row>
    <row r="1313" spans="1:19" x14ac:dyDescent="0.3">
      <c r="A1313" s="2" t="s">
        <v>172</v>
      </c>
      <c r="B1313" s="4" t="s">
        <v>401</v>
      </c>
      <c r="C1313" s="3" t="s">
        <v>54</v>
      </c>
      <c r="D1313" t="s">
        <v>529</v>
      </c>
      <c r="G1313">
        <f>7+36/24</f>
        <v>8.5</v>
      </c>
      <c r="H1313" t="s">
        <v>577</v>
      </c>
      <c r="K1313">
        <v>490.01841796828199</v>
      </c>
      <c r="L1313" t="s">
        <v>550</v>
      </c>
      <c r="M1313" t="s">
        <v>535</v>
      </c>
      <c r="Q1313" t="s">
        <v>468</v>
      </c>
      <c r="R1313" t="s">
        <v>4</v>
      </c>
      <c r="S1313" t="s">
        <v>46</v>
      </c>
    </row>
    <row r="1314" spans="1:19" x14ac:dyDescent="0.3">
      <c r="A1314" s="2" t="s">
        <v>172</v>
      </c>
      <c r="B1314" s="4" t="s">
        <v>401</v>
      </c>
      <c r="C1314" s="3" t="s">
        <v>54</v>
      </c>
      <c r="D1314" t="s">
        <v>529</v>
      </c>
      <c r="G1314">
        <v>9</v>
      </c>
      <c r="H1314" t="s">
        <v>577</v>
      </c>
      <c r="K1314">
        <v>298.09680994410797</v>
      </c>
      <c r="L1314" t="s">
        <v>550</v>
      </c>
      <c r="M1314" t="s">
        <v>535</v>
      </c>
      <c r="Q1314" t="s">
        <v>468</v>
      </c>
      <c r="R1314" t="s">
        <v>4</v>
      </c>
      <c r="S1314" t="s">
        <v>46</v>
      </c>
    </row>
    <row r="1315" spans="1:19" x14ac:dyDescent="0.3">
      <c r="A1315" s="2" t="s">
        <v>172</v>
      </c>
      <c r="B1315" s="4" t="s">
        <v>401</v>
      </c>
      <c r="C1315" s="3" t="s">
        <v>54</v>
      </c>
      <c r="D1315" t="s">
        <v>529</v>
      </c>
      <c r="G1315">
        <v>10</v>
      </c>
      <c r="H1315" t="s">
        <v>577</v>
      </c>
      <c r="K1315">
        <v>112.244360992178</v>
      </c>
      <c r="L1315" t="s">
        <v>550</v>
      </c>
      <c r="M1315" t="s">
        <v>535</v>
      </c>
      <c r="Q1315" t="s">
        <v>468</v>
      </c>
      <c r="R1315" t="s">
        <v>4</v>
      </c>
      <c r="S1315" t="s">
        <v>46</v>
      </c>
    </row>
    <row r="1316" spans="1:19" x14ac:dyDescent="0.3">
      <c r="A1316" s="2" t="s">
        <v>172</v>
      </c>
      <c r="B1316" s="4" t="s">
        <v>401</v>
      </c>
      <c r="C1316" s="3" t="s">
        <v>54</v>
      </c>
      <c r="D1316" t="s">
        <v>529</v>
      </c>
      <c r="G1316">
        <v>11</v>
      </c>
      <c r="H1316" t="s">
        <v>577</v>
      </c>
      <c r="K1316">
        <v>43.947983192607303</v>
      </c>
      <c r="L1316" t="s">
        <v>550</v>
      </c>
      <c r="M1316" t="s">
        <v>535</v>
      </c>
      <c r="Q1316" t="s">
        <v>468</v>
      </c>
      <c r="R1316" t="s">
        <v>4</v>
      </c>
      <c r="S1316" t="s">
        <v>46</v>
      </c>
    </row>
    <row r="1317" spans="1:19" x14ac:dyDescent="0.3">
      <c r="A1317" s="2" t="s">
        <v>172</v>
      </c>
      <c r="B1317" s="4" t="s">
        <v>401</v>
      </c>
      <c r="C1317" s="3" t="s">
        <v>54</v>
      </c>
      <c r="D1317" t="s">
        <v>529</v>
      </c>
      <c r="G1317">
        <v>12</v>
      </c>
      <c r="H1317" t="s">
        <v>577</v>
      </c>
      <c r="K1317">
        <v>12.7745752306227</v>
      </c>
      <c r="L1317" t="s">
        <v>550</v>
      </c>
      <c r="M1317" t="s">
        <v>535</v>
      </c>
      <c r="Q1317" t="s">
        <v>468</v>
      </c>
      <c r="R1317" t="s">
        <v>4</v>
      </c>
      <c r="S1317" t="s">
        <v>46</v>
      </c>
    </row>
    <row r="1318" spans="1:19" x14ac:dyDescent="0.3">
      <c r="A1318" s="2" t="s">
        <v>173</v>
      </c>
      <c r="B1318" s="4" t="s">
        <v>402</v>
      </c>
      <c r="C1318" s="3" t="s">
        <v>54</v>
      </c>
      <c r="D1318" t="s">
        <v>529</v>
      </c>
      <c r="G1318">
        <f>1+1/24</f>
        <v>1.0416666666666667</v>
      </c>
      <c r="H1318" t="s">
        <v>577</v>
      </c>
      <c r="K1318">
        <v>726.90538267116301</v>
      </c>
      <c r="L1318" t="s">
        <v>550</v>
      </c>
      <c r="M1318" t="s">
        <v>535</v>
      </c>
      <c r="Q1318" t="s">
        <v>468</v>
      </c>
      <c r="R1318" t="s">
        <v>4</v>
      </c>
      <c r="S1318" t="s">
        <v>46</v>
      </c>
    </row>
    <row r="1319" spans="1:19" x14ac:dyDescent="0.3">
      <c r="A1319" s="2" t="s">
        <v>173</v>
      </c>
      <c r="B1319" s="4" t="s">
        <v>402</v>
      </c>
      <c r="C1319" s="3" t="s">
        <v>54</v>
      </c>
      <c r="D1319" t="s">
        <v>529</v>
      </c>
      <c r="G1319">
        <f>1+2/24</f>
        <v>1.0833333333333333</v>
      </c>
      <c r="H1319" t="s">
        <v>577</v>
      </c>
      <c r="K1319">
        <v>1255.89813508104</v>
      </c>
      <c r="L1319" t="s">
        <v>550</v>
      </c>
      <c r="M1319" t="s">
        <v>535</v>
      </c>
      <c r="Q1319" t="s">
        <v>468</v>
      </c>
      <c r="R1319" t="s">
        <v>4</v>
      </c>
      <c r="S1319" t="s">
        <v>46</v>
      </c>
    </row>
    <row r="1320" spans="1:19" x14ac:dyDescent="0.3">
      <c r="A1320" s="2" t="s">
        <v>173</v>
      </c>
      <c r="B1320" s="4" t="s">
        <v>402</v>
      </c>
      <c r="C1320" s="3" t="s">
        <v>54</v>
      </c>
      <c r="D1320" t="s">
        <v>529</v>
      </c>
      <c r="G1320">
        <f>1+3/24</f>
        <v>1.125</v>
      </c>
      <c r="H1320" t="s">
        <v>577</v>
      </c>
      <c r="K1320">
        <v>1642.5861697801799</v>
      </c>
      <c r="L1320" t="s">
        <v>550</v>
      </c>
      <c r="M1320" t="s">
        <v>535</v>
      </c>
      <c r="Q1320" t="s">
        <v>468</v>
      </c>
      <c r="R1320" t="s">
        <v>4</v>
      </c>
      <c r="S1320" t="s">
        <v>46</v>
      </c>
    </row>
    <row r="1321" spans="1:19" x14ac:dyDescent="0.3">
      <c r="A1321" s="2" t="s">
        <v>173</v>
      </c>
      <c r="B1321" s="4" t="s">
        <v>402</v>
      </c>
      <c r="C1321" s="3" t="s">
        <v>54</v>
      </c>
      <c r="D1321" t="s">
        <v>529</v>
      </c>
      <c r="G1321">
        <f>1+4/24</f>
        <v>1.1666666666666667</v>
      </c>
      <c r="H1321" t="s">
        <v>577</v>
      </c>
      <c r="K1321">
        <v>1673.51081557315</v>
      </c>
      <c r="L1321" t="s">
        <v>550</v>
      </c>
      <c r="M1321" t="s">
        <v>535</v>
      </c>
      <c r="Q1321" t="s">
        <v>468</v>
      </c>
      <c r="R1321" t="s">
        <v>4</v>
      </c>
      <c r="S1321" t="s">
        <v>46</v>
      </c>
    </row>
    <row r="1322" spans="1:19" x14ac:dyDescent="0.3">
      <c r="A1322" s="2" t="s">
        <v>173</v>
      </c>
      <c r="B1322" s="4" t="s">
        <v>402</v>
      </c>
      <c r="C1322" s="3" t="s">
        <v>54</v>
      </c>
      <c r="D1322" t="s">
        <v>529</v>
      </c>
      <c r="G1322">
        <f>1+5/24</f>
        <v>1.2083333333333333</v>
      </c>
      <c r="H1322" t="s">
        <v>577</v>
      </c>
      <c r="K1322">
        <v>1757.0295245612699</v>
      </c>
      <c r="L1322" t="s">
        <v>550</v>
      </c>
      <c r="M1322" t="s">
        <v>535</v>
      </c>
      <c r="Q1322" t="s">
        <v>468</v>
      </c>
      <c r="R1322" t="s">
        <v>4</v>
      </c>
      <c r="S1322" t="s">
        <v>46</v>
      </c>
    </row>
    <row r="1323" spans="1:19" x14ac:dyDescent="0.3">
      <c r="A1323" s="2" t="s">
        <v>173</v>
      </c>
      <c r="B1323" s="4" t="s">
        <v>402</v>
      </c>
      <c r="C1323" s="3" t="s">
        <v>54</v>
      </c>
      <c r="D1323" t="s">
        <v>529</v>
      </c>
      <c r="G1323">
        <f>1+6/24</f>
        <v>1.25</v>
      </c>
      <c r="H1323" t="s">
        <v>577</v>
      </c>
      <c r="K1323">
        <v>1596.15215952671</v>
      </c>
      <c r="L1323" t="s">
        <v>550</v>
      </c>
      <c r="M1323" t="s">
        <v>535</v>
      </c>
      <c r="Q1323" t="s">
        <v>468</v>
      </c>
      <c r="R1323" t="s">
        <v>4</v>
      </c>
      <c r="S1323" t="s">
        <v>46</v>
      </c>
    </row>
    <row r="1324" spans="1:19" x14ac:dyDescent="0.3">
      <c r="A1324" s="2" t="s">
        <v>173</v>
      </c>
      <c r="B1324" s="4" t="s">
        <v>402</v>
      </c>
      <c r="C1324" s="3" t="s">
        <v>54</v>
      </c>
      <c r="D1324" t="s">
        <v>529</v>
      </c>
      <c r="G1324">
        <f>1+7/24</f>
        <v>1.2916666666666667</v>
      </c>
      <c r="H1324" t="s">
        <v>577</v>
      </c>
      <c r="K1324">
        <v>1568.30036437279</v>
      </c>
      <c r="L1324" t="s">
        <v>550</v>
      </c>
      <c r="M1324" t="s">
        <v>535</v>
      </c>
      <c r="Q1324" t="s">
        <v>468</v>
      </c>
      <c r="R1324" t="s">
        <v>4</v>
      </c>
      <c r="S1324" t="s">
        <v>46</v>
      </c>
    </row>
    <row r="1325" spans="1:19" x14ac:dyDescent="0.3">
      <c r="A1325" s="2" t="s">
        <v>173</v>
      </c>
      <c r="B1325" s="4" t="s">
        <v>402</v>
      </c>
      <c r="C1325" s="3" t="s">
        <v>54</v>
      </c>
      <c r="D1325" t="s">
        <v>529</v>
      </c>
      <c r="G1325">
        <f>1+8/24</f>
        <v>1.3333333333333333</v>
      </c>
      <c r="H1325" t="s">
        <v>577</v>
      </c>
      <c r="K1325">
        <v>1506.4191802010801</v>
      </c>
      <c r="L1325" t="s">
        <v>550</v>
      </c>
      <c r="M1325" t="s">
        <v>535</v>
      </c>
      <c r="Q1325" t="s">
        <v>468</v>
      </c>
      <c r="R1325" t="s">
        <v>4</v>
      </c>
      <c r="S1325" t="s">
        <v>46</v>
      </c>
    </row>
    <row r="1326" spans="1:19" x14ac:dyDescent="0.3">
      <c r="A1326" s="2" t="s">
        <v>173</v>
      </c>
      <c r="B1326" s="4" t="s">
        <v>402</v>
      </c>
      <c r="C1326" s="3" t="s">
        <v>54</v>
      </c>
      <c r="D1326" t="s">
        <v>529</v>
      </c>
      <c r="G1326">
        <f>1+12/24</f>
        <v>1.5</v>
      </c>
      <c r="H1326" t="s">
        <v>577</v>
      </c>
      <c r="K1326">
        <v>1425.9462131540899</v>
      </c>
      <c r="L1326" t="s">
        <v>550</v>
      </c>
      <c r="M1326" t="s">
        <v>535</v>
      </c>
      <c r="Q1326" t="s">
        <v>468</v>
      </c>
      <c r="R1326" t="s">
        <v>4</v>
      </c>
      <c r="S1326" t="s">
        <v>46</v>
      </c>
    </row>
    <row r="1327" spans="1:19" x14ac:dyDescent="0.3">
      <c r="A1327" s="2" t="s">
        <v>173</v>
      </c>
      <c r="B1327" s="4" t="s">
        <v>402</v>
      </c>
      <c r="C1327" s="3" t="s">
        <v>54</v>
      </c>
      <c r="D1327" t="s">
        <v>529</v>
      </c>
      <c r="G1327">
        <f>1+16/24</f>
        <v>1.6666666666666665</v>
      </c>
      <c r="H1327" t="s">
        <v>577</v>
      </c>
      <c r="K1327">
        <v>1314.5374379091199</v>
      </c>
      <c r="L1327" t="s">
        <v>550</v>
      </c>
      <c r="M1327" t="s">
        <v>535</v>
      </c>
      <c r="Q1327" t="s">
        <v>468</v>
      </c>
      <c r="R1327" t="s">
        <v>4</v>
      </c>
      <c r="S1327" t="s">
        <v>46</v>
      </c>
    </row>
    <row r="1328" spans="1:19" x14ac:dyDescent="0.3">
      <c r="A1328" s="2" t="s">
        <v>173</v>
      </c>
      <c r="B1328" s="4" t="s">
        <v>402</v>
      </c>
      <c r="C1328" s="3" t="s">
        <v>54</v>
      </c>
      <c r="D1328" t="s">
        <v>529</v>
      </c>
      <c r="G1328">
        <v>2</v>
      </c>
      <c r="H1328" t="s">
        <v>577</v>
      </c>
      <c r="K1328">
        <v>1036.03702729208</v>
      </c>
      <c r="L1328" t="s">
        <v>550</v>
      </c>
      <c r="M1328" t="s">
        <v>535</v>
      </c>
      <c r="Q1328" t="s">
        <v>468</v>
      </c>
      <c r="R1328" t="s">
        <v>4</v>
      </c>
      <c r="S1328" t="s">
        <v>46</v>
      </c>
    </row>
    <row r="1329" spans="1:19" x14ac:dyDescent="0.3">
      <c r="A1329" s="2" t="s">
        <v>173</v>
      </c>
      <c r="B1329" s="4" t="s">
        <v>402</v>
      </c>
      <c r="C1329" s="3" t="s">
        <v>54</v>
      </c>
      <c r="D1329" t="s">
        <v>529</v>
      </c>
      <c r="G1329">
        <v>3</v>
      </c>
      <c r="H1329" t="s">
        <v>577</v>
      </c>
      <c r="K1329">
        <v>1561.70657226461</v>
      </c>
      <c r="L1329" t="s">
        <v>550</v>
      </c>
      <c r="M1329" t="s">
        <v>535</v>
      </c>
      <c r="Q1329" t="s">
        <v>468</v>
      </c>
      <c r="R1329" t="s">
        <v>4</v>
      </c>
      <c r="S1329" t="s">
        <v>46</v>
      </c>
    </row>
    <row r="1330" spans="1:19" x14ac:dyDescent="0.3">
      <c r="A1330" s="2" t="s">
        <v>173</v>
      </c>
      <c r="B1330" s="4" t="s">
        <v>402</v>
      </c>
      <c r="C1330" s="3" t="s">
        <v>54</v>
      </c>
      <c r="D1330" t="s">
        <v>529</v>
      </c>
      <c r="G1330">
        <v>4</v>
      </c>
      <c r="H1330" t="s">
        <v>577</v>
      </c>
      <c r="K1330">
        <v>1774.92604906674</v>
      </c>
      <c r="L1330" t="s">
        <v>550</v>
      </c>
      <c r="M1330" t="s">
        <v>535</v>
      </c>
      <c r="Q1330" t="s">
        <v>468</v>
      </c>
      <c r="R1330" t="s">
        <v>4</v>
      </c>
      <c r="S1330" t="s">
        <v>46</v>
      </c>
    </row>
    <row r="1331" spans="1:19" x14ac:dyDescent="0.3">
      <c r="A1331" s="2" t="s">
        <v>173</v>
      </c>
      <c r="B1331" s="4" t="s">
        <v>402</v>
      </c>
      <c r="C1331" s="3" t="s">
        <v>54</v>
      </c>
      <c r="D1331" t="s">
        <v>529</v>
      </c>
      <c r="G1331">
        <v>5</v>
      </c>
      <c r="H1331" t="s">
        <v>577</v>
      </c>
      <c r="K1331">
        <v>2130.4502435796198</v>
      </c>
      <c r="L1331" t="s">
        <v>550</v>
      </c>
      <c r="M1331" t="s">
        <v>535</v>
      </c>
      <c r="Q1331" t="s">
        <v>468</v>
      </c>
      <c r="R1331" t="s">
        <v>4</v>
      </c>
      <c r="S1331" t="s">
        <v>46</v>
      </c>
    </row>
    <row r="1332" spans="1:19" x14ac:dyDescent="0.3">
      <c r="A1332" s="2" t="s">
        <v>173</v>
      </c>
      <c r="B1332" s="4" t="s">
        <v>402</v>
      </c>
      <c r="C1332" s="3" t="s">
        <v>54</v>
      </c>
      <c r="D1332" t="s">
        <v>529</v>
      </c>
      <c r="G1332">
        <v>6</v>
      </c>
      <c r="H1332" t="s">
        <v>577</v>
      </c>
      <c r="K1332">
        <v>1997.1886685642701</v>
      </c>
      <c r="L1332" t="s">
        <v>550</v>
      </c>
      <c r="M1332" t="s">
        <v>535</v>
      </c>
      <c r="Q1332" t="s">
        <v>468</v>
      </c>
      <c r="R1332" t="s">
        <v>4</v>
      </c>
      <c r="S1332" t="s">
        <v>46</v>
      </c>
    </row>
    <row r="1333" spans="1:19" x14ac:dyDescent="0.3">
      <c r="A1333" s="2" t="s">
        <v>173</v>
      </c>
      <c r="B1333" s="4" t="s">
        <v>402</v>
      </c>
      <c r="C1333" s="3" t="s">
        <v>54</v>
      </c>
      <c r="D1333" t="s">
        <v>529</v>
      </c>
      <c r="G1333">
        <v>7</v>
      </c>
      <c r="H1333" t="s">
        <v>577</v>
      </c>
      <c r="K1333">
        <v>2139.2541918817401</v>
      </c>
      <c r="L1333" t="s">
        <v>550</v>
      </c>
      <c r="M1333" t="s">
        <v>535</v>
      </c>
      <c r="Q1333" t="s">
        <v>468</v>
      </c>
      <c r="R1333" t="s">
        <v>4</v>
      </c>
      <c r="S1333" t="s">
        <v>46</v>
      </c>
    </row>
    <row r="1334" spans="1:19" x14ac:dyDescent="0.3">
      <c r="A1334" s="2" t="s">
        <v>173</v>
      </c>
      <c r="B1334" s="4" t="s">
        <v>402</v>
      </c>
      <c r="C1334" s="3" t="s">
        <v>54</v>
      </c>
      <c r="D1334" t="s">
        <v>529</v>
      </c>
      <c r="G1334">
        <f>7+1/24</f>
        <v>7.041666666666667</v>
      </c>
      <c r="H1334" t="s">
        <v>577</v>
      </c>
      <c r="K1334">
        <v>2609.4689087154402</v>
      </c>
      <c r="L1334" t="s">
        <v>550</v>
      </c>
      <c r="M1334" t="s">
        <v>535</v>
      </c>
      <c r="Q1334" t="s">
        <v>468</v>
      </c>
      <c r="R1334" t="s">
        <v>4</v>
      </c>
      <c r="S1334" t="s">
        <v>46</v>
      </c>
    </row>
    <row r="1335" spans="1:19" x14ac:dyDescent="0.3">
      <c r="A1335" s="2" t="s">
        <v>173</v>
      </c>
      <c r="B1335" s="4" t="s">
        <v>402</v>
      </c>
      <c r="C1335" s="3" t="s">
        <v>54</v>
      </c>
      <c r="D1335" t="s">
        <v>529</v>
      </c>
      <c r="G1335">
        <f>7+2/24</f>
        <v>7.083333333333333</v>
      </c>
      <c r="H1335" t="s">
        <v>577</v>
      </c>
      <c r="K1335">
        <v>3126.08574321684</v>
      </c>
      <c r="L1335" t="s">
        <v>550</v>
      </c>
      <c r="M1335" t="s">
        <v>535</v>
      </c>
      <c r="Q1335" t="s">
        <v>468</v>
      </c>
      <c r="R1335" t="s">
        <v>4</v>
      </c>
      <c r="S1335" t="s">
        <v>46</v>
      </c>
    </row>
    <row r="1336" spans="1:19" x14ac:dyDescent="0.3">
      <c r="A1336" s="2" t="s">
        <v>173</v>
      </c>
      <c r="B1336" s="4" t="s">
        <v>402</v>
      </c>
      <c r="C1336" s="3" t="s">
        <v>54</v>
      </c>
      <c r="D1336" t="s">
        <v>529</v>
      </c>
      <c r="G1336">
        <f>7+3/24</f>
        <v>7.125</v>
      </c>
      <c r="H1336" t="s">
        <v>577</v>
      </c>
      <c r="K1336">
        <v>3537.5224244743699</v>
      </c>
      <c r="L1336" t="s">
        <v>550</v>
      </c>
      <c r="M1336" t="s">
        <v>535</v>
      </c>
      <c r="Q1336" t="s">
        <v>468</v>
      </c>
      <c r="R1336" t="s">
        <v>4</v>
      </c>
      <c r="S1336" t="s">
        <v>46</v>
      </c>
    </row>
    <row r="1337" spans="1:19" x14ac:dyDescent="0.3">
      <c r="A1337" s="2" t="s">
        <v>173</v>
      </c>
      <c r="B1337" s="4" t="s">
        <v>402</v>
      </c>
      <c r="C1337" s="3" t="s">
        <v>54</v>
      </c>
      <c r="D1337" t="s">
        <v>529</v>
      </c>
      <c r="G1337">
        <f>7+4/24</f>
        <v>7.166666666666667</v>
      </c>
      <c r="H1337" t="s">
        <v>577</v>
      </c>
      <c r="K1337">
        <v>3819.0287113003401</v>
      </c>
      <c r="L1337" t="s">
        <v>550</v>
      </c>
      <c r="M1337" t="s">
        <v>535</v>
      </c>
      <c r="Q1337" t="s">
        <v>468</v>
      </c>
      <c r="R1337" t="s">
        <v>4</v>
      </c>
      <c r="S1337" t="s">
        <v>46</v>
      </c>
    </row>
    <row r="1338" spans="1:19" x14ac:dyDescent="0.3">
      <c r="A1338" s="2" t="s">
        <v>173</v>
      </c>
      <c r="B1338" s="4" t="s">
        <v>402</v>
      </c>
      <c r="C1338" s="3" t="s">
        <v>54</v>
      </c>
      <c r="D1338" t="s">
        <v>529</v>
      </c>
      <c r="G1338">
        <f>7+5/24</f>
        <v>7.208333333333333</v>
      </c>
      <c r="H1338" t="s">
        <v>577</v>
      </c>
      <c r="K1338">
        <v>3648.8721984356598</v>
      </c>
      <c r="L1338" t="s">
        <v>550</v>
      </c>
      <c r="M1338" t="s">
        <v>535</v>
      </c>
      <c r="Q1338" t="s">
        <v>468</v>
      </c>
      <c r="R1338" t="s">
        <v>4</v>
      </c>
      <c r="S1338" t="s">
        <v>46</v>
      </c>
    </row>
    <row r="1339" spans="1:19" x14ac:dyDescent="0.3">
      <c r="A1339" s="2" t="s">
        <v>173</v>
      </c>
      <c r="B1339" s="4" t="s">
        <v>402</v>
      </c>
      <c r="C1339" s="3" t="s">
        <v>54</v>
      </c>
      <c r="D1339" t="s">
        <v>529</v>
      </c>
      <c r="G1339">
        <f>7+6/24</f>
        <v>7.25</v>
      </c>
      <c r="H1339" t="s">
        <v>577</v>
      </c>
      <c r="K1339">
        <v>3410.65690753542</v>
      </c>
      <c r="L1339" t="s">
        <v>550</v>
      </c>
      <c r="M1339" t="s">
        <v>535</v>
      </c>
      <c r="Q1339" t="s">
        <v>468</v>
      </c>
      <c r="R1339" t="s">
        <v>4</v>
      </c>
      <c r="S1339" t="s">
        <v>46</v>
      </c>
    </row>
    <row r="1340" spans="1:19" x14ac:dyDescent="0.3">
      <c r="A1340" s="2" t="s">
        <v>173</v>
      </c>
      <c r="B1340" s="4" t="s">
        <v>402</v>
      </c>
      <c r="C1340" s="3" t="s">
        <v>54</v>
      </c>
      <c r="D1340" t="s">
        <v>529</v>
      </c>
      <c r="G1340">
        <f>7+7/24</f>
        <v>7.291666666666667</v>
      </c>
      <c r="H1340" t="s">
        <v>577</v>
      </c>
      <c r="K1340">
        <v>3447.76871496798</v>
      </c>
      <c r="L1340" t="s">
        <v>550</v>
      </c>
      <c r="M1340" t="s">
        <v>535</v>
      </c>
      <c r="Q1340" t="s">
        <v>468</v>
      </c>
      <c r="R1340" t="s">
        <v>4</v>
      </c>
      <c r="S1340" t="s">
        <v>46</v>
      </c>
    </row>
    <row r="1341" spans="1:19" x14ac:dyDescent="0.3">
      <c r="A1341" s="2" t="s">
        <v>173</v>
      </c>
      <c r="B1341" s="4" t="s">
        <v>402</v>
      </c>
      <c r="C1341" s="3" t="s">
        <v>54</v>
      </c>
      <c r="D1341" t="s">
        <v>529</v>
      </c>
      <c r="G1341">
        <f>7+8/24</f>
        <v>7.333333333333333</v>
      </c>
      <c r="H1341" t="s">
        <v>577</v>
      </c>
      <c r="K1341">
        <v>3500.3500211288301</v>
      </c>
      <c r="L1341" t="s">
        <v>550</v>
      </c>
      <c r="M1341" t="s">
        <v>535</v>
      </c>
      <c r="Q1341" t="s">
        <v>468</v>
      </c>
      <c r="R1341" t="s">
        <v>4</v>
      </c>
      <c r="S1341" t="s">
        <v>46</v>
      </c>
    </row>
    <row r="1342" spans="1:19" x14ac:dyDescent="0.3">
      <c r="A1342" s="2" t="s">
        <v>173</v>
      </c>
      <c r="B1342" s="4" t="s">
        <v>402</v>
      </c>
      <c r="C1342" s="3" t="s">
        <v>54</v>
      </c>
      <c r="D1342" t="s">
        <v>529</v>
      </c>
      <c r="G1342">
        <f>7+12/24</f>
        <v>7.5</v>
      </c>
      <c r="H1342" t="s">
        <v>577</v>
      </c>
      <c r="K1342">
        <v>3020.80512832779</v>
      </c>
      <c r="L1342" t="s">
        <v>550</v>
      </c>
      <c r="M1342" t="s">
        <v>535</v>
      </c>
      <c r="Q1342" t="s">
        <v>468</v>
      </c>
      <c r="R1342" t="s">
        <v>4</v>
      </c>
      <c r="S1342" t="s">
        <v>46</v>
      </c>
    </row>
    <row r="1343" spans="1:19" x14ac:dyDescent="0.3">
      <c r="A1343" s="2" t="s">
        <v>173</v>
      </c>
      <c r="B1343" s="4" t="s">
        <v>402</v>
      </c>
      <c r="C1343" s="3" t="s">
        <v>54</v>
      </c>
      <c r="D1343" t="s">
        <v>529</v>
      </c>
      <c r="G1343">
        <f>7+16/24</f>
        <v>7.666666666666667</v>
      </c>
      <c r="H1343" t="s">
        <v>577</v>
      </c>
      <c r="K1343">
        <v>2606.2254327425198</v>
      </c>
      <c r="L1343" t="s">
        <v>550</v>
      </c>
      <c r="M1343" t="s">
        <v>535</v>
      </c>
      <c r="Q1343" t="s">
        <v>468</v>
      </c>
      <c r="R1343" t="s">
        <v>4</v>
      </c>
      <c r="S1343" t="s">
        <v>46</v>
      </c>
    </row>
    <row r="1344" spans="1:19" x14ac:dyDescent="0.3">
      <c r="A1344" s="2" t="s">
        <v>173</v>
      </c>
      <c r="B1344" s="4" t="s">
        <v>402</v>
      </c>
      <c r="C1344" s="3" t="s">
        <v>54</v>
      </c>
      <c r="D1344" t="s">
        <v>529</v>
      </c>
      <c r="G1344">
        <f>7+24/24</f>
        <v>8</v>
      </c>
      <c r="H1344" t="s">
        <v>577</v>
      </c>
      <c r="K1344">
        <v>2290.6020522878898</v>
      </c>
      <c r="L1344" t="s">
        <v>550</v>
      </c>
      <c r="M1344" t="s">
        <v>535</v>
      </c>
      <c r="Q1344" t="s">
        <v>468</v>
      </c>
      <c r="R1344" t="s">
        <v>4</v>
      </c>
      <c r="S1344" t="s">
        <v>46</v>
      </c>
    </row>
    <row r="1345" spans="1:19" x14ac:dyDescent="0.3">
      <c r="A1345" s="2" t="s">
        <v>173</v>
      </c>
      <c r="B1345" s="4" t="s">
        <v>402</v>
      </c>
      <c r="C1345" s="3" t="s">
        <v>54</v>
      </c>
      <c r="D1345" t="s">
        <v>529</v>
      </c>
      <c r="G1345">
        <f>7+30/24</f>
        <v>8.25</v>
      </c>
      <c r="H1345" t="s">
        <v>577</v>
      </c>
      <c r="K1345">
        <v>1699.66751979333</v>
      </c>
      <c r="L1345" t="s">
        <v>550</v>
      </c>
      <c r="M1345" t="s">
        <v>535</v>
      </c>
      <c r="Q1345" t="s">
        <v>468</v>
      </c>
      <c r="R1345" t="s">
        <v>4</v>
      </c>
      <c r="S1345" t="s">
        <v>46</v>
      </c>
    </row>
    <row r="1346" spans="1:19" x14ac:dyDescent="0.3">
      <c r="A1346" s="2" t="s">
        <v>173</v>
      </c>
      <c r="B1346" s="4" t="s">
        <v>402</v>
      </c>
      <c r="C1346" s="3" t="s">
        <v>54</v>
      </c>
      <c r="D1346" t="s">
        <v>529</v>
      </c>
      <c r="G1346">
        <f>7+36/24</f>
        <v>8.5</v>
      </c>
      <c r="H1346" t="s">
        <v>577</v>
      </c>
      <c r="K1346">
        <v>1331.4724009535801</v>
      </c>
      <c r="L1346" t="s">
        <v>550</v>
      </c>
      <c r="M1346" t="s">
        <v>535</v>
      </c>
      <c r="Q1346" t="s">
        <v>468</v>
      </c>
      <c r="R1346" t="s">
        <v>4</v>
      </c>
      <c r="S1346" t="s">
        <v>46</v>
      </c>
    </row>
    <row r="1347" spans="1:19" x14ac:dyDescent="0.3">
      <c r="A1347" s="2" t="s">
        <v>173</v>
      </c>
      <c r="B1347" s="4" t="s">
        <v>402</v>
      </c>
      <c r="C1347" s="3" t="s">
        <v>54</v>
      </c>
      <c r="D1347" t="s">
        <v>529</v>
      </c>
      <c r="G1347">
        <v>9</v>
      </c>
      <c r="H1347" t="s">
        <v>577</v>
      </c>
      <c r="K1347">
        <v>882.78358488610399</v>
      </c>
      <c r="L1347" t="s">
        <v>550</v>
      </c>
      <c r="M1347" t="s">
        <v>535</v>
      </c>
      <c r="Q1347" t="s">
        <v>468</v>
      </c>
      <c r="R1347" t="s">
        <v>4</v>
      </c>
      <c r="S1347" t="s">
        <v>46</v>
      </c>
    </row>
    <row r="1348" spans="1:19" x14ac:dyDescent="0.3">
      <c r="A1348" s="2" t="s">
        <v>173</v>
      </c>
      <c r="B1348" s="4" t="s">
        <v>402</v>
      </c>
      <c r="C1348" s="3" t="s">
        <v>54</v>
      </c>
      <c r="D1348" t="s">
        <v>529</v>
      </c>
      <c r="G1348">
        <v>10</v>
      </c>
      <c r="H1348" t="s">
        <v>577</v>
      </c>
      <c r="K1348">
        <v>369.01156903548798</v>
      </c>
      <c r="L1348" t="s">
        <v>550</v>
      </c>
      <c r="M1348" t="s">
        <v>535</v>
      </c>
      <c r="Q1348" t="s">
        <v>468</v>
      </c>
      <c r="R1348" t="s">
        <v>4</v>
      </c>
      <c r="S1348" t="s">
        <v>46</v>
      </c>
    </row>
    <row r="1349" spans="1:19" x14ac:dyDescent="0.3">
      <c r="A1349" s="2" t="s">
        <v>173</v>
      </c>
      <c r="B1349" s="4" t="s">
        <v>402</v>
      </c>
      <c r="C1349" s="3" t="s">
        <v>54</v>
      </c>
      <c r="D1349" t="s">
        <v>529</v>
      </c>
      <c r="G1349">
        <v>11</v>
      </c>
      <c r="H1349" t="s">
        <v>577</v>
      </c>
      <c r="K1349">
        <v>149.12973106576899</v>
      </c>
      <c r="L1349" t="s">
        <v>550</v>
      </c>
      <c r="M1349" t="s">
        <v>535</v>
      </c>
      <c r="Q1349" t="s">
        <v>468</v>
      </c>
      <c r="R1349" t="s">
        <v>4</v>
      </c>
      <c r="S1349" t="s">
        <v>46</v>
      </c>
    </row>
    <row r="1350" spans="1:19" x14ac:dyDescent="0.3">
      <c r="A1350" s="2" t="s">
        <v>173</v>
      </c>
      <c r="B1350" s="4" t="s">
        <v>402</v>
      </c>
      <c r="C1350" s="3" t="s">
        <v>54</v>
      </c>
      <c r="D1350" t="s">
        <v>529</v>
      </c>
      <c r="G1350">
        <v>12</v>
      </c>
      <c r="H1350" t="s">
        <v>577</v>
      </c>
      <c r="K1350">
        <v>59.176692898317903</v>
      </c>
      <c r="L1350" t="s">
        <v>550</v>
      </c>
      <c r="M1350" t="s">
        <v>535</v>
      </c>
      <c r="Q1350" t="s">
        <v>468</v>
      </c>
      <c r="R1350" t="s">
        <v>4</v>
      </c>
      <c r="S1350" t="s">
        <v>46</v>
      </c>
    </row>
    <row r="1351" spans="1:19" x14ac:dyDescent="0.3">
      <c r="A1351" s="2" t="s">
        <v>173</v>
      </c>
      <c r="B1351" s="4" t="s">
        <v>402</v>
      </c>
      <c r="C1351" s="3" t="s">
        <v>54</v>
      </c>
      <c r="D1351" t="s">
        <v>529</v>
      </c>
      <c r="G1351">
        <v>13</v>
      </c>
      <c r="H1351" t="s">
        <v>577</v>
      </c>
      <c r="K1351">
        <v>24.909704116535</v>
      </c>
      <c r="L1351" t="s">
        <v>550</v>
      </c>
      <c r="M1351" t="s">
        <v>535</v>
      </c>
      <c r="Q1351" t="s">
        <v>468</v>
      </c>
      <c r="R1351" t="s">
        <v>4</v>
      </c>
      <c r="S1351" t="s">
        <v>46</v>
      </c>
    </row>
    <row r="1352" spans="1:19" x14ac:dyDescent="0.3">
      <c r="A1352" s="2" t="s">
        <v>173</v>
      </c>
      <c r="B1352" s="4" t="s">
        <v>402</v>
      </c>
      <c r="C1352" s="3" t="s">
        <v>54</v>
      </c>
      <c r="D1352" t="s">
        <v>529</v>
      </c>
      <c r="G1352">
        <v>14</v>
      </c>
      <c r="H1352" t="s">
        <v>577</v>
      </c>
      <c r="K1352">
        <v>3.0170386139479799</v>
      </c>
      <c r="L1352" t="s">
        <v>550</v>
      </c>
      <c r="M1352" t="s">
        <v>535</v>
      </c>
      <c r="Q1352" t="s">
        <v>468</v>
      </c>
      <c r="R1352" t="s">
        <v>4</v>
      </c>
      <c r="S1352" t="s">
        <v>46</v>
      </c>
    </row>
    <row r="1353" spans="1:19" x14ac:dyDescent="0.3">
      <c r="A1353" s="2" t="s">
        <v>174</v>
      </c>
      <c r="B1353" s="4" t="s">
        <v>403</v>
      </c>
      <c r="C1353" s="3" t="s">
        <v>54</v>
      </c>
      <c r="D1353" t="s">
        <v>529</v>
      </c>
      <c r="G1353">
        <f>1+1/24</f>
        <v>1.0416666666666667</v>
      </c>
      <c r="H1353" t="s">
        <v>577</v>
      </c>
      <c r="K1353">
        <v>547.47769512282605</v>
      </c>
      <c r="L1353" t="s">
        <v>550</v>
      </c>
      <c r="M1353" t="s">
        <v>535</v>
      </c>
      <c r="Q1353" t="s">
        <v>468</v>
      </c>
      <c r="R1353" t="s">
        <v>4</v>
      </c>
      <c r="S1353" t="s">
        <v>46</v>
      </c>
    </row>
    <row r="1354" spans="1:19" x14ac:dyDescent="0.3">
      <c r="A1354" s="2" t="s">
        <v>174</v>
      </c>
      <c r="B1354" s="4" t="s">
        <v>403</v>
      </c>
      <c r="C1354" s="3" t="s">
        <v>54</v>
      </c>
      <c r="D1354" t="s">
        <v>529</v>
      </c>
      <c r="G1354">
        <f>1+2/24</f>
        <v>1.0833333333333333</v>
      </c>
      <c r="H1354" t="s">
        <v>577</v>
      </c>
      <c r="K1354">
        <v>1509.57176230455</v>
      </c>
      <c r="L1354" t="s">
        <v>550</v>
      </c>
      <c r="M1354" t="s">
        <v>535</v>
      </c>
      <c r="Q1354" t="s">
        <v>468</v>
      </c>
      <c r="R1354" t="s">
        <v>4</v>
      </c>
      <c r="S1354" t="s">
        <v>46</v>
      </c>
    </row>
    <row r="1355" spans="1:19" x14ac:dyDescent="0.3">
      <c r="A1355" s="2" t="s">
        <v>174</v>
      </c>
      <c r="B1355" s="4" t="s">
        <v>403</v>
      </c>
      <c r="C1355" s="3" t="s">
        <v>54</v>
      </c>
      <c r="D1355" t="s">
        <v>529</v>
      </c>
      <c r="G1355">
        <f>1+3/24</f>
        <v>1.125</v>
      </c>
      <c r="H1355" t="s">
        <v>577</v>
      </c>
      <c r="K1355">
        <v>1791.07804913052</v>
      </c>
      <c r="L1355" t="s">
        <v>550</v>
      </c>
      <c r="M1355" t="s">
        <v>535</v>
      </c>
      <c r="Q1355" t="s">
        <v>468</v>
      </c>
      <c r="R1355" t="s">
        <v>4</v>
      </c>
      <c r="S1355" t="s">
        <v>46</v>
      </c>
    </row>
    <row r="1356" spans="1:19" x14ac:dyDescent="0.3">
      <c r="A1356" s="2" t="s">
        <v>174</v>
      </c>
      <c r="B1356" s="4" t="s">
        <v>403</v>
      </c>
      <c r="C1356" s="3" t="s">
        <v>54</v>
      </c>
      <c r="D1356" t="s">
        <v>529</v>
      </c>
      <c r="G1356">
        <f>1+4/24</f>
        <v>1.1666666666666667</v>
      </c>
      <c r="H1356" t="s">
        <v>577</v>
      </c>
      <c r="K1356">
        <v>1794.1620621745899</v>
      </c>
      <c r="L1356" t="s">
        <v>550</v>
      </c>
      <c r="M1356" t="s">
        <v>535</v>
      </c>
      <c r="Q1356" t="s">
        <v>468</v>
      </c>
      <c r="R1356" t="s">
        <v>4</v>
      </c>
      <c r="S1356" t="s">
        <v>46</v>
      </c>
    </row>
    <row r="1357" spans="1:19" x14ac:dyDescent="0.3">
      <c r="A1357" s="2" t="s">
        <v>174</v>
      </c>
      <c r="B1357" s="4" t="s">
        <v>403</v>
      </c>
      <c r="C1357" s="3" t="s">
        <v>54</v>
      </c>
      <c r="D1357" t="s">
        <v>529</v>
      </c>
      <c r="G1357">
        <f>1+5/24</f>
        <v>1.2083333333333333</v>
      </c>
      <c r="H1357" t="s">
        <v>577</v>
      </c>
      <c r="K1357">
        <v>1905.51980928233</v>
      </c>
      <c r="L1357" t="s">
        <v>550</v>
      </c>
      <c r="M1357" t="s">
        <v>535</v>
      </c>
      <c r="Q1357" t="s">
        <v>468</v>
      </c>
      <c r="R1357" t="s">
        <v>4</v>
      </c>
      <c r="S1357" t="s">
        <v>46</v>
      </c>
    </row>
    <row r="1358" spans="1:19" x14ac:dyDescent="0.3">
      <c r="A1358" s="2" t="s">
        <v>174</v>
      </c>
      <c r="B1358" s="4" t="s">
        <v>403</v>
      </c>
      <c r="C1358" s="3" t="s">
        <v>54</v>
      </c>
      <c r="D1358" t="s">
        <v>529</v>
      </c>
      <c r="G1358">
        <f>1+7/24</f>
        <v>1.2916666666666667</v>
      </c>
      <c r="H1358" t="s">
        <v>577</v>
      </c>
      <c r="K1358">
        <v>1781.7574409389099</v>
      </c>
      <c r="L1358" t="s">
        <v>550</v>
      </c>
      <c r="M1358" t="s">
        <v>535</v>
      </c>
      <c r="Q1358" t="s">
        <v>468</v>
      </c>
      <c r="R1358" t="s">
        <v>4</v>
      </c>
      <c r="S1358" t="s">
        <v>46</v>
      </c>
    </row>
    <row r="1359" spans="1:19" x14ac:dyDescent="0.3">
      <c r="A1359" s="2" t="s">
        <v>174</v>
      </c>
      <c r="B1359" s="4" t="s">
        <v>403</v>
      </c>
      <c r="C1359" s="3" t="s">
        <v>54</v>
      </c>
      <c r="D1359" t="s">
        <v>529</v>
      </c>
      <c r="G1359">
        <f>1+8/24</f>
        <v>1.3333333333333333</v>
      </c>
      <c r="H1359" t="s">
        <v>577</v>
      </c>
      <c r="K1359">
        <v>1791.0270209932901</v>
      </c>
      <c r="L1359" t="s">
        <v>550</v>
      </c>
      <c r="M1359" t="s">
        <v>535</v>
      </c>
      <c r="Q1359" t="s">
        <v>468</v>
      </c>
      <c r="R1359" t="s">
        <v>4</v>
      </c>
      <c r="S1359" t="s">
        <v>46</v>
      </c>
    </row>
    <row r="1360" spans="1:19" x14ac:dyDescent="0.3">
      <c r="A1360" s="2" t="s">
        <v>174</v>
      </c>
      <c r="B1360" s="4" t="s">
        <v>403</v>
      </c>
      <c r="C1360" s="3" t="s">
        <v>54</v>
      </c>
      <c r="D1360" t="s">
        <v>529</v>
      </c>
      <c r="G1360">
        <f>1+12/24</f>
        <v>1.5</v>
      </c>
      <c r="H1360" t="s">
        <v>577</v>
      </c>
      <c r="K1360">
        <v>1568.2493362355499</v>
      </c>
      <c r="L1360" t="s">
        <v>550</v>
      </c>
      <c r="M1360" t="s">
        <v>535</v>
      </c>
      <c r="Q1360" t="s">
        <v>468</v>
      </c>
      <c r="R1360" t="s">
        <v>4</v>
      </c>
      <c r="S1360" t="s">
        <v>46</v>
      </c>
    </row>
    <row r="1361" spans="1:19" x14ac:dyDescent="0.3">
      <c r="A1361" s="2" t="s">
        <v>174</v>
      </c>
      <c r="B1361" s="4" t="s">
        <v>403</v>
      </c>
      <c r="C1361" s="3" t="s">
        <v>54</v>
      </c>
      <c r="D1361" t="s">
        <v>529</v>
      </c>
      <c r="G1361">
        <f>1+16/24</f>
        <v>1.6666666666666665</v>
      </c>
      <c r="H1361" t="s">
        <v>577</v>
      </c>
      <c r="K1361">
        <v>1370.2218926655</v>
      </c>
      <c r="L1361" t="s">
        <v>550</v>
      </c>
      <c r="M1361" t="s">
        <v>535</v>
      </c>
      <c r="Q1361" t="s">
        <v>468</v>
      </c>
      <c r="R1361" t="s">
        <v>4</v>
      </c>
      <c r="S1361" t="s">
        <v>46</v>
      </c>
    </row>
    <row r="1362" spans="1:19" x14ac:dyDescent="0.3">
      <c r="A1362" s="2" t="s">
        <v>174</v>
      </c>
      <c r="B1362" s="4" t="s">
        <v>403</v>
      </c>
      <c r="C1362" s="3" t="s">
        <v>54</v>
      </c>
      <c r="D1362" t="s">
        <v>529</v>
      </c>
      <c r="G1362">
        <v>2</v>
      </c>
      <c r="H1362" t="s">
        <v>577</v>
      </c>
      <c r="K1362">
        <v>1073.1584025003699</v>
      </c>
      <c r="L1362" t="s">
        <v>550</v>
      </c>
      <c r="M1362" t="s">
        <v>535</v>
      </c>
      <c r="Q1362" t="s">
        <v>468</v>
      </c>
      <c r="R1362" t="s">
        <v>4</v>
      </c>
      <c r="S1362" t="s">
        <v>46</v>
      </c>
    </row>
    <row r="1363" spans="1:19" x14ac:dyDescent="0.3">
      <c r="A1363" s="2" t="s">
        <v>174</v>
      </c>
      <c r="B1363" s="4" t="s">
        <v>403</v>
      </c>
      <c r="C1363" s="3" t="s">
        <v>54</v>
      </c>
      <c r="D1363" t="s">
        <v>529</v>
      </c>
      <c r="G1363">
        <v>3</v>
      </c>
      <c r="H1363" t="s">
        <v>577</v>
      </c>
      <c r="K1363">
        <v>1614.29744620119</v>
      </c>
      <c r="L1363" t="s">
        <v>550</v>
      </c>
      <c r="M1363" t="s">
        <v>535</v>
      </c>
      <c r="Q1363" t="s">
        <v>468</v>
      </c>
      <c r="R1363" t="s">
        <v>4</v>
      </c>
      <c r="S1363" t="s">
        <v>46</v>
      </c>
    </row>
    <row r="1364" spans="1:19" x14ac:dyDescent="0.3">
      <c r="A1364" s="2" t="s">
        <v>174</v>
      </c>
      <c r="B1364" s="4" t="s">
        <v>403</v>
      </c>
      <c r="C1364" s="3" t="s">
        <v>54</v>
      </c>
      <c r="D1364" t="s">
        <v>529</v>
      </c>
      <c r="G1364">
        <v>4</v>
      </c>
      <c r="H1364" t="s">
        <v>577</v>
      </c>
      <c r="K1364">
        <v>2003.8510297318601</v>
      </c>
      <c r="L1364" t="s">
        <v>550</v>
      </c>
      <c r="M1364" t="s">
        <v>535</v>
      </c>
      <c r="Q1364" t="s">
        <v>468</v>
      </c>
      <c r="R1364" t="s">
        <v>4</v>
      </c>
      <c r="S1364" t="s">
        <v>46</v>
      </c>
    </row>
    <row r="1365" spans="1:19" x14ac:dyDescent="0.3">
      <c r="A1365" s="2" t="s">
        <v>174</v>
      </c>
      <c r="B1365" s="4" t="s">
        <v>403</v>
      </c>
      <c r="C1365" s="3" t="s">
        <v>54</v>
      </c>
      <c r="D1365" t="s">
        <v>529</v>
      </c>
      <c r="G1365">
        <v>5</v>
      </c>
      <c r="H1365" t="s">
        <v>577</v>
      </c>
      <c r="K1365">
        <v>2254.1934763715799</v>
      </c>
      <c r="L1365" t="s">
        <v>550</v>
      </c>
      <c r="M1365" t="s">
        <v>535</v>
      </c>
      <c r="Q1365" t="s">
        <v>468</v>
      </c>
      <c r="R1365" t="s">
        <v>4</v>
      </c>
      <c r="S1365" t="s">
        <v>46</v>
      </c>
    </row>
    <row r="1366" spans="1:19" x14ac:dyDescent="0.3">
      <c r="A1366" s="2" t="s">
        <v>174</v>
      </c>
      <c r="B1366" s="4" t="s">
        <v>403</v>
      </c>
      <c r="C1366" s="3" t="s">
        <v>54</v>
      </c>
      <c r="D1366" t="s">
        <v>529</v>
      </c>
      <c r="G1366">
        <v>6</v>
      </c>
      <c r="H1366" t="s">
        <v>577</v>
      </c>
      <c r="K1366">
        <v>2306.5467505441602</v>
      </c>
      <c r="L1366" t="s">
        <v>550</v>
      </c>
      <c r="M1366" t="s">
        <v>535</v>
      </c>
      <c r="Q1366" t="s">
        <v>468</v>
      </c>
      <c r="R1366" t="s">
        <v>4</v>
      </c>
      <c r="S1366" t="s">
        <v>46</v>
      </c>
    </row>
    <row r="1367" spans="1:19" x14ac:dyDescent="0.3">
      <c r="A1367" s="2" t="s">
        <v>174</v>
      </c>
      <c r="B1367" s="4" t="s">
        <v>403</v>
      </c>
      <c r="C1367" s="3" t="s">
        <v>54</v>
      </c>
      <c r="D1367" t="s">
        <v>529</v>
      </c>
      <c r="G1367">
        <v>6.25</v>
      </c>
      <c r="H1367" t="s">
        <v>577</v>
      </c>
      <c r="K1367">
        <v>1802.23248100397</v>
      </c>
      <c r="L1367" t="s">
        <v>550</v>
      </c>
      <c r="M1367" t="s">
        <v>535</v>
      </c>
      <c r="Q1367" t="s">
        <v>468</v>
      </c>
      <c r="R1367" t="s">
        <v>4</v>
      </c>
      <c r="S1367" t="s">
        <v>46</v>
      </c>
    </row>
    <row r="1368" spans="1:19" x14ac:dyDescent="0.3">
      <c r="A1368" s="2" t="s">
        <v>174</v>
      </c>
      <c r="B1368" s="4" t="s">
        <v>403</v>
      </c>
      <c r="C1368" s="3" t="s">
        <v>54</v>
      </c>
      <c r="D1368" t="s">
        <v>529</v>
      </c>
      <c r="G1368">
        <v>6.5</v>
      </c>
      <c r="H1368" t="s">
        <v>577</v>
      </c>
      <c r="K1368">
        <v>1489.7218169206101</v>
      </c>
      <c r="L1368" t="s">
        <v>550</v>
      </c>
      <c r="M1368" t="s">
        <v>535</v>
      </c>
      <c r="Q1368" t="s">
        <v>468</v>
      </c>
      <c r="R1368" t="s">
        <v>4</v>
      </c>
      <c r="S1368" t="s">
        <v>46</v>
      </c>
    </row>
    <row r="1369" spans="1:19" x14ac:dyDescent="0.3">
      <c r="A1369" s="2" t="s">
        <v>174</v>
      </c>
      <c r="B1369" s="4" t="s">
        <v>403</v>
      </c>
      <c r="C1369" s="3" t="s">
        <v>54</v>
      </c>
      <c r="D1369" t="s">
        <v>529</v>
      </c>
      <c r="G1369">
        <v>7</v>
      </c>
      <c r="H1369" t="s">
        <v>577</v>
      </c>
      <c r="K1369">
        <v>855.41815166519098</v>
      </c>
      <c r="L1369" t="s">
        <v>550</v>
      </c>
      <c r="M1369" t="s">
        <v>535</v>
      </c>
      <c r="Q1369" t="s">
        <v>468</v>
      </c>
      <c r="R1369" t="s">
        <v>4</v>
      </c>
      <c r="S1369" t="s">
        <v>46</v>
      </c>
    </row>
    <row r="1370" spans="1:19" x14ac:dyDescent="0.3">
      <c r="A1370" s="2" t="s">
        <v>174</v>
      </c>
      <c r="B1370" s="4" t="s">
        <v>403</v>
      </c>
      <c r="C1370" s="3" t="s">
        <v>54</v>
      </c>
      <c r="D1370" t="s">
        <v>529</v>
      </c>
      <c r="G1370">
        <v>8</v>
      </c>
      <c r="H1370" t="s">
        <v>577</v>
      </c>
      <c r="K1370">
        <v>344.73812200508701</v>
      </c>
      <c r="L1370" t="s">
        <v>550</v>
      </c>
      <c r="M1370" t="s">
        <v>535</v>
      </c>
      <c r="Q1370" t="s">
        <v>468</v>
      </c>
      <c r="R1370" t="s">
        <v>4</v>
      </c>
      <c r="S1370" t="s">
        <v>46</v>
      </c>
    </row>
    <row r="1371" spans="1:19" x14ac:dyDescent="0.3">
      <c r="A1371" s="2" t="s">
        <v>174</v>
      </c>
      <c r="B1371" s="4" t="s">
        <v>403</v>
      </c>
      <c r="C1371" s="3" t="s">
        <v>54</v>
      </c>
      <c r="D1371" t="s">
        <v>529</v>
      </c>
      <c r="G1371">
        <v>9</v>
      </c>
      <c r="H1371" t="s">
        <v>577</v>
      </c>
      <c r="K1371">
        <v>118.669122395773</v>
      </c>
      <c r="L1371" t="s">
        <v>550</v>
      </c>
      <c r="M1371" t="s">
        <v>535</v>
      </c>
      <c r="Q1371" t="s">
        <v>468</v>
      </c>
      <c r="R1371" t="s">
        <v>4</v>
      </c>
      <c r="S1371" t="s">
        <v>46</v>
      </c>
    </row>
    <row r="1372" spans="1:19" x14ac:dyDescent="0.3">
      <c r="A1372" s="2" t="s">
        <v>174</v>
      </c>
      <c r="B1372" s="4" t="s">
        <v>403</v>
      </c>
      <c r="C1372" s="3" t="s">
        <v>54</v>
      </c>
      <c r="D1372" t="s">
        <v>529</v>
      </c>
      <c r="G1372">
        <v>10</v>
      </c>
      <c r="H1372" t="s">
        <v>577</v>
      </c>
      <c r="K1372">
        <v>47.279163776401198</v>
      </c>
      <c r="L1372" t="s">
        <v>550</v>
      </c>
      <c r="M1372" t="s">
        <v>535</v>
      </c>
      <c r="Q1372" t="s">
        <v>468</v>
      </c>
      <c r="R1372" t="s">
        <v>4</v>
      </c>
      <c r="S1372" t="s">
        <v>46</v>
      </c>
    </row>
    <row r="1373" spans="1:19" x14ac:dyDescent="0.3">
      <c r="A1373" s="2" t="s">
        <v>174</v>
      </c>
      <c r="B1373" s="4" t="s">
        <v>403</v>
      </c>
      <c r="C1373" s="3" t="s">
        <v>54</v>
      </c>
      <c r="D1373" t="s">
        <v>529</v>
      </c>
      <c r="G1373">
        <v>11</v>
      </c>
      <c r="H1373" t="s">
        <v>577</v>
      </c>
      <c r="K1373">
        <v>22.294512083303701</v>
      </c>
      <c r="L1373" t="s">
        <v>550</v>
      </c>
      <c r="M1373" t="s">
        <v>535</v>
      </c>
      <c r="Q1373" t="s">
        <v>468</v>
      </c>
      <c r="R1373" t="s">
        <v>4</v>
      </c>
      <c r="S1373" t="s">
        <v>46</v>
      </c>
    </row>
    <row r="1374" spans="1:19" x14ac:dyDescent="0.3">
      <c r="A1374" s="2" t="s">
        <v>174</v>
      </c>
      <c r="B1374" s="4" t="s">
        <v>403</v>
      </c>
      <c r="C1374" s="3" t="s">
        <v>54</v>
      </c>
      <c r="D1374" t="s">
        <v>529</v>
      </c>
      <c r="G1374">
        <v>12</v>
      </c>
      <c r="H1374" t="s">
        <v>577</v>
      </c>
      <c r="K1374">
        <v>3.4922381419373698</v>
      </c>
      <c r="L1374" t="s">
        <v>550</v>
      </c>
      <c r="M1374" t="s">
        <v>535</v>
      </c>
      <c r="Q1374" t="s">
        <v>468</v>
      </c>
      <c r="R1374" t="s">
        <v>4</v>
      </c>
      <c r="S1374" t="s">
        <v>46</v>
      </c>
    </row>
    <row r="1375" spans="1:19" x14ac:dyDescent="0.3">
      <c r="A1375" s="2" t="s">
        <v>175</v>
      </c>
      <c r="B1375" s="4" t="s">
        <v>405</v>
      </c>
      <c r="C1375" s="3" t="s">
        <v>56</v>
      </c>
      <c r="D1375" t="s">
        <v>528</v>
      </c>
      <c r="G1375">
        <v>0.5</v>
      </c>
      <c r="H1375" t="s">
        <v>514</v>
      </c>
      <c r="K1375">
        <v>40.316016680986699</v>
      </c>
      <c r="L1375" t="s">
        <v>550</v>
      </c>
      <c r="M1375" t="s">
        <v>548</v>
      </c>
      <c r="Q1375" t="s">
        <v>468</v>
      </c>
      <c r="R1375" t="s">
        <v>4</v>
      </c>
      <c r="S1375" t="s">
        <v>46</v>
      </c>
    </row>
    <row r="1376" spans="1:19" x14ac:dyDescent="0.3">
      <c r="A1376" s="2" t="s">
        <v>175</v>
      </c>
      <c r="B1376" s="4" t="s">
        <v>405</v>
      </c>
      <c r="C1376" s="3" t="s">
        <v>56</v>
      </c>
      <c r="D1376" t="s">
        <v>528</v>
      </c>
      <c r="G1376">
        <v>1</v>
      </c>
      <c r="H1376" t="s">
        <v>514</v>
      </c>
      <c r="K1376">
        <v>139.06158972317101</v>
      </c>
      <c r="L1376" t="s">
        <v>550</v>
      </c>
      <c r="M1376" t="s">
        <v>548</v>
      </c>
      <c r="Q1376" t="s">
        <v>468</v>
      </c>
      <c r="R1376" t="s">
        <v>4</v>
      </c>
      <c r="S1376" t="s">
        <v>46</v>
      </c>
    </row>
    <row r="1377" spans="1:19" x14ac:dyDescent="0.3">
      <c r="A1377" s="2" t="s">
        <v>175</v>
      </c>
      <c r="B1377" s="4" t="s">
        <v>405</v>
      </c>
      <c r="C1377" s="3" t="s">
        <v>56</v>
      </c>
      <c r="D1377" t="s">
        <v>528</v>
      </c>
      <c r="G1377">
        <v>2</v>
      </c>
      <c r="H1377" t="s">
        <v>514</v>
      </c>
      <c r="K1377">
        <v>320.09136821811001</v>
      </c>
      <c r="L1377" t="s">
        <v>550</v>
      </c>
      <c r="M1377" t="s">
        <v>548</v>
      </c>
      <c r="Q1377" t="s">
        <v>468</v>
      </c>
      <c r="R1377" t="s">
        <v>4</v>
      </c>
      <c r="S1377" t="s">
        <v>46</v>
      </c>
    </row>
    <row r="1378" spans="1:19" x14ac:dyDescent="0.3">
      <c r="A1378" s="2" t="s">
        <v>175</v>
      </c>
      <c r="B1378" s="4" t="s">
        <v>405</v>
      </c>
      <c r="C1378" s="3" t="s">
        <v>56</v>
      </c>
      <c r="D1378" t="s">
        <v>528</v>
      </c>
      <c r="G1378">
        <v>3</v>
      </c>
      <c r="H1378" t="s">
        <v>514</v>
      </c>
      <c r="K1378">
        <v>361.97405645549998</v>
      </c>
      <c r="L1378" t="s">
        <v>550</v>
      </c>
      <c r="M1378" t="s">
        <v>548</v>
      </c>
      <c r="Q1378" t="s">
        <v>468</v>
      </c>
      <c r="R1378" t="s">
        <v>4</v>
      </c>
      <c r="S1378" t="s">
        <v>46</v>
      </c>
    </row>
    <row r="1379" spans="1:19" x14ac:dyDescent="0.3">
      <c r="A1379" s="2" t="s">
        <v>175</v>
      </c>
      <c r="B1379" s="4" t="s">
        <v>405</v>
      </c>
      <c r="C1379" s="3" t="s">
        <v>56</v>
      </c>
      <c r="D1379" t="s">
        <v>528</v>
      </c>
      <c r="G1379">
        <v>4</v>
      </c>
      <c r="H1379" t="s">
        <v>514</v>
      </c>
      <c r="K1379">
        <v>367.94149081078803</v>
      </c>
      <c r="L1379" t="s">
        <v>550</v>
      </c>
      <c r="M1379" t="s">
        <v>548</v>
      </c>
      <c r="Q1379" t="s">
        <v>468</v>
      </c>
      <c r="R1379" t="s">
        <v>4</v>
      </c>
      <c r="S1379" t="s">
        <v>46</v>
      </c>
    </row>
    <row r="1380" spans="1:19" x14ac:dyDescent="0.3">
      <c r="A1380" s="2" t="s">
        <v>175</v>
      </c>
      <c r="B1380" s="4" t="s">
        <v>405</v>
      </c>
      <c r="C1380" s="3" t="s">
        <v>56</v>
      </c>
      <c r="D1380" t="s">
        <v>528</v>
      </c>
      <c r="G1380">
        <v>6</v>
      </c>
      <c r="H1380" t="s">
        <v>514</v>
      </c>
      <c r="K1380">
        <v>327.51231165783003</v>
      </c>
      <c r="L1380" t="s">
        <v>550</v>
      </c>
      <c r="M1380" t="s">
        <v>548</v>
      </c>
      <c r="Q1380" t="s">
        <v>468</v>
      </c>
      <c r="R1380" t="s">
        <v>4</v>
      </c>
      <c r="S1380" t="s">
        <v>46</v>
      </c>
    </row>
    <row r="1381" spans="1:19" x14ac:dyDescent="0.3">
      <c r="A1381" s="2" t="s">
        <v>175</v>
      </c>
      <c r="B1381" s="4" t="s">
        <v>405</v>
      </c>
      <c r="C1381" s="3" t="s">
        <v>56</v>
      </c>
      <c r="D1381" t="s">
        <v>528</v>
      </c>
      <c r="G1381">
        <v>8</v>
      </c>
      <c r="H1381" t="s">
        <v>514</v>
      </c>
      <c r="K1381">
        <v>291.57191055973499</v>
      </c>
      <c r="L1381" t="s">
        <v>550</v>
      </c>
      <c r="M1381" t="s">
        <v>548</v>
      </c>
      <c r="Q1381" t="s">
        <v>468</v>
      </c>
      <c r="R1381" t="s">
        <v>4</v>
      </c>
      <c r="S1381" t="s">
        <v>46</v>
      </c>
    </row>
    <row r="1382" spans="1:19" x14ac:dyDescent="0.3">
      <c r="A1382" s="2" t="s">
        <v>175</v>
      </c>
      <c r="B1382" s="4" t="s">
        <v>405</v>
      </c>
      <c r="C1382" s="3" t="s">
        <v>56</v>
      </c>
      <c r="D1382" t="s">
        <v>528</v>
      </c>
      <c r="G1382">
        <v>12</v>
      </c>
      <c r="H1382" t="s">
        <v>514</v>
      </c>
      <c r="K1382">
        <v>237.643705861397</v>
      </c>
      <c r="L1382" t="s">
        <v>550</v>
      </c>
      <c r="M1382" t="s">
        <v>548</v>
      </c>
      <c r="Q1382" t="s">
        <v>468</v>
      </c>
      <c r="R1382" t="s">
        <v>4</v>
      </c>
      <c r="S1382" t="s">
        <v>46</v>
      </c>
    </row>
    <row r="1383" spans="1:19" x14ac:dyDescent="0.3">
      <c r="A1383" s="2" t="s">
        <v>175</v>
      </c>
      <c r="B1383" s="4" t="s">
        <v>405</v>
      </c>
      <c r="C1383" s="3" t="s">
        <v>56</v>
      </c>
      <c r="D1383" t="s">
        <v>528</v>
      </c>
      <c r="G1383">
        <v>16</v>
      </c>
      <c r="H1383" t="s">
        <v>514</v>
      </c>
      <c r="K1383">
        <v>212.14442884385599</v>
      </c>
      <c r="L1383" t="s">
        <v>550</v>
      </c>
      <c r="M1383" t="s">
        <v>548</v>
      </c>
      <c r="Q1383" t="s">
        <v>468</v>
      </c>
      <c r="R1383" t="s">
        <v>4</v>
      </c>
      <c r="S1383" t="s">
        <v>46</v>
      </c>
    </row>
    <row r="1384" spans="1:19" x14ac:dyDescent="0.3">
      <c r="A1384" s="2" t="s">
        <v>175</v>
      </c>
      <c r="B1384" s="4" t="s">
        <v>405</v>
      </c>
      <c r="C1384" s="3" t="s">
        <v>56</v>
      </c>
      <c r="D1384" t="s">
        <v>528</v>
      </c>
      <c r="G1384">
        <v>24</v>
      </c>
      <c r="H1384" t="s">
        <v>514</v>
      </c>
      <c r="K1384">
        <v>164.13839351201801</v>
      </c>
      <c r="L1384" t="s">
        <v>550</v>
      </c>
      <c r="M1384" t="s">
        <v>548</v>
      </c>
      <c r="Q1384" t="s">
        <v>468</v>
      </c>
      <c r="R1384" t="s">
        <v>4</v>
      </c>
      <c r="S1384" t="s">
        <v>46</v>
      </c>
    </row>
    <row r="1385" spans="1:19" x14ac:dyDescent="0.3">
      <c r="A1385" s="2" t="s">
        <v>175</v>
      </c>
      <c r="B1385" s="4" t="s">
        <v>405</v>
      </c>
      <c r="C1385" s="3" t="s">
        <v>56</v>
      </c>
      <c r="D1385" t="s">
        <v>528</v>
      </c>
      <c r="G1385">
        <v>36</v>
      </c>
      <c r="H1385" t="s">
        <v>514</v>
      </c>
      <c r="K1385">
        <v>98.116892642343799</v>
      </c>
      <c r="L1385" t="s">
        <v>550</v>
      </c>
      <c r="M1385" t="s">
        <v>548</v>
      </c>
      <c r="Q1385" t="s">
        <v>468</v>
      </c>
      <c r="R1385" t="s">
        <v>4</v>
      </c>
      <c r="S1385" t="s">
        <v>46</v>
      </c>
    </row>
    <row r="1386" spans="1:19" x14ac:dyDescent="0.3">
      <c r="A1386" s="2" t="s">
        <v>175</v>
      </c>
      <c r="B1386" s="4" t="s">
        <v>405</v>
      </c>
      <c r="C1386" s="3" t="s">
        <v>56</v>
      </c>
      <c r="D1386" t="s">
        <v>528</v>
      </c>
      <c r="G1386">
        <v>48</v>
      </c>
      <c r="H1386" t="s">
        <v>514</v>
      </c>
      <c r="K1386">
        <v>68.005616211572004</v>
      </c>
      <c r="L1386" t="s">
        <v>550</v>
      </c>
      <c r="M1386" t="s">
        <v>548</v>
      </c>
      <c r="Q1386" t="s">
        <v>468</v>
      </c>
      <c r="R1386" t="s">
        <v>4</v>
      </c>
      <c r="S1386" t="s">
        <v>46</v>
      </c>
    </row>
    <row r="1387" spans="1:19" x14ac:dyDescent="0.3">
      <c r="A1387" s="2" t="s">
        <v>175</v>
      </c>
      <c r="B1387" s="4" t="s">
        <v>405</v>
      </c>
      <c r="C1387" s="3" t="s">
        <v>56</v>
      </c>
      <c r="D1387" t="s">
        <v>528</v>
      </c>
      <c r="G1387">
        <v>72</v>
      </c>
      <c r="H1387" t="s">
        <v>514</v>
      </c>
      <c r="K1387">
        <v>28.728179551122199</v>
      </c>
      <c r="L1387" t="s">
        <v>550</v>
      </c>
      <c r="M1387" t="s">
        <v>548</v>
      </c>
      <c r="Q1387" t="s">
        <v>468</v>
      </c>
      <c r="R1387" t="s">
        <v>4</v>
      </c>
      <c r="S1387" t="s">
        <v>46</v>
      </c>
    </row>
    <row r="1388" spans="1:19" x14ac:dyDescent="0.3">
      <c r="A1388" s="2" t="s">
        <v>175</v>
      </c>
      <c r="B1388" s="4" t="s">
        <v>405</v>
      </c>
      <c r="C1388" s="3" t="s">
        <v>56</v>
      </c>
      <c r="D1388" t="s">
        <v>528</v>
      </c>
      <c r="G1388">
        <v>96</v>
      </c>
      <c r="H1388" t="s">
        <v>514</v>
      </c>
      <c r="K1388">
        <v>13.3908925166077</v>
      </c>
      <c r="L1388" t="s">
        <v>550</v>
      </c>
      <c r="M1388" t="s">
        <v>548</v>
      </c>
      <c r="Q1388" t="s">
        <v>468</v>
      </c>
      <c r="R1388" t="s">
        <v>4</v>
      </c>
      <c r="S1388" t="s">
        <v>46</v>
      </c>
    </row>
    <row r="1389" spans="1:19" x14ac:dyDescent="0.3">
      <c r="A1389" s="2" t="s">
        <v>176</v>
      </c>
      <c r="B1389" s="4" t="s">
        <v>406</v>
      </c>
      <c r="C1389" s="3" t="s">
        <v>56</v>
      </c>
      <c r="D1389" t="s">
        <v>528</v>
      </c>
      <c r="G1389">
        <v>0.5</v>
      </c>
      <c r="H1389" t="s">
        <v>514</v>
      </c>
      <c r="K1389">
        <v>162.29116945107299</v>
      </c>
      <c r="L1389" t="s">
        <v>550</v>
      </c>
      <c r="M1389" t="s">
        <v>548</v>
      </c>
      <c r="Q1389" t="s">
        <v>468</v>
      </c>
      <c r="R1389" t="s">
        <v>4</v>
      </c>
      <c r="S1389" t="s">
        <v>46</v>
      </c>
    </row>
    <row r="1390" spans="1:19" x14ac:dyDescent="0.3">
      <c r="A1390" s="2" t="s">
        <v>176</v>
      </c>
      <c r="B1390" s="4" t="s">
        <v>406</v>
      </c>
      <c r="C1390" s="3" t="s">
        <v>56</v>
      </c>
      <c r="D1390" t="s">
        <v>528</v>
      </c>
      <c r="G1390">
        <v>1</v>
      </c>
      <c r="H1390" t="s">
        <v>514</v>
      </c>
      <c r="K1390">
        <v>386.63484486873398</v>
      </c>
      <c r="L1390" t="s">
        <v>550</v>
      </c>
      <c r="M1390" t="s">
        <v>548</v>
      </c>
      <c r="Q1390" t="s">
        <v>468</v>
      </c>
      <c r="R1390" t="s">
        <v>4</v>
      </c>
      <c r="S1390" t="s">
        <v>46</v>
      </c>
    </row>
    <row r="1391" spans="1:19" x14ac:dyDescent="0.3">
      <c r="A1391" s="2" t="s">
        <v>176</v>
      </c>
      <c r="B1391" s="4" t="s">
        <v>406</v>
      </c>
      <c r="C1391" s="3" t="s">
        <v>56</v>
      </c>
      <c r="D1391" t="s">
        <v>528</v>
      </c>
      <c r="G1391">
        <v>2</v>
      </c>
      <c r="H1391" t="s">
        <v>514</v>
      </c>
      <c r="K1391">
        <v>653.93794749403196</v>
      </c>
      <c r="L1391" t="s">
        <v>550</v>
      </c>
      <c r="M1391" t="s">
        <v>548</v>
      </c>
      <c r="Q1391" t="s">
        <v>468</v>
      </c>
      <c r="R1391" t="s">
        <v>4</v>
      </c>
      <c r="S1391" t="s">
        <v>46</v>
      </c>
    </row>
    <row r="1392" spans="1:19" x14ac:dyDescent="0.3">
      <c r="A1392" s="2" t="s">
        <v>176</v>
      </c>
      <c r="B1392" s="4" t="s">
        <v>406</v>
      </c>
      <c r="C1392" s="3" t="s">
        <v>56</v>
      </c>
      <c r="D1392" t="s">
        <v>528</v>
      </c>
      <c r="G1392">
        <v>3</v>
      </c>
      <c r="H1392" t="s">
        <v>514</v>
      </c>
      <c r="K1392">
        <v>1050.1193317422401</v>
      </c>
      <c r="L1392" t="s">
        <v>550</v>
      </c>
      <c r="M1392" t="s">
        <v>548</v>
      </c>
      <c r="Q1392" t="s">
        <v>468</v>
      </c>
      <c r="R1392" t="s">
        <v>4</v>
      </c>
      <c r="S1392" t="s">
        <v>46</v>
      </c>
    </row>
    <row r="1393" spans="1:19" x14ac:dyDescent="0.3">
      <c r="A1393" s="2" t="s">
        <v>176</v>
      </c>
      <c r="B1393" s="4" t="s">
        <v>406</v>
      </c>
      <c r="C1393" s="3" t="s">
        <v>56</v>
      </c>
      <c r="D1393" t="s">
        <v>528</v>
      </c>
      <c r="G1393">
        <v>4</v>
      </c>
      <c r="H1393" t="s">
        <v>514</v>
      </c>
      <c r="K1393">
        <v>1031.0262529832901</v>
      </c>
      <c r="L1393" t="s">
        <v>550</v>
      </c>
      <c r="M1393" t="s">
        <v>548</v>
      </c>
      <c r="Q1393" t="s">
        <v>468</v>
      </c>
      <c r="R1393" t="s">
        <v>4</v>
      </c>
      <c r="S1393" t="s">
        <v>46</v>
      </c>
    </row>
    <row r="1394" spans="1:19" x14ac:dyDescent="0.3">
      <c r="A1394" s="2" t="s">
        <v>176</v>
      </c>
      <c r="B1394" s="4" t="s">
        <v>406</v>
      </c>
      <c r="C1394" s="3" t="s">
        <v>56</v>
      </c>
      <c r="D1394" t="s">
        <v>528</v>
      </c>
      <c r="G1394">
        <v>6</v>
      </c>
      <c r="H1394" t="s">
        <v>514</v>
      </c>
      <c r="K1394">
        <v>930.78758949880603</v>
      </c>
      <c r="L1394" t="s">
        <v>550</v>
      </c>
      <c r="M1394" t="s">
        <v>548</v>
      </c>
      <c r="Q1394" t="s">
        <v>468</v>
      </c>
      <c r="R1394" t="s">
        <v>4</v>
      </c>
      <c r="S1394" t="s">
        <v>46</v>
      </c>
    </row>
    <row r="1395" spans="1:19" x14ac:dyDescent="0.3">
      <c r="A1395" s="2" t="s">
        <v>176</v>
      </c>
      <c r="B1395" s="4" t="s">
        <v>406</v>
      </c>
      <c r="C1395" s="3" t="s">
        <v>56</v>
      </c>
      <c r="D1395" t="s">
        <v>528</v>
      </c>
      <c r="G1395">
        <v>8</v>
      </c>
      <c r="H1395" t="s">
        <v>514</v>
      </c>
      <c r="K1395">
        <v>863.96181384248302</v>
      </c>
      <c r="L1395" t="s">
        <v>550</v>
      </c>
      <c r="M1395" t="s">
        <v>548</v>
      </c>
      <c r="Q1395" t="s">
        <v>468</v>
      </c>
      <c r="R1395" t="s">
        <v>4</v>
      </c>
      <c r="S1395" t="s">
        <v>46</v>
      </c>
    </row>
    <row r="1396" spans="1:19" x14ac:dyDescent="0.3">
      <c r="A1396" s="2" t="s">
        <v>176</v>
      </c>
      <c r="B1396" s="4" t="s">
        <v>406</v>
      </c>
      <c r="C1396" s="3" t="s">
        <v>56</v>
      </c>
      <c r="D1396" t="s">
        <v>528</v>
      </c>
      <c r="G1396">
        <v>12</v>
      </c>
      <c r="H1396" t="s">
        <v>514</v>
      </c>
      <c r="K1396">
        <v>711.217183770882</v>
      </c>
      <c r="L1396" t="s">
        <v>550</v>
      </c>
      <c r="M1396" t="s">
        <v>548</v>
      </c>
      <c r="Q1396" t="s">
        <v>468</v>
      </c>
      <c r="R1396" t="s">
        <v>4</v>
      </c>
      <c r="S1396" t="s">
        <v>46</v>
      </c>
    </row>
    <row r="1397" spans="1:19" x14ac:dyDescent="0.3">
      <c r="A1397" s="2" t="s">
        <v>176</v>
      </c>
      <c r="B1397" s="4" t="s">
        <v>406</v>
      </c>
      <c r="C1397" s="3" t="s">
        <v>56</v>
      </c>
      <c r="D1397" t="s">
        <v>528</v>
      </c>
      <c r="G1397">
        <v>16</v>
      </c>
      <c r="H1397" t="s">
        <v>514</v>
      </c>
      <c r="K1397">
        <v>653.93794749403196</v>
      </c>
      <c r="L1397" t="s">
        <v>550</v>
      </c>
      <c r="M1397" t="s">
        <v>548</v>
      </c>
      <c r="Q1397" t="s">
        <v>468</v>
      </c>
      <c r="R1397" t="s">
        <v>4</v>
      </c>
      <c r="S1397" t="s">
        <v>46</v>
      </c>
    </row>
    <row r="1398" spans="1:19" x14ac:dyDescent="0.3">
      <c r="A1398" s="2" t="s">
        <v>176</v>
      </c>
      <c r="B1398" s="4" t="s">
        <v>406</v>
      </c>
      <c r="C1398" s="3" t="s">
        <v>56</v>
      </c>
      <c r="D1398" t="s">
        <v>528</v>
      </c>
      <c r="G1398">
        <v>24</v>
      </c>
      <c r="H1398" t="s">
        <v>514</v>
      </c>
      <c r="K1398">
        <v>458.23389021479801</v>
      </c>
      <c r="L1398" t="s">
        <v>550</v>
      </c>
      <c r="M1398" t="s">
        <v>548</v>
      </c>
      <c r="Q1398" t="s">
        <v>468</v>
      </c>
      <c r="R1398" t="s">
        <v>4</v>
      </c>
      <c r="S1398" t="s">
        <v>46</v>
      </c>
    </row>
    <row r="1399" spans="1:19" x14ac:dyDescent="0.3">
      <c r="A1399" s="2" t="s">
        <v>176</v>
      </c>
      <c r="B1399" s="4" t="s">
        <v>406</v>
      </c>
      <c r="C1399" s="3" t="s">
        <v>56</v>
      </c>
      <c r="D1399" t="s">
        <v>528</v>
      </c>
      <c r="G1399">
        <v>36</v>
      </c>
      <c r="H1399" t="s">
        <v>514</v>
      </c>
      <c r="K1399">
        <v>276.84964200477401</v>
      </c>
      <c r="L1399" t="s">
        <v>550</v>
      </c>
      <c r="M1399" t="s">
        <v>548</v>
      </c>
      <c r="Q1399" t="s">
        <v>468</v>
      </c>
      <c r="R1399" t="s">
        <v>4</v>
      </c>
      <c r="S1399" t="s">
        <v>46</v>
      </c>
    </row>
    <row r="1400" spans="1:19" x14ac:dyDescent="0.3">
      <c r="A1400" s="2" t="s">
        <v>176</v>
      </c>
      <c r="B1400" s="4" t="s">
        <v>406</v>
      </c>
      <c r="C1400" s="3" t="s">
        <v>56</v>
      </c>
      <c r="D1400" t="s">
        <v>528</v>
      </c>
      <c r="G1400">
        <v>48</v>
      </c>
      <c r="H1400" t="s">
        <v>514</v>
      </c>
      <c r="K1400">
        <v>171.837708830548</v>
      </c>
      <c r="L1400" t="s">
        <v>550</v>
      </c>
      <c r="M1400" t="s">
        <v>548</v>
      </c>
      <c r="Q1400" t="s">
        <v>468</v>
      </c>
      <c r="R1400" t="s">
        <v>4</v>
      </c>
      <c r="S1400" t="s">
        <v>46</v>
      </c>
    </row>
    <row r="1401" spans="1:19" x14ac:dyDescent="0.3">
      <c r="A1401" s="2" t="s">
        <v>176</v>
      </c>
      <c r="B1401" s="4" t="s">
        <v>406</v>
      </c>
      <c r="C1401" s="3" t="s">
        <v>56</v>
      </c>
      <c r="D1401" t="s">
        <v>528</v>
      </c>
      <c r="G1401">
        <v>72</v>
      </c>
      <c r="H1401" t="s">
        <v>514</v>
      </c>
      <c r="K1401">
        <v>71.599045346060805</v>
      </c>
      <c r="L1401" t="s">
        <v>550</v>
      </c>
      <c r="M1401" t="s">
        <v>548</v>
      </c>
      <c r="Q1401" t="s">
        <v>468</v>
      </c>
      <c r="R1401" t="s">
        <v>4</v>
      </c>
      <c r="S1401" t="s">
        <v>46</v>
      </c>
    </row>
    <row r="1402" spans="1:19" x14ac:dyDescent="0.3">
      <c r="A1402" s="2" t="s">
        <v>176</v>
      </c>
      <c r="B1402" s="4" t="s">
        <v>406</v>
      </c>
      <c r="C1402" s="3" t="s">
        <v>56</v>
      </c>
      <c r="D1402" t="s">
        <v>528</v>
      </c>
      <c r="G1402">
        <v>96</v>
      </c>
      <c r="H1402" t="s">
        <v>514</v>
      </c>
      <c r="K1402">
        <v>33.412887828163498</v>
      </c>
      <c r="L1402" t="s">
        <v>550</v>
      </c>
      <c r="M1402" t="s">
        <v>548</v>
      </c>
      <c r="Q1402" t="s">
        <v>468</v>
      </c>
      <c r="R1402" t="s">
        <v>4</v>
      </c>
      <c r="S1402" t="s">
        <v>46</v>
      </c>
    </row>
    <row r="1403" spans="1:19" x14ac:dyDescent="0.3">
      <c r="A1403" s="2" t="s">
        <v>177</v>
      </c>
      <c r="B1403" s="4" t="s">
        <v>404</v>
      </c>
      <c r="C1403" s="3" t="s">
        <v>56</v>
      </c>
      <c r="D1403" t="s">
        <v>528</v>
      </c>
      <c r="G1403">
        <v>0.5</v>
      </c>
      <c r="H1403" t="s">
        <v>514</v>
      </c>
      <c r="K1403">
        <v>131.45539906103201</v>
      </c>
      <c r="L1403" t="s">
        <v>550</v>
      </c>
      <c r="M1403" t="s">
        <v>548</v>
      </c>
      <c r="Q1403" t="s">
        <v>468</v>
      </c>
      <c r="R1403" t="s">
        <v>4</v>
      </c>
      <c r="S1403" t="s">
        <v>46</v>
      </c>
    </row>
    <row r="1404" spans="1:19" x14ac:dyDescent="0.3">
      <c r="A1404" s="2" t="s">
        <v>177</v>
      </c>
      <c r="B1404" s="4" t="s">
        <v>404</v>
      </c>
      <c r="C1404" s="3" t="s">
        <v>56</v>
      </c>
      <c r="D1404" t="s">
        <v>528</v>
      </c>
      <c r="G1404">
        <v>1</v>
      </c>
      <c r="H1404" t="s">
        <v>514</v>
      </c>
      <c r="K1404">
        <v>375.58685446009599</v>
      </c>
      <c r="L1404" t="s">
        <v>550</v>
      </c>
      <c r="M1404" t="s">
        <v>548</v>
      </c>
      <c r="Q1404" t="s">
        <v>468</v>
      </c>
      <c r="R1404" t="s">
        <v>4</v>
      </c>
      <c r="S1404" t="s">
        <v>46</v>
      </c>
    </row>
    <row r="1405" spans="1:19" x14ac:dyDescent="0.3">
      <c r="A1405" s="2" t="s">
        <v>177</v>
      </c>
      <c r="B1405" s="4" t="s">
        <v>404</v>
      </c>
      <c r="C1405" s="3" t="s">
        <v>56</v>
      </c>
      <c r="D1405" t="s">
        <v>528</v>
      </c>
      <c r="G1405">
        <v>2</v>
      </c>
      <c r="H1405" t="s">
        <v>514</v>
      </c>
      <c r="K1405">
        <v>901.40845070423802</v>
      </c>
      <c r="L1405" t="s">
        <v>550</v>
      </c>
      <c r="M1405" t="s">
        <v>548</v>
      </c>
      <c r="Q1405" t="s">
        <v>468</v>
      </c>
      <c r="R1405" t="s">
        <v>4</v>
      </c>
      <c r="S1405" t="s">
        <v>46</v>
      </c>
    </row>
    <row r="1406" spans="1:19" x14ac:dyDescent="0.3">
      <c r="A1406" s="2" t="s">
        <v>177</v>
      </c>
      <c r="B1406" s="4" t="s">
        <v>404</v>
      </c>
      <c r="C1406" s="3" t="s">
        <v>56</v>
      </c>
      <c r="D1406" t="s">
        <v>528</v>
      </c>
      <c r="G1406">
        <v>3</v>
      </c>
      <c r="H1406" t="s">
        <v>514</v>
      </c>
      <c r="K1406">
        <v>1220.65727699531</v>
      </c>
      <c r="L1406" t="s">
        <v>550</v>
      </c>
      <c r="M1406" t="s">
        <v>548</v>
      </c>
      <c r="Q1406" t="s">
        <v>468</v>
      </c>
      <c r="R1406" t="s">
        <v>4</v>
      </c>
      <c r="S1406" t="s">
        <v>46</v>
      </c>
    </row>
    <row r="1407" spans="1:19" x14ac:dyDescent="0.3">
      <c r="A1407" s="2" t="s">
        <v>177</v>
      </c>
      <c r="B1407" s="4" t="s">
        <v>404</v>
      </c>
      <c r="C1407" s="3" t="s">
        <v>56</v>
      </c>
      <c r="D1407" t="s">
        <v>528</v>
      </c>
      <c r="G1407">
        <v>4</v>
      </c>
      <c r="H1407" t="s">
        <v>514</v>
      </c>
      <c r="K1407">
        <v>1483.56807511737</v>
      </c>
      <c r="L1407" t="s">
        <v>550</v>
      </c>
      <c r="M1407" t="s">
        <v>548</v>
      </c>
      <c r="Q1407" t="s">
        <v>468</v>
      </c>
      <c r="R1407" t="s">
        <v>4</v>
      </c>
      <c r="S1407" t="s">
        <v>46</v>
      </c>
    </row>
    <row r="1408" spans="1:19" x14ac:dyDescent="0.3">
      <c r="A1408" s="2" t="s">
        <v>177</v>
      </c>
      <c r="B1408" s="4" t="s">
        <v>404</v>
      </c>
      <c r="C1408" s="3" t="s">
        <v>56</v>
      </c>
      <c r="D1408" t="s">
        <v>528</v>
      </c>
      <c r="G1408">
        <v>6</v>
      </c>
      <c r="H1408" t="s">
        <v>514</v>
      </c>
      <c r="K1408">
        <v>1446.0093896713599</v>
      </c>
      <c r="L1408" t="s">
        <v>550</v>
      </c>
      <c r="M1408" t="s">
        <v>548</v>
      </c>
      <c r="Q1408" t="s">
        <v>468</v>
      </c>
      <c r="R1408" t="s">
        <v>4</v>
      </c>
      <c r="S1408" t="s">
        <v>46</v>
      </c>
    </row>
    <row r="1409" spans="1:19" x14ac:dyDescent="0.3">
      <c r="A1409" s="2" t="s">
        <v>177</v>
      </c>
      <c r="B1409" s="4" t="s">
        <v>404</v>
      </c>
      <c r="C1409" s="3" t="s">
        <v>56</v>
      </c>
      <c r="D1409" t="s">
        <v>528</v>
      </c>
      <c r="G1409">
        <v>8</v>
      </c>
      <c r="H1409" t="s">
        <v>514</v>
      </c>
      <c r="K1409">
        <v>1502.3474178403701</v>
      </c>
      <c r="L1409" t="s">
        <v>550</v>
      </c>
      <c r="M1409" t="s">
        <v>548</v>
      </c>
      <c r="Q1409" t="s">
        <v>468</v>
      </c>
      <c r="R1409" t="s">
        <v>4</v>
      </c>
      <c r="S1409" t="s">
        <v>46</v>
      </c>
    </row>
    <row r="1410" spans="1:19" x14ac:dyDescent="0.3">
      <c r="A1410" s="2" t="s">
        <v>177</v>
      </c>
      <c r="B1410" s="4" t="s">
        <v>404</v>
      </c>
      <c r="C1410" s="3" t="s">
        <v>56</v>
      </c>
      <c r="D1410" t="s">
        <v>528</v>
      </c>
      <c r="G1410">
        <v>12</v>
      </c>
      <c r="H1410" t="s">
        <v>514</v>
      </c>
      <c r="K1410">
        <v>1502.3474178403801</v>
      </c>
      <c r="L1410" t="s">
        <v>550</v>
      </c>
      <c r="M1410" t="s">
        <v>548</v>
      </c>
      <c r="Q1410" t="s">
        <v>468</v>
      </c>
      <c r="R1410" t="s">
        <v>4</v>
      </c>
      <c r="S1410" t="s">
        <v>46</v>
      </c>
    </row>
    <row r="1411" spans="1:19" x14ac:dyDescent="0.3">
      <c r="A1411" s="2" t="s">
        <v>177</v>
      </c>
      <c r="B1411" s="4" t="s">
        <v>404</v>
      </c>
      <c r="C1411" s="3" t="s">
        <v>56</v>
      </c>
      <c r="D1411" t="s">
        <v>528</v>
      </c>
      <c r="G1411">
        <v>16</v>
      </c>
      <c r="H1411" t="s">
        <v>514</v>
      </c>
      <c r="K1411">
        <v>1502.3474178403801</v>
      </c>
      <c r="L1411" t="s">
        <v>550</v>
      </c>
      <c r="M1411" t="s">
        <v>548</v>
      </c>
      <c r="Q1411" t="s">
        <v>468</v>
      </c>
      <c r="R1411" t="s">
        <v>4</v>
      </c>
      <c r="S1411" t="s">
        <v>46</v>
      </c>
    </row>
    <row r="1412" spans="1:19" x14ac:dyDescent="0.3">
      <c r="A1412" s="2" t="s">
        <v>177</v>
      </c>
      <c r="B1412" s="4" t="s">
        <v>404</v>
      </c>
      <c r="C1412" s="3" t="s">
        <v>56</v>
      </c>
      <c r="D1412" t="s">
        <v>528</v>
      </c>
      <c r="G1412">
        <v>24</v>
      </c>
      <c r="H1412" t="s">
        <v>514</v>
      </c>
      <c r="K1412">
        <v>1239.4366197183101</v>
      </c>
      <c r="L1412" t="s">
        <v>550</v>
      </c>
      <c r="M1412" t="s">
        <v>548</v>
      </c>
      <c r="Q1412" t="s">
        <v>468</v>
      </c>
      <c r="R1412" t="s">
        <v>4</v>
      </c>
      <c r="S1412" t="s">
        <v>46</v>
      </c>
    </row>
    <row r="1413" spans="1:19" x14ac:dyDescent="0.3">
      <c r="A1413" s="2" t="s">
        <v>177</v>
      </c>
      <c r="B1413" s="4" t="s">
        <v>404</v>
      </c>
      <c r="C1413" s="3" t="s">
        <v>56</v>
      </c>
      <c r="D1413" t="s">
        <v>528</v>
      </c>
      <c r="G1413">
        <v>30</v>
      </c>
      <c r="H1413" t="s">
        <v>514</v>
      </c>
      <c r="K1413">
        <v>995.30516431925196</v>
      </c>
      <c r="L1413" t="s">
        <v>550</v>
      </c>
      <c r="M1413" t="s">
        <v>548</v>
      </c>
      <c r="Q1413" t="s">
        <v>468</v>
      </c>
      <c r="R1413" t="s">
        <v>4</v>
      </c>
      <c r="S1413" t="s">
        <v>46</v>
      </c>
    </row>
    <row r="1414" spans="1:19" x14ac:dyDescent="0.3">
      <c r="A1414" s="2" t="s">
        <v>177</v>
      </c>
      <c r="B1414" s="4" t="s">
        <v>404</v>
      </c>
      <c r="C1414" s="3" t="s">
        <v>56</v>
      </c>
      <c r="D1414" t="s">
        <v>528</v>
      </c>
      <c r="G1414">
        <v>36</v>
      </c>
      <c r="H1414" t="s">
        <v>514</v>
      </c>
      <c r="K1414">
        <v>788.73239436620804</v>
      </c>
      <c r="L1414" t="s">
        <v>550</v>
      </c>
      <c r="M1414" t="s">
        <v>548</v>
      </c>
      <c r="Q1414" t="s">
        <v>468</v>
      </c>
      <c r="R1414" t="s">
        <v>4</v>
      </c>
      <c r="S1414" t="s">
        <v>46</v>
      </c>
    </row>
    <row r="1415" spans="1:19" x14ac:dyDescent="0.3">
      <c r="A1415" s="2" t="s">
        <v>177</v>
      </c>
      <c r="B1415" s="4" t="s">
        <v>404</v>
      </c>
      <c r="C1415" s="3" t="s">
        <v>56</v>
      </c>
      <c r="D1415" t="s">
        <v>528</v>
      </c>
      <c r="G1415">
        <v>48</v>
      </c>
      <c r="H1415" t="s">
        <v>514</v>
      </c>
      <c r="K1415">
        <v>525.821596244131</v>
      </c>
      <c r="L1415" t="s">
        <v>550</v>
      </c>
      <c r="M1415" t="s">
        <v>548</v>
      </c>
      <c r="Q1415" t="s">
        <v>468</v>
      </c>
      <c r="R1415" t="s">
        <v>4</v>
      </c>
      <c r="S1415" t="s">
        <v>46</v>
      </c>
    </row>
    <row r="1416" spans="1:19" x14ac:dyDescent="0.3">
      <c r="A1416" s="2" t="s">
        <v>177</v>
      </c>
      <c r="B1416" s="4" t="s">
        <v>404</v>
      </c>
      <c r="C1416" s="3" t="s">
        <v>56</v>
      </c>
      <c r="D1416" t="s">
        <v>528</v>
      </c>
      <c r="G1416">
        <v>72</v>
      </c>
      <c r="H1416" t="s">
        <v>514</v>
      </c>
      <c r="K1416">
        <v>206.572769953061</v>
      </c>
      <c r="L1416" t="s">
        <v>550</v>
      </c>
      <c r="M1416" t="s">
        <v>548</v>
      </c>
      <c r="Q1416" t="s">
        <v>468</v>
      </c>
      <c r="R1416" t="s">
        <v>4</v>
      </c>
      <c r="S1416" t="s">
        <v>46</v>
      </c>
    </row>
    <row r="1417" spans="1:19" x14ac:dyDescent="0.3">
      <c r="A1417" s="2" t="s">
        <v>177</v>
      </c>
      <c r="B1417" s="4" t="s">
        <v>404</v>
      </c>
      <c r="C1417" s="3" t="s">
        <v>56</v>
      </c>
      <c r="D1417" t="s">
        <v>528</v>
      </c>
      <c r="G1417">
        <v>96</v>
      </c>
      <c r="H1417" t="s">
        <v>514</v>
      </c>
      <c r="K1417">
        <v>93.896713615020403</v>
      </c>
      <c r="L1417" t="s">
        <v>550</v>
      </c>
      <c r="M1417" t="s">
        <v>548</v>
      </c>
      <c r="Q1417" t="s">
        <v>468</v>
      </c>
      <c r="R1417" t="s">
        <v>4</v>
      </c>
      <c r="S1417" t="s">
        <v>46</v>
      </c>
    </row>
    <row r="1418" spans="1:19" x14ac:dyDescent="0.3">
      <c r="A1418" s="2" t="s">
        <v>177</v>
      </c>
      <c r="B1418" s="4" t="s">
        <v>404</v>
      </c>
      <c r="C1418" s="3" t="s">
        <v>56</v>
      </c>
      <c r="D1418" t="s">
        <v>528</v>
      </c>
      <c r="G1418">
        <v>120</v>
      </c>
      <c r="H1418" t="s">
        <v>514</v>
      </c>
      <c r="K1418">
        <v>37.558685446019801</v>
      </c>
      <c r="L1418" t="s">
        <v>550</v>
      </c>
      <c r="M1418" t="s">
        <v>548</v>
      </c>
      <c r="Q1418" t="s">
        <v>468</v>
      </c>
      <c r="R1418" t="s">
        <v>4</v>
      </c>
      <c r="S1418" t="s">
        <v>46</v>
      </c>
    </row>
    <row r="1419" spans="1:19" x14ac:dyDescent="0.3">
      <c r="A1419" s="2" t="s">
        <v>177</v>
      </c>
      <c r="B1419" s="4" t="s">
        <v>404</v>
      </c>
      <c r="C1419" s="3" t="s">
        <v>56</v>
      </c>
      <c r="D1419" t="s">
        <v>528</v>
      </c>
      <c r="G1419">
        <v>144</v>
      </c>
      <c r="H1419" t="s">
        <v>514</v>
      </c>
      <c r="K1419">
        <v>75.117370892021398</v>
      </c>
      <c r="L1419" t="s">
        <v>550</v>
      </c>
      <c r="M1419" t="s">
        <v>548</v>
      </c>
      <c r="Q1419" t="s">
        <v>468</v>
      </c>
      <c r="R1419" t="s">
        <v>4</v>
      </c>
      <c r="S1419" t="s">
        <v>46</v>
      </c>
    </row>
    <row r="1420" spans="1:19" x14ac:dyDescent="0.3">
      <c r="A1420" s="2" t="s">
        <v>177</v>
      </c>
      <c r="B1420" s="4" t="s">
        <v>404</v>
      </c>
      <c r="C1420" s="3" t="s">
        <v>56</v>
      </c>
      <c r="D1420" t="s">
        <v>528</v>
      </c>
      <c r="G1420">
        <v>168</v>
      </c>
      <c r="H1420" t="s">
        <v>514</v>
      </c>
      <c r="K1420">
        <v>56.338028169022401</v>
      </c>
      <c r="L1420" t="s">
        <v>550</v>
      </c>
      <c r="M1420" t="s">
        <v>548</v>
      </c>
      <c r="Q1420" t="s">
        <v>468</v>
      </c>
      <c r="R1420" t="s">
        <v>4</v>
      </c>
      <c r="S1420" t="s">
        <v>46</v>
      </c>
    </row>
    <row r="1421" spans="1:19" x14ac:dyDescent="0.3">
      <c r="A1421" s="2" t="s">
        <v>178</v>
      </c>
      <c r="B1421" s="1" t="s">
        <v>407</v>
      </c>
      <c r="C1421" s="3" t="s">
        <v>57</v>
      </c>
      <c r="D1421" s="1" t="s">
        <v>578</v>
      </c>
      <c r="E1421" s="22"/>
      <c r="G1421" s="22">
        <v>1</v>
      </c>
      <c r="H1421" t="s">
        <v>514</v>
      </c>
      <c r="K1421">
        <v>59.113300492610797</v>
      </c>
      <c r="L1421" t="s">
        <v>550</v>
      </c>
      <c r="M1421" t="s">
        <v>535</v>
      </c>
      <c r="Q1421" t="s">
        <v>468</v>
      </c>
      <c r="R1421" t="s">
        <v>4</v>
      </c>
      <c r="S1421" t="s">
        <v>58</v>
      </c>
    </row>
    <row r="1422" spans="1:19" x14ac:dyDescent="0.3">
      <c r="A1422" s="2" t="s">
        <v>178</v>
      </c>
      <c r="B1422" s="1" t="s">
        <v>407</v>
      </c>
      <c r="C1422" s="3" t="s">
        <v>57</v>
      </c>
      <c r="D1422" s="1" t="s">
        <v>578</v>
      </c>
      <c r="E1422" s="22"/>
      <c r="G1422" s="22">
        <v>2</v>
      </c>
      <c r="H1422" t="s">
        <v>514</v>
      </c>
      <c r="K1422">
        <v>138.17733990147701</v>
      </c>
      <c r="L1422" t="s">
        <v>550</v>
      </c>
      <c r="M1422" t="s">
        <v>535</v>
      </c>
      <c r="Q1422" t="s">
        <v>468</v>
      </c>
      <c r="R1422" t="s">
        <v>4</v>
      </c>
      <c r="S1422" t="s">
        <v>58</v>
      </c>
    </row>
    <row r="1423" spans="1:19" x14ac:dyDescent="0.3">
      <c r="A1423" s="2" t="s">
        <v>178</v>
      </c>
      <c r="B1423" s="1" t="s">
        <v>407</v>
      </c>
      <c r="C1423" s="3" t="s">
        <v>57</v>
      </c>
      <c r="D1423" s="1" t="s">
        <v>578</v>
      </c>
      <c r="E1423" s="22"/>
      <c r="G1423" s="22">
        <v>3</v>
      </c>
      <c r="H1423" t="s">
        <v>514</v>
      </c>
      <c r="K1423">
        <v>172.167487684729</v>
      </c>
      <c r="L1423" t="s">
        <v>550</v>
      </c>
      <c r="M1423" t="s">
        <v>535</v>
      </c>
      <c r="Q1423" t="s">
        <v>468</v>
      </c>
      <c r="R1423" t="s">
        <v>4</v>
      </c>
      <c r="S1423" t="s">
        <v>58</v>
      </c>
    </row>
    <row r="1424" spans="1:19" x14ac:dyDescent="0.3">
      <c r="A1424" s="2" t="s">
        <v>178</v>
      </c>
      <c r="B1424" s="1" t="s">
        <v>407</v>
      </c>
      <c r="C1424" s="3" t="s">
        <v>57</v>
      </c>
      <c r="D1424" s="1" t="s">
        <v>578</v>
      </c>
      <c r="E1424" s="22"/>
      <c r="G1424" s="22">
        <v>4</v>
      </c>
      <c r="H1424" t="s">
        <v>514</v>
      </c>
      <c r="K1424">
        <v>197.290640394088</v>
      </c>
      <c r="L1424" t="s">
        <v>550</v>
      </c>
      <c r="M1424" t="s">
        <v>535</v>
      </c>
      <c r="Q1424" t="s">
        <v>468</v>
      </c>
      <c r="R1424" t="s">
        <v>4</v>
      </c>
      <c r="S1424" t="s">
        <v>58</v>
      </c>
    </row>
    <row r="1425" spans="1:19" x14ac:dyDescent="0.3">
      <c r="A1425" s="2" t="s">
        <v>178</v>
      </c>
      <c r="B1425" s="1" t="s">
        <v>407</v>
      </c>
      <c r="C1425" s="3" t="s">
        <v>57</v>
      </c>
      <c r="D1425" s="1" t="s">
        <v>578</v>
      </c>
      <c r="E1425" s="22"/>
      <c r="G1425" s="22">
        <v>5</v>
      </c>
      <c r="H1425" t="s">
        <v>514</v>
      </c>
      <c r="K1425">
        <v>161.08374384236399</v>
      </c>
      <c r="L1425" t="s">
        <v>550</v>
      </c>
      <c r="M1425" t="s">
        <v>535</v>
      </c>
      <c r="Q1425" t="s">
        <v>468</v>
      </c>
      <c r="R1425" t="s">
        <v>4</v>
      </c>
      <c r="S1425" t="s">
        <v>58</v>
      </c>
    </row>
    <row r="1426" spans="1:19" x14ac:dyDescent="0.3">
      <c r="A1426" s="2" t="s">
        <v>178</v>
      </c>
      <c r="B1426" s="1" t="s">
        <v>407</v>
      </c>
      <c r="C1426" s="3" t="s">
        <v>57</v>
      </c>
      <c r="D1426" s="1" t="s">
        <v>578</v>
      </c>
      <c r="E1426" s="22"/>
      <c r="G1426" s="22">
        <v>6</v>
      </c>
      <c r="H1426" t="s">
        <v>514</v>
      </c>
      <c r="K1426">
        <v>117.487684729064</v>
      </c>
      <c r="L1426" t="s">
        <v>550</v>
      </c>
      <c r="M1426" t="s">
        <v>535</v>
      </c>
      <c r="Q1426" t="s">
        <v>468</v>
      </c>
      <c r="R1426" t="s">
        <v>4</v>
      </c>
      <c r="S1426" t="s">
        <v>58</v>
      </c>
    </row>
    <row r="1427" spans="1:19" x14ac:dyDescent="0.3">
      <c r="A1427" s="2" t="s">
        <v>178</v>
      </c>
      <c r="B1427" s="1" t="s">
        <v>407</v>
      </c>
      <c r="C1427" s="3" t="s">
        <v>57</v>
      </c>
      <c r="D1427" s="1" t="s">
        <v>578</v>
      </c>
      <c r="E1427" s="22"/>
      <c r="G1427" s="22">
        <v>8</v>
      </c>
      <c r="H1427" t="s">
        <v>514</v>
      </c>
      <c r="K1427">
        <v>84.236453201970406</v>
      </c>
      <c r="L1427" t="s">
        <v>550</v>
      </c>
      <c r="M1427" t="s">
        <v>535</v>
      </c>
      <c r="Q1427" t="s">
        <v>468</v>
      </c>
      <c r="R1427" t="s">
        <v>4</v>
      </c>
      <c r="S1427" t="s">
        <v>58</v>
      </c>
    </row>
    <row r="1428" spans="1:19" x14ac:dyDescent="0.3">
      <c r="A1428" s="2" t="s">
        <v>178</v>
      </c>
      <c r="B1428" s="1" t="s">
        <v>407</v>
      </c>
      <c r="C1428" s="3" t="s">
        <v>57</v>
      </c>
      <c r="D1428" s="1" t="s">
        <v>578</v>
      </c>
      <c r="E1428" s="22"/>
      <c r="G1428" s="22">
        <v>12</v>
      </c>
      <c r="H1428" t="s">
        <v>514</v>
      </c>
      <c r="K1428">
        <v>60.5911330049261</v>
      </c>
      <c r="L1428" t="s">
        <v>550</v>
      </c>
      <c r="M1428" t="s">
        <v>535</v>
      </c>
      <c r="Q1428" t="s">
        <v>468</v>
      </c>
      <c r="R1428" t="s">
        <v>4</v>
      </c>
      <c r="S1428" t="s">
        <v>58</v>
      </c>
    </row>
    <row r="1429" spans="1:19" x14ac:dyDescent="0.3">
      <c r="A1429" s="2" t="s">
        <v>178</v>
      </c>
      <c r="B1429" s="1" t="s">
        <v>407</v>
      </c>
      <c r="C1429" s="3" t="s">
        <v>57</v>
      </c>
      <c r="D1429" s="1" t="s">
        <v>578</v>
      </c>
      <c r="E1429" s="22"/>
      <c r="G1429" s="22">
        <v>24</v>
      </c>
      <c r="H1429" t="s">
        <v>514</v>
      </c>
      <c r="K1429">
        <v>39.901477832512398</v>
      </c>
      <c r="L1429" t="s">
        <v>550</v>
      </c>
      <c r="M1429" t="s">
        <v>535</v>
      </c>
      <c r="Q1429" t="s">
        <v>468</v>
      </c>
      <c r="R1429" t="s">
        <v>4</v>
      </c>
      <c r="S1429" t="s">
        <v>58</v>
      </c>
    </row>
    <row r="1430" spans="1:19" x14ac:dyDescent="0.3">
      <c r="A1430" s="2" t="s">
        <v>178</v>
      </c>
      <c r="B1430" s="1" t="s">
        <v>407</v>
      </c>
      <c r="C1430" s="3" t="s">
        <v>57</v>
      </c>
      <c r="D1430" s="1" t="s">
        <v>578</v>
      </c>
      <c r="E1430" s="22"/>
      <c r="G1430" s="22">
        <v>48</v>
      </c>
      <c r="H1430" t="s">
        <v>514</v>
      </c>
      <c r="K1430">
        <v>16.995073891625601</v>
      </c>
      <c r="L1430" t="s">
        <v>550</v>
      </c>
      <c r="M1430" t="s">
        <v>535</v>
      </c>
      <c r="Q1430" t="s">
        <v>468</v>
      </c>
      <c r="R1430" t="s">
        <v>4</v>
      </c>
      <c r="S1430" t="s">
        <v>58</v>
      </c>
    </row>
    <row r="1431" spans="1:19" x14ac:dyDescent="0.3">
      <c r="A1431" s="2" t="s">
        <v>179</v>
      </c>
      <c r="B1431" s="1" t="s">
        <v>408</v>
      </c>
      <c r="C1431" s="3" t="s">
        <v>57</v>
      </c>
      <c r="D1431" s="1" t="s">
        <v>578</v>
      </c>
      <c r="E1431" s="22"/>
      <c r="F1431" s="10"/>
      <c r="G1431" s="22">
        <v>1</v>
      </c>
      <c r="H1431" t="s">
        <v>514</v>
      </c>
      <c r="K1431">
        <v>32.5123152709359</v>
      </c>
      <c r="L1431" t="s">
        <v>550</v>
      </c>
      <c r="M1431" t="s">
        <v>535</v>
      </c>
      <c r="Q1431" t="s">
        <v>468</v>
      </c>
      <c r="R1431" t="s">
        <v>4</v>
      </c>
      <c r="S1431" t="s">
        <v>58</v>
      </c>
    </row>
    <row r="1432" spans="1:19" x14ac:dyDescent="0.3">
      <c r="A1432" s="2" t="s">
        <v>179</v>
      </c>
      <c r="B1432" s="1" t="s">
        <v>408</v>
      </c>
      <c r="C1432" s="3" t="s">
        <v>57</v>
      </c>
      <c r="D1432" s="1" t="s">
        <v>578</v>
      </c>
      <c r="E1432" s="22"/>
      <c r="F1432" s="10"/>
      <c r="G1432" s="22">
        <v>2</v>
      </c>
      <c r="H1432" t="s">
        <v>514</v>
      </c>
      <c r="K1432">
        <v>135.96059113300399</v>
      </c>
      <c r="L1432" t="s">
        <v>550</v>
      </c>
      <c r="M1432" t="s">
        <v>535</v>
      </c>
      <c r="Q1432" t="s">
        <v>468</v>
      </c>
      <c r="R1432" t="s">
        <v>4</v>
      </c>
      <c r="S1432" t="s">
        <v>58</v>
      </c>
    </row>
    <row r="1433" spans="1:19" x14ac:dyDescent="0.3">
      <c r="A1433" s="2" t="s">
        <v>179</v>
      </c>
      <c r="B1433" s="1" t="s">
        <v>408</v>
      </c>
      <c r="C1433" s="3" t="s">
        <v>57</v>
      </c>
      <c r="D1433" s="1" t="s">
        <v>578</v>
      </c>
      <c r="E1433" s="22"/>
      <c r="F1433" s="10"/>
      <c r="G1433" s="22">
        <v>3</v>
      </c>
      <c r="H1433" t="s">
        <v>514</v>
      </c>
      <c r="K1433">
        <v>176.60098522167399</v>
      </c>
      <c r="L1433" t="s">
        <v>550</v>
      </c>
      <c r="M1433" t="s">
        <v>535</v>
      </c>
      <c r="Q1433" t="s">
        <v>468</v>
      </c>
      <c r="R1433" t="s">
        <v>4</v>
      </c>
      <c r="S1433" t="s">
        <v>58</v>
      </c>
    </row>
    <row r="1434" spans="1:19" x14ac:dyDescent="0.3">
      <c r="A1434" s="2" t="s">
        <v>179</v>
      </c>
      <c r="B1434" s="1" t="s">
        <v>408</v>
      </c>
      <c r="C1434" s="3" t="s">
        <v>57</v>
      </c>
      <c r="D1434" s="1" t="s">
        <v>578</v>
      </c>
      <c r="E1434" s="22"/>
      <c r="F1434" s="10"/>
      <c r="G1434" s="22">
        <v>4</v>
      </c>
      <c r="H1434" t="s">
        <v>514</v>
      </c>
      <c r="K1434">
        <v>200.246305418719</v>
      </c>
      <c r="L1434" t="s">
        <v>550</v>
      </c>
      <c r="M1434" t="s">
        <v>535</v>
      </c>
      <c r="Q1434" t="s">
        <v>468</v>
      </c>
      <c r="R1434" t="s">
        <v>4</v>
      </c>
      <c r="S1434" t="s">
        <v>58</v>
      </c>
    </row>
    <row r="1435" spans="1:19" x14ac:dyDescent="0.3">
      <c r="A1435" s="2" t="s">
        <v>179</v>
      </c>
      <c r="B1435" s="1" t="s">
        <v>408</v>
      </c>
      <c r="C1435" s="3" t="s">
        <v>57</v>
      </c>
      <c r="D1435" s="1" t="s">
        <v>578</v>
      </c>
      <c r="E1435" s="22"/>
      <c r="F1435" s="10"/>
      <c r="G1435" s="22">
        <v>5</v>
      </c>
      <c r="H1435" t="s">
        <v>514</v>
      </c>
      <c r="K1435">
        <v>177.339901477832</v>
      </c>
      <c r="L1435" t="s">
        <v>550</v>
      </c>
      <c r="M1435" t="s">
        <v>535</v>
      </c>
      <c r="Q1435" t="s">
        <v>468</v>
      </c>
      <c r="R1435" t="s">
        <v>4</v>
      </c>
      <c r="S1435" t="s">
        <v>58</v>
      </c>
    </row>
    <row r="1436" spans="1:19" x14ac:dyDescent="0.3">
      <c r="A1436" s="2" t="s">
        <v>179</v>
      </c>
      <c r="B1436" s="1" t="s">
        <v>408</v>
      </c>
      <c r="C1436" s="3" t="s">
        <v>57</v>
      </c>
      <c r="D1436" s="1" t="s">
        <v>578</v>
      </c>
      <c r="E1436" s="22"/>
      <c r="F1436" s="10"/>
      <c r="G1436" s="22">
        <v>6</v>
      </c>
      <c r="H1436" t="s">
        <v>514</v>
      </c>
      <c r="K1436">
        <v>135.221674876847</v>
      </c>
      <c r="L1436" t="s">
        <v>550</v>
      </c>
      <c r="M1436" t="s">
        <v>535</v>
      </c>
      <c r="Q1436" t="s">
        <v>468</v>
      </c>
      <c r="R1436" t="s">
        <v>4</v>
      </c>
      <c r="S1436" t="s">
        <v>58</v>
      </c>
    </row>
    <row r="1437" spans="1:19" x14ac:dyDescent="0.3">
      <c r="A1437" s="2" t="s">
        <v>179</v>
      </c>
      <c r="B1437" s="1" t="s">
        <v>408</v>
      </c>
      <c r="C1437" s="3" t="s">
        <v>57</v>
      </c>
      <c r="D1437" s="1" t="s">
        <v>578</v>
      </c>
      <c r="E1437" s="22"/>
      <c r="F1437" s="10"/>
      <c r="G1437" s="22">
        <v>8</v>
      </c>
      <c r="H1437" t="s">
        <v>514</v>
      </c>
      <c r="K1437">
        <v>95.320197044334904</v>
      </c>
      <c r="L1437" t="s">
        <v>550</v>
      </c>
      <c r="M1437" t="s">
        <v>535</v>
      </c>
      <c r="Q1437" t="s">
        <v>468</v>
      </c>
      <c r="R1437" t="s">
        <v>4</v>
      </c>
      <c r="S1437" t="s">
        <v>58</v>
      </c>
    </row>
    <row r="1438" spans="1:19" x14ac:dyDescent="0.3">
      <c r="A1438" s="2" t="s">
        <v>179</v>
      </c>
      <c r="B1438" s="1" t="s">
        <v>408</v>
      </c>
      <c r="C1438" s="3" t="s">
        <v>57</v>
      </c>
      <c r="D1438" s="1" t="s">
        <v>578</v>
      </c>
      <c r="E1438" s="22"/>
      <c r="F1438" s="10"/>
      <c r="G1438" s="22">
        <v>12</v>
      </c>
      <c r="H1438" t="s">
        <v>514</v>
      </c>
      <c r="K1438">
        <v>62.068965517241303</v>
      </c>
      <c r="L1438" t="s">
        <v>550</v>
      </c>
      <c r="M1438" t="s">
        <v>535</v>
      </c>
      <c r="Q1438" t="s">
        <v>468</v>
      </c>
      <c r="R1438" t="s">
        <v>4</v>
      </c>
      <c r="S1438" t="s">
        <v>58</v>
      </c>
    </row>
    <row r="1439" spans="1:19" x14ac:dyDescent="0.3">
      <c r="A1439" s="2" t="s">
        <v>179</v>
      </c>
      <c r="B1439" s="1" t="s">
        <v>408</v>
      </c>
      <c r="C1439" s="3" t="s">
        <v>57</v>
      </c>
      <c r="D1439" s="1" t="s">
        <v>578</v>
      </c>
      <c r="E1439" s="22"/>
      <c r="F1439" s="10"/>
      <c r="G1439" s="22">
        <v>24</v>
      </c>
      <c r="H1439" t="s">
        <v>514</v>
      </c>
      <c r="K1439">
        <v>36.945812807881701</v>
      </c>
      <c r="L1439" t="s">
        <v>550</v>
      </c>
      <c r="M1439" t="s">
        <v>535</v>
      </c>
      <c r="Q1439" t="s">
        <v>468</v>
      </c>
      <c r="R1439" t="s">
        <v>4</v>
      </c>
      <c r="S1439" t="s">
        <v>58</v>
      </c>
    </row>
    <row r="1440" spans="1:19" x14ac:dyDescent="0.3">
      <c r="A1440" s="2" t="s">
        <v>179</v>
      </c>
      <c r="B1440" s="1" t="s">
        <v>408</v>
      </c>
      <c r="C1440" s="3" t="s">
        <v>57</v>
      </c>
      <c r="D1440" s="1" t="s">
        <v>578</v>
      </c>
      <c r="E1440" s="22"/>
      <c r="F1440" s="10"/>
      <c r="G1440" s="22">
        <v>48</v>
      </c>
      <c r="H1440" t="s">
        <v>514</v>
      </c>
      <c r="K1440">
        <v>19.211822660098498</v>
      </c>
      <c r="L1440" t="s">
        <v>550</v>
      </c>
      <c r="M1440" t="s">
        <v>535</v>
      </c>
      <c r="Q1440" t="s">
        <v>468</v>
      </c>
      <c r="R1440" t="s">
        <v>4</v>
      </c>
      <c r="S1440" t="s">
        <v>58</v>
      </c>
    </row>
    <row r="1441" spans="1:19" x14ac:dyDescent="0.3">
      <c r="A1441" s="2" t="s">
        <v>180</v>
      </c>
      <c r="B1441" s="1" t="s">
        <v>409</v>
      </c>
      <c r="C1441" s="3" t="s">
        <v>57</v>
      </c>
      <c r="D1441" s="1" t="s">
        <v>578</v>
      </c>
      <c r="E1441" s="22"/>
      <c r="F1441" s="10"/>
      <c r="G1441" s="22">
        <v>1</v>
      </c>
      <c r="H1441" t="s">
        <v>514</v>
      </c>
      <c r="K1441">
        <v>83.497536945812698</v>
      </c>
      <c r="L1441" t="s">
        <v>550</v>
      </c>
      <c r="M1441" t="s">
        <v>535</v>
      </c>
      <c r="Q1441" t="s">
        <v>468</v>
      </c>
      <c r="R1441" t="s">
        <v>4</v>
      </c>
      <c r="S1441" t="s">
        <v>58</v>
      </c>
    </row>
    <row r="1442" spans="1:19" x14ac:dyDescent="0.3">
      <c r="A1442" s="2" t="s">
        <v>180</v>
      </c>
      <c r="B1442" s="1" t="s">
        <v>409</v>
      </c>
      <c r="C1442" s="3" t="s">
        <v>57</v>
      </c>
      <c r="D1442" s="1" t="s">
        <v>578</v>
      </c>
      <c r="E1442" s="22"/>
      <c r="F1442" s="10"/>
      <c r="G1442" s="22">
        <v>2</v>
      </c>
      <c r="H1442" t="s">
        <v>514</v>
      </c>
      <c r="K1442">
        <v>198.76847290640299</v>
      </c>
      <c r="L1442" t="s">
        <v>550</v>
      </c>
      <c r="M1442" t="s">
        <v>535</v>
      </c>
      <c r="Q1442" t="s">
        <v>468</v>
      </c>
      <c r="R1442" t="s">
        <v>4</v>
      </c>
      <c r="S1442" t="s">
        <v>58</v>
      </c>
    </row>
    <row r="1443" spans="1:19" x14ac:dyDescent="0.3">
      <c r="A1443" s="2" t="s">
        <v>180</v>
      </c>
      <c r="B1443" s="1" t="s">
        <v>409</v>
      </c>
      <c r="C1443" s="3" t="s">
        <v>57</v>
      </c>
      <c r="D1443" s="1" t="s">
        <v>578</v>
      </c>
      <c r="E1443" s="22"/>
      <c r="F1443" s="10"/>
      <c r="G1443" s="22">
        <v>3</v>
      </c>
      <c r="H1443" t="s">
        <v>514</v>
      </c>
      <c r="K1443">
        <v>240.147783251231</v>
      </c>
      <c r="L1443" t="s">
        <v>550</v>
      </c>
      <c r="M1443" t="s">
        <v>535</v>
      </c>
      <c r="Q1443" t="s">
        <v>468</v>
      </c>
      <c r="R1443" t="s">
        <v>4</v>
      </c>
      <c r="S1443" t="s">
        <v>58</v>
      </c>
    </row>
    <row r="1444" spans="1:19" x14ac:dyDescent="0.3">
      <c r="A1444" s="2" t="s">
        <v>180</v>
      </c>
      <c r="B1444" s="1" t="s">
        <v>409</v>
      </c>
      <c r="C1444" s="3" t="s">
        <v>57</v>
      </c>
      <c r="D1444" s="1" t="s">
        <v>578</v>
      </c>
      <c r="E1444" s="22"/>
      <c r="F1444" s="10"/>
      <c r="G1444" s="22">
        <v>4</v>
      </c>
      <c r="H1444" t="s">
        <v>514</v>
      </c>
      <c r="K1444">
        <v>267.48768472906397</v>
      </c>
      <c r="L1444" t="s">
        <v>550</v>
      </c>
      <c r="M1444" t="s">
        <v>535</v>
      </c>
      <c r="Q1444" t="s">
        <v>468</v>
      </c>
      <c r="R1444" t="s">
        <v>4</v>
      </c>
      <c r="S1444" t="s">
        <v>58</v>
      </c>
    </row>
    <row r="1445" spans="1:19" x14ac:dyDescent="0.3">
      <c r="A1445" s="2" t="s">
        <v>180</v>
      </c>
      <c r="B1445" s="1" t="s">
        <v>409</v>
      </c>
      <c r="C1445" s="3" t="s">
        <v>57</v>
      </c>
      <c r="D1445" s="1" t="s">
        <v>578</v>
      </c>
      <c r="E1445" s="22"/>
      <c r="F1445" s="10"/>
      <c r="G1445" s="22">
        <v>5</v>
      </c>
      <c r="H1445" t="s">
        <v>514</v>
      </c>
      <c r="K1445">
        <v>223.15270935960501</v>
      </c>
      <c r="L1445" t="s">
        <v>550</v>
      </c>
      <c r="M1445" t="s">
        <v>535</v>
      </c>
      <c r="Q1445" t="s">
        <v>468</v>
      </c>
      <c r="R1445" t="s">
        <v>4</v>
      </c>
      <c r="S1445" t="s">
        <v>58</v>
      </c>
    </row>
    <row r="1446" spans="1:19" x14ac:dyDescent="0.3">
      <c r="A1446" s="2" t="s">
        <v>180</v>
      </c>
      <c r="B1446" s="1" t="s">
        <v>409</v>
      </c>
      <c r="C1446" s="3" t="s">
        <v>57</v>
      </c>
      <c r="D1446" s="1" t="s">
        <v>578</v>
      </c>
      <c r="E1446" s="22"/>
      <c r="F1446" s="10"/>
      <c r="G1446" s="22">
        <v>6</v>
      </c>
      <c r="H1446" t="s">
        <v>514</v>
      </c>
      <c r="K1446">
        <v>168.47290640393999</v>
      </c>
      <c r="L1446" t="s">
        <v>550</v>
      </c>
      <c r="M1446" t="s">
        <v>535</v>
      </c>
      <c r="Q1446" t="s">
        <v>468</v>
      </c>
      <c r="R1446" t="s">
        <v>4</v>
      </c>
      <c r="S1446" t="s">
        <v>58</v>
      </c>
    </row>
    <row r="1447" spans="1:19" x14ac:dyDescent="0.3">
      <c r="A1447" s="2" t="s">
        <v>180</v>
      </c>
      <c r="B1447" s="1" t="s">
        <v>409</v>
      </c>
      <c r="C1447" s="3" t="s">
        <v>57</v>
      </c>
      <c r="D1447" s="1" t="s">
        <v>578</v>
      </c>
      <c r="E1447" s="22"/>
      <c r="F1447" s="10"/>
      <c r="G1447" s="22">
        <v>8</v>
      </c>
      <c r="H1447" t="s">
        <v>514</v>
      </c>
      <c r="K1447">
        <v>140.39408866995001</v>
      </c>
      <c r="L1447" t="s">
        <v>550</v>
      </c>
      <c r="M1447" t="s">
        <v>535</v>
      </c>
      <c r="Q1447" t="s">
        <v>468</v>
      </c>
      <c r="R1447" t="s">
        <v>4</v>
      </c>
      <c r="S1447" t="s">
        <v>58</v>
      </c>
    </row>
    <row r="1448" spans="1:19" x14ac:dyDescent="0.3">
      <c r="A1448" s="2" t="s">
        <v>180</v>
      </c>
      <c r="B1448" s="1" t="s">
        <v>409</v>
      </c>
      <c r="C1448" s="3" t="s">
        <v>57</v>
      </c>
      <c r="D1448" s="1" t="s">
        <v>578</v>
      </c>
      <c r="E1448" s="22"/>
      <c r="F1448" s="10"/>
      <c r="G1448" s="22">
        <v>12</v>
      </c>
      <c r="H1448" t="s">
        <v>514</v>
      </c>
      <c r="K1448">
        <v>92.364532019704399</v>
      </c>
      <c r="L1448" t="s">
        <v>550</v>
      </c>
      <c r="M1448" t="s">
        <v>535</v>
      </c>
      <c r="Q1448" t="s">
        <v>468</v>
      </c>
      <c r="R1448" t="s">
        <v>4</v>
      </c>
      <c r="S1448" t="s">
        <v>58</v>
      </c>
    </row>
    <row r="1449" spans="1:19" x14ac:dyDescent="0.3">
      <c r="A1449" s="2" t="s">
        <v>180</v>
      </c>
      <c r="B1449" s="1" t="s">
        <v>409</v>
      </c>
      <c r="C1449" s="3" t="s">
        <v>57</v>
      </c>
      <c r="D1449" s="1" t="s">
        <v>578</v>
      </c>
      <c r="E1449" s="22"/>
      <c r="F1449" s="10"/>
      <c r="G1449" s="22">
        <v>24</v>
      </c>
      <c r="H1449" t="s">
        <v>514</v>
      </c>
      <c r="K1449">
        <v>57.635467980295502</v>
      </c>
      <c r="L1449" t="s">
        <v>550</v>
      </c>
      <c r="M1449" t="s">
        <v>535</v>
      </c>
      <c r="Q1449" t="s">
        <v>468</v>
      </c>
      <c r="R1449" t="s">
        <v>4</v>
      </c>
      <c r="S1449" t="s">
        <v>58</v>
      </c>
    </row>
    <row r="1450" spans="1:19" x14ac:dyDescent="0.3">
      <c r="A1450" s="2" t="s">
        <v>180</v>
      </c>
      <c r="B1450" s="1" t="s">
        <v>409</v>
      </c>
      <c r="C1450" s="3" t="s">
        <v>57</v>
      </c>
      <c r="D1450" s="1" t="s">
        <v>578</v>
      </c>
      <c r="E1450" s="22"/>
      <c r="F1450" s="10"/>
      <c r="G1450" s="22">
        <v>48</v>
      </c>
      <c r="H1450" t="s">
        <v>514</v>
      </c>
      <c r="K1450">
        <v>26.600985221674801</v>
      </c>
      <c r="L1450" t="s">
        <v>550</v>
      </c>
      <c r="M1450" t="s">
        <v>535</v>
      </c>
      <c r="Q1450" t="s">
        <v>468</v>
      </c>
      <c r="R1450" t="s">
        <v>4</v>
      </c>
      <c r="S1450" t="s">
        <v>58</v>
      </c>
    </row>
    <row r="1451" spans="1:19" x14ac:dyDescent="0.3">
      <c r="A1451" s="2" t="s">
        <v>181</v>
      </c>
      <c r="B1451" s="1" t="s">
        <v>410</v>
      </c>
      <c r="C1451" s="3" t="s">
        <v>57</v>
      </c>
      <c r="D1451" s="1" t="s">
        <v>578</v>
      </c>
      <c r="E1451" s="22">
        <v>0</v>
      </c>
      <c r="F1451">
        <f>9*24</f>
        <v>216</v>
      </c>
      <c r="G1451" s="22">
        <f>F1451+E1451</f>
        <v>216</v>
      </c>
      <c r="H1451" t="s">
        <v>514</v>
      </c>
      <c r="K1451" s="10">
        <v>97.222222222222399</v>
      </c>
      <c r="L1451" t="s">
        <v>550</v>
      </c>
      <c r="M1451" t="s">
        <v>535</v>
      </c>
      <c r="Q1451" t="s">
        <v>468</v>
      </c>
      <c r="R1451" t="s">
        <v>4</v>
      </c>
      <c r="S1451" t="s">
        <v>58</v>
      </c>
    </row>
    <row r="1452" spans="1:19" x14ac:dyDescent="0.3">
      <c r="A1452" s="2" t="s">
        <v>181</v>
      </c>
      <c r="B1452" s="1" t="s">
        <v>410</v>
      </c>
      <c r="C1452" s="3" t="s">
        <v>57</v>
      </c>
      <c r="D1452" s="1" t="s">
        <v>578</v>
      </c>
      <c r="E1452" s="22">
        <v>1</v>
      </c>
      <c r="F1452">
        <f t="shared" ref="F1452:F1461" si="29">9*24</f>
        <v>216</v>
      </c>
      <c r="G1452" s="22">
        <f t="shared" ref="G1452:G1461" si="30">F1452+E1452</f>
        <v>217</v>
      </c>
      <c r="H1452" t="s">
        <v>514</v>
      </c>
      <c r="K1452" s="10">
        <v>135.101010101009</v>
      </c>
      <c r="L1452" t="s">
        <v>550</v>
      </c>
      <c r="M1452" t="s">
        <v>535</v>
      </c>
      <c r="Q1452" t="s">
        <v>468</v>
      </c>
      <c r="R1452" t="s">
        <v>4</v>
      </c>
      <c r="S1452" t="s">
        <v>58</v>
      </c>
    </row>
    <row r="1453" spans="1:19" x14ac:dyDescent="0.3">
      <c r="A1453" s="2" t="s">
        <v>181</v>
      </c>
      <c r="B1453" s="1" t="s">
        <v>410</v>
      </c>
      <c r="C1453" s="3" t="s">
        <v>57</v>
      </c>
      <c r="D1453" s="1" t="s">
        <v>578</v>
      </c>
      <c r="E1453" s="22">
        <v>2</v>
      </c>
      <c r="F1453">
        <f t="shared" si="29"/>
        <v>216</v>
      </c>
      <c r="G1453" s="22">
        <f t="shared" si="30"/>
        <v>218</v>
      </c>
      <c r="H1453" t="s">
        <v>514</v>
      </c>
      <c r="K1453" s="10">
        <v>226.01010101010101</v>
      </c>
      <c r="L1453" t="s">
        <v>550</v>
      </c>
      <c r="M1453" t="s">
        <v>535</v>
      </c>
      <c r="Q1453" t="s">
        <v>468</v>
      </c>
      <c r="R1453" t="s">
        <v>4</v>
      </c>
      <c r="S1453" t="s">
        <v>58</v>
      </c>
    </row>
    <row r="1454" spans="1:19" x14ac:dyDescent="0.3">
      <c r="A1454" s="2" t="s">
        <v>181</v>
      </c>
      <c r="B1454" s="1" t="s">
        <v>410</v>
      </c>
      <c r="C1454" s="3" t="s">
        <v>57</v>
      </c>
      <c r="D1454" s="1" t="s">
        <v>578</v>
      </c>
      <c r="E1454" s="22">
        <v>3</v>
      </c>
      <c r="F1454">
        <f t="shared" si="29"/>
        <v>216</v>
      </c>
      <c r="G1454" s="22">
        <f t="shared" si="30"/>
        <v>219</v>
      </c>
      <c r="H1454" t="s">
        <v>514</v>
      </c>
      <c r="K1454" s="10">
        <v>268.93939393939399</v>
      </c>
      <c r="L1454" t="s">
        <v>550</v>
      </c>
      <c r="M1454" t="s">
        <v>535</v>
      </c>
      <c r="Q1454" t="s">
        <v>468</v>
      </c>
      <c r="R1454" t="s">
        <v>4</v>
      </c>
      <c r="S1454" t="s">
        <v>58</v>
      </c>
    </row>
    <row r="1455" spans="1:19" x14ac:dyDescent="0.3">
      <c r="A1455" s="2" t="s">
        <v>181</v>
      </c>
      <c r="B1455" s="1" t="s">
        <v>410</v>
      </c>
      <c r="C1455" s="3" t="s">
        <v>57</v>
      </c>
      <c r="D1455" s="1" t="s">
        <v>578</v>
      </c>
      <c r="E1455" s="22">
        <v>4</v>
      </c>
      <c r="F1455">
        <f t="shared" si="29"/>
        <v>216</v>
      </c>
      <c r="G1455" s="22">
        <f t="shared" si="30"/>
        <v>220</v>
      </c>
      <c r="H1455" t="s">
        <v>514</v>
      </c>
      <c r="K1455" s="10">
        <v>319.444444444444</v>
      </c>
      <c r="L1455" t="s">
        <v>550</v>
      </c>
      <c r="M1455" t="s">
        <v>535</v>
      </c>
      <c r="Q1455" t="s">
        <v>468</v>
      </c>
      <c r="R1455" t="s">
        <v>4</v>
      </c>
      <c r="S1455" t="s">
        <v>58</v>
      </c>
    </row>
    <row r="1456" spans="1:19" x14ac:dyDescent="0.3">
      <c r="A1456" s="2" t="s">
        <v>181</v>
      </c>
      <c r="B1456" s="1" t="s">
        <v>410</v>
      </c>
      <c r="C1456" s="3" t="s">
        <v>57</v>
      </c>
      <c r="D1456" s="1" t="s">
        <v>578</v>
      </c>
      <c r="E1456" s="22">
        <v>5</v>
      </c>
      <c r="F1456">
        <f t="shared" si="29"/>
        <v>216</v>
      </c>
      <c r="G1456" s="22">
        <f t="shared" si="30"/>
        <v>221</v>
      </c>
      <c r="H1456" t="s">
        <v>514</v>
      </c>
      <c r="K1456" s="10">
        <v>314.39393939393898</v>
      </c>
      <c r="L1456" t="s">
        <v>550</v>
      </c>
      <c r="M1456" t="s">
        <v>535</v>
      </c>
      <c r="Q1456" t="s">
        <v>468</v>
      </c>
      <c r="R1456" t="s">
        <v>4</v>
      </c>
      <c r="S1456" t="s">
        <v>58</v>
      </c>
    </row>
    <row r="1457" spans="1:19" x14ac:dyDescent="0.3">
      <c r="A1457" s="2" t="s">
        <v>181</v>
      </c>
      <c r="B1457" s="1" t="s">
        <v>410</v>
      </c>
      <c r="C1457" s="3" t="s">
        <v>57</v>
      </c>
      <c r="D1457" s="1" t="s">
        <v>578</v>
      </c>
      <c r="E1457" s="22">
        <v>6</v>
      </c>
      <c r="F1457">
        <f t="shared" si="29"/>
        <v>216</v>
      </c>
      <c r="G1457" s="22">
        <f t="shared" si="30"/>
        <v>222</v>
      </c>
      <c r="H1457" t="s">
        <v>514</v>
      </c>
      <c r="K1457" s="10">
        <v>242.42424242424201</v>
      </c>
      <c r="L1457" t="s">
        <v>550</v>
      </c>
      <c r="M1457" t="s">
        <v>535</v>
      </c>
      <c r="Q1457" t="s">
        <v>468</v>
      </c>
      <c r="R1457" t="s">
        <v>4</v>
      </c>
      <c r="S1457" t="s">
        <v>58</v>
      </c>
    </row>
    <row r="1458" spans="1:19" x14ac:dyDescent="0.3">
      <c r="A1458" s="2" t="s">
        <v>181</v>
      </c>
      <c r="B1458" s="1" t="s">
        <v>410</v>
      </c>
      <c r="C1458" s="3" t="s">
        <v>57</v>
      </c>
      <c r="D1458" s="1" t="s">
        <v>578</v>
      </c>
      <c r="E1458" s="22">
        <v>8</v>
      </c>
      <c r="F1458">
        <f t="shared" si="29"/>
        <v>216</v>
      </c>
      <c r="G1458" s="22">
        <f t="shared" si="30"/>
        <v>224</v>
      </c>
      <c r="H1458" t="s">
        <v>514</v>
      </c>
      <c r="K1458" s="10">
        <v>203.28282828282701</v>
      </c>
      <c r="L1458" t="s">
        <v>550</v>
      </c>
      <c r="M1458" t="s">
        <v>535</v>
      </c>
      <c r="Q1458" t="s">
        <v>468</v>
      </c>
      <c r="R1458" t="s">
        <v>4</v>
      </c>
      <c r="S1458" t="s">
        <v>58</v>
      </c>
    </row>
    <row r="1459" spans="1:19" x14ac:dyDescent="0.3">
      <c r="A1459" s="2" t="s">
        <v>181</v>
      </c>
      <c r="B1459" s="1" t="s">
        <v>410</v>
      </c>
      <c r="C1459" s="3" t="s">
        <v>57</v>
      </c>
      <c r="D1459" s="1" t="s">
        <v>578</v>
      </c>
      <c r="E1459" s="22">
        <v>12</v>
      </c>
      <c r="F1459">
        <f t="shared" si="29"/>
        <v>216</v>
      </c>
      <c r="G1459" s="22">
        <f t="shared" si="30"/>
        <v>228</v>
      </c>
      <c r="H1459" t="s">
        <v>514</v>
      </c>
      <c r="K1459" s="10">
        <v>155.30303030303</v>
      </c>
      <c r="L1459" t="s">
        <v>550</v>
      </c>
      <c r="M1459" t="s">
        <v>535</v>
      </c>
      <c r="Q1459" t="s">
        <v>468</v>
      </c>
      <c r="R1459" t="s">
        <v>4</v>
      </c>
      <c r="S1459" t="s">
        <v>58</v>
      </c>
    </row>
    <row r="1460" spans="1:19" x14ac:dyDescent="0.3">
      <c r="A1460" s="2" t="s">
        <v>181</v>
      </c>
      <c r="B1460" s="1" t="s">
        <v>410</v>
      </c>
      <c r="C1460" s="3" t="s">
        <v>57</v>
      </c>
      <c r="D1460" s="1" t="s">
        <v>578</v>
      </c>
      <c r="E1460" s="22">
        <v>24</v>
      </c>
      <c r="F1460">
        <f t="shared" si="29"/>
        <v>216</v>
      </c>
      <c r="G1460" s="22">
        <f t="shared" si="30"/>
        <v>240</v>
      </c>
      <c r="H1460" t="s">
        <v>514</v>
      </c>
      <c r="K1460" s="10">
        <v>109.84848484848401</v>
      </c>
      <c r="L1460" t="s">
        <v>550</v>
      </c>
      <c r="M1460" t="s">
        <v>535</v>
      </c>
      <c r="Q1460" t="s">
        <v>468</v>
      </c>
      <c r="R1460" t="s">
        <v>4</v>
      </c>
      <c r="S1460" t="s">
        <v>58</v>
      </c>
    </row>
    <row r="1461" spans="1:19" x14ac:dyDescent="0.3">
      <c r="A1461" s="2" t="s">
        <v>181</v>
      </c>
      <c r="B1461" s="1" t="s">
        <v>410</v>
      </c>
      <c r="C1461" s="3" t="s">
        <v>57</v>
      </c>
      <c r="D1461" s="1" t="s">
        <v>578</v>
      </c>
      <c r="E1461" s="22">
        <v>48</v>
      </c>
      <c r="F1461">
        <f t="shared" si="29"/>
        <v>216</v>
      </c>
      <c r="G1461" s="22">
        <f t="shared" si="30"/>
        <v>264</v>
      </c>
      <c r="H1461" t="s">
        <v>514</v>
      </c>
      <c r="K1461" s="10">
        <v>58.0808080808076</v>
      </c>
      <c r="L1461" t="s">
        <v>550</v>
      </c>
      <c r="M1461" t="s">
        <v>535</v>
      </c>
      <c r="Q1461" t="s">
        <v>468</v>
      </c>
      <c r="R1461" t="s">
        <v>4</v>
      </c>
      <c r="S1461" t="s">
        <v>58</v>
      </c>
    </row>
    <row r="1462" spans="1:19" x14ac:dyDescent="0.3">
      <c r="A1462" s="2" t="s">
        <v>182</v>
      </c>
      <c r="B1462" s="1" t="s">
        <v>411</v>
      </c>
      <c r="C1462" s="3" t="s">
        <v>57</v>
      </c>
      <c r="D1462" s="1" t="s">
        <v>578</v>
      </c>
      <c r="E1462" s="22">
        <v>0</v>
      </c>
      <c r="F1462">
        <f>9*24</f>
        <v>216</v>
      </c>
      <c r="G1462" s="22">
        <f t="shared" ref="G1462:G1472" si="31">F1462+E1462</f>
        <v>216</v>
      </c>
      <c r="H1462" t="s">
        <v>514</v>
      </c>
      <c r="K1462" s="10">
        <v>135.10101010100999</v>
      </c>
      <c r="L1462" t="s">
        <v>550</v>
      </c>
      <c r="M1462" t="s">
        <v>535</v>
      </c>
      <c r="Q1462" t="s">
        <v>468</v>
      </c>
      <c r="R1462" t="s">
        <v>4</v>
      </c>
      <c r="S1462" t="s">
        <v>58</v>
      </c>
    </row>
    <row r="1463" spans="1:19" x14ac:dyDescent="0.3">
      <c r="A1463" s="2" t="s">
        <v>182</v>
      </c>
      <c r="B1463" s="1" t="s">
        <v>411</v>
      </c>
      <c r="C1463" s="3" t="s">
        <v>57</v>
      </c>
      <c r="D1463" s="1" t="s">
        <v>578</v>
      </c>
      <c r="E1463" s="22">
        <v>1</v>
      </c>
      <c r="F1463">
        <f t="shared" ref="F1463:F1472" si="32">9*24</f>
        <v>216</v>
      </c>
      <c r="G1463" s="22">
        <f t="shared" si="31"/>
        <v>217</v>
      </c>
      <c r="H1463" t="s">
        <v>514</v>
      </c>
      <c r="K1463" s="10">
        <v>195.70707070706999</v>
      </c>
      <c r="L1463" t="s">
        <v>550</v>
      </c>
      <c r="M1463" t="s">
        <v>535</v>
      </c>
      <c r="Q1463" t="s">
        <v>468</v>
      </c>
      <c r="R1463" t="s">
        <v>4</v>
      </c>
      <c r="S1463" t="s">
        <v>58</v>
      </c>
    </row>
    <row r="1464" spans="1:19" x14ac:dyDescent="0.3">
      <c r="A1464" s="2" t="s">
        <v>182</v>
      </c>
      <c r="B1464" s="1" t="s">
        <v>411</v>
      </c>
      <c r="C1464" s="3" t="s">
        <v>57</v>
      </c>
      <c r="D1464" s="1" t="s">
        <v>578</v>
      </c>
      <c r="E1464" s="22">
        <v>2</v>
      </c>
      <c r="F1464">
        <f t="shared" si="32"/>
        <v>216</v>
      </c>
      <c r="G1464" s="22">
        <f t="shared" si="31"/>
        <v>218</v>
      </c>
      <c r="H1464" t="s">
        <v>514</v>
      </c>
      <c r="K1464" s="10">
        <v>306.81818181818102</v>
      </c>
      <c r="L1464" t="s">
        <v>550</v>
      </c>
      <c r="M1464" t="s">
        <v>535</v>
      </c>
      <c r="Q1464" t="s">
        <v>468</v>
      </c>
      <c r="R1464" t="s">
        <v>4</v>
      </c>
      <c r="S1464" t="s">
        <v>58</v>
      </c>
    </row>
    <row r="1465" spans="1:19" x14ac:dyDescent="0.3">
      <c r="A1465" s="2" t="s">
        <v>182</v>
      </c>
      <c r="B1465" s="1" t="s">
        <v>411</v>
      </c>
      <c r="C1465" s="3" t="s">
        <v>57</v>
      </c>
      <c r="D1465" s="1" t="s">
        <v>578</v>
      </c>
      <c r="E1465" s="22">
        <v>3</v>
      </c>
      <c r="F1465">
        <f t="shared" si="32"/>
        <v>216</v>
      </c>
      <c r="G1465" s="22">
        <f t="shared" si="31"/>
        <v>219</v>
      </c>
      <c r="H1465" t="s">
        <v>514</v>
      </c>
      <c r="K1465" s="10">
        <v>377.52525252525299</v>
      </c>
      <c r="L1465" t="s">
        <v>550</v>
      </c>
      <c r="M1465" t="s">
        <v>535</v>
      </c>
      <c r="Q1465" t="s">
        <v>468</v>
      </c>
      <c r="R1465" t="s">
        <v>4</v>
      </c>
      <c r="S1465" t="s">
        <v>58</v>
      </c>
    </row>
    <row r="1466" spans="1:19" x14ac:dyDescent="0.3">
      <c r="A1466" s="2" t="s">
        <v>182</v>
      </c>
      <c r="B1466" s="1" t="s">
        <v>411</v>
      </c>
      <c r="C1466" s="3" t="s">
        <v>57</v>
      </c>
      <c r="D1466" s="1" t="s">
        <v>578</v>
      </c>
      <c r="E1466" s="22">
        <v>4</v>
      </c>
      <c r="F1466">
        <f t="shared" si="32"/>
        <v>216</v>
      </c>
      <c r="G1466" s="22">
        <f t="shared" si="31"/>
        <v>220</v>
      </c>
      <c r="H1466" t="s">
        <v>514</v>
      </c>
      <c r="K1466" s="10">
        <v>420.45454545454498</v>
      </c>
      <c r="L1466" t="s">
        <v>550</v>
      </c>
      <c r="M1466" t="s">
        <v>535</v>
      </c>
      <c r="Q1466" t="s">
        <v>468</v>
      </c>
      <c r="R1466" t="s">
        <v>4</v>
      </c>
      <c r="S1466" t="s">
        <v>58</v>
      </c>
    </row>
    <row r="1467" spans="1:19" x14ac:dyDescent="0.3">
      <c r="A1467" s="2" t="s">
        <v>182</v>
      </c>
      <c r="B1467" s="1" t="s">
        <v>411</v>
      </c>
      <c r="C1467" s="3" t="s">
        <v>57</v>
      </c>
      <c r="D1467" s="1" t="s">
        <v>578</v>
      </c>
      <c r="E1467" s="22">
        <v>5</v>
      </c>
      <c r="F1467">
        <f t="shared" si="32"/>
        <v>216</v>
      </c>
      <c r="G1467" s="22">
        <f t="shared" si="31"/>
        <v>221</v>
      </c>
      <c r="H1467" t="s">
        <v>514</v>
      </c>
      <c r="K1467" s="10">
        <v>378.78787878787801</v>
      </c>
      <c r="L1467" t="s">
        <v>550</v>
      </c>
      <c r="M1467" t="s">
        <v>535</v>
      </c>
      <c r="Q1467" t="s">
        <v>468</v>
      </c>
      <c r="R1467" t="s">
        <v>4</v>
      </c>
      <c r="S1467" t="s">
        <v>58</v>
      </c>
    </row>
    <row r="1468" spans="1:19" x14ac:dyDescent="0.3">
      <c r="A1468" s="2" t="s">
        <v>182</v>
      </c>
      <c r="B1468" s="1" t="s">
        <v>411</v>
      </c>
      <c r="C1468" s="3" t="s">
        <v>57</v>
      </c>
      <c r="D1468" s="1" t="s">
        <v>578</v>
      </c>
      <c r="E1468" s="22">
        <v>6</v>
      </c>
      <c r="F1468">
        <f t="shared" si="32"/>
        <v>216</v>
      </c>
      <c r="G1468" s="22">
        <f t="shared" si="31"/>
        <v>222</v>
      </c>
      <c r="H1468" t="s">
        <v>514</v>
      </c>
      <c r="K1468" s="10">
        <v>300.50505050505001</v>
      </c>
      <c r="L1468" t="s">
        <v>550</v>
      </c>
      <c r="M1468" t="s">
        <v>535</v>
      </c>
      <c r="Q1468" t="s">
        <v>468</v>
      </c>
      <c r="R1468" t="s">
        <v>4</v>
      </c>
      <c r="S1468" t="s">
        <v>58</v>
      </c>
    </row>
    <row r="1469" spans="1:19" x14ac:dyDescent="0.3">
      <c r="A1469" s="2" t="s">
        <v>182</v>
      </c>
      <c r="B1469" s="1" t="s">
        <v>411</v>
      </c>
      <c r="C1469" s="3" t="s">
        <v>57</v>
      </c>
      <c r="D1469" s="1" t="s">
        <v>578</v>
      </c>
      <c r="E1469" s="22">
        <v>8</v>
      </c>
      <c r="F1469">
        <f t="shared" si="32"/>
        <v>216</v>
      </c>
      <c r="G1469" s="22">
        <f t="shared" si="31"/>
        <v>224</v>
      </c>
      <c r="H1469" t="s">
        <v>514</v>
      </c>
      <c r="K1469" s="10">
        <v>246.21212121212099</v>
      </c>
      <c r="L1469" t="s">
        <v>550</v>
      </c>
      <c r="M1469" t="s">
        <v>535</v>
      </c>
      <c r="Q1469" t="s">
        <v>468</v>
      </c>
      <c r="R1469" t="s">
        <v>4</v>
      </c>
      <c r="S1469" t="s">
        <v>58</v>
      </c>
    </row>
    <row r="1470" spans="1:19" x14ac:dyDescent="0.3">
      <c r="A1470" s="2" t="s">
        <v>182</v>
      </c>
      <c r="B1470" s="1" t="s">
        <v>411</v>
      </c>
      <c r="C1470" s="3" t="s">
        <v>57</v>
      </c>
      <c r="D1470" s="1" t="s">
        <v>578</v>
      </c>
      <c r="E1470" s="22">
        <v>12</v>
      </c>
      <c r="F1470">
        <f t="shared" si="32"/>
        <v>216</v>
      </c>
      <c r="G1470" s="22">
        <f t="shared" si="31"/>
        <v>228</v>
      </c>
      <c r="H1470" t="s">
        <v>514</v>
      </c>
      <c r="K1470" s="10">
        <v>189.39393939393901</v>
      </c>
      <c r="L1470" t="s">
        <v>550</v>
      </c>
      <c r="M1470" t="s">
        <v>535</v>
      </c>
      <c r="Q1470" t="s">
        <v>468</v>
      </c>
      <c r="R1470" t="s">
        <v>4</v>
      </c>
      <c r="S1470" t="s">
        <v>58</v>
      </c>
    </row>
    <row r="1471" spans="1:19" x14ac:dyDescent="0.3">
      <c r="A1471" s="2" t="s">
        <v>182</v>
      </c>
      <c r="B1471" s="1" t="s">
        <v>411</v>
      </c>
      <c r="C1471" s="3" t="s">
        <v>57</v>
      </c>
      <c r="D1471" s="1" t="s">
        <v>578</v>
      </c>
      <c r="E1471" s="22">
        <v>24</v>
      </c>
      <c r="F1471">
        <f t="shared" si="32"/>
        <v>216</v>
      </c>
      <c r="G1471" s="22">
        <f t="shared" si="31"/>
        <v>240</v>
      </c>
      <c r="H1471" t="s">
        <v>514</v>
      </c>
      <c r="K1471" s="10">
        <v>140.15151515151501</v>
      </c>
      <c r="L1471" t="s">
        <v>550</v>
      </c>
      <c r="M1471" t="s">
        <v>535</v>
      </c>
      <c r="Q1471" t="s">
        <v>468</v>
      </c>
      <c r="R1471" t="s">
        <v>4</v>
      </c>
      <c r="S1471" t="s">
        <v>58</v>
      </c>
    </row>
    <row r="1472" spans="1:19" x14ac:dyDescent="0.3">
      <c r="A1472" s="2" t="s">
        <v>182</v>
      </c>
      <c r="B1472" s="1" t="s">
        <v>411</v>
      </c>
      <c r="C1472" s="3" t="s">
        <v>57</v>
      </c>
      <c r="D1472" s="1" t="s">
        <v>578</v>
      </c>
      <c r="E1472" s="22">
        <v>48</v>
      </c>
      <c r="F1472">
        <f t="shared" si="32"/>
        <v>216</v>
      </c>
      <c r="G1472" s="22">
        <f t="shared" si="31"/>
        <v>264</v>
      </c>
      <c r="H1472" t="s">
        <v>514</v>
      </c>
      <c r="K1472" s="10">
        <v>84.595959595959499</v>
      </c>
      <c r="L1472" t="s">
        <v>550</v>
      </c>
      <c r="M1472" t="s">
        <v>535</v>
      </c>
      <c r="Q1472" t="s">
        <v>468</v>
      </c>
      <c r="R1472" t="s">
        <v>4</v>
      </c>
      <c r="S1472" t="s">
        <v>58</v>
      </c>
    </row>
    <row r="1473" spans="1:19" x14ac:dyDescent="0.3">
      <c r="A1473" s="2" t="s">
        <v>183</v>
      </c>
      <c r="B1473" s="1" t="s">
        <v>412</v>
      </c>
      <c r="C1473" s="3" t="s">
        <v>57</v>
      </c>
      <c r="D1473" s="1" t="s">
        <v>578</v>
      </c>
      <c r="E1473" s="22">
        <v>0</v>
      </c>
      <c r="F1473">
        <f>9*24</f>
        <v>216</v>
      </c>
      <c r="G1473" s="22">
        <f t="shared" ref="G1473:G1483" si="33">F1473+E1473</f>
        <v>216</v>
      </c>
      <c r="H1473" t="s">
        <v>514</v>
      </c>
      <c r="K1473" s="10">
        <v>128.78787878787799</v>
      </c>
      <c r="L1473" t="s">
        <v>550</v>
      </c>
      <c r="M1473" t="s">
        <v>535</v>
      </c>
      <c r="Q1473" t="s">
        <v>468</v>
      </c>
      <c r="R1473" t="s">
        <v>4</v>
      </c>
      <c r="S1473" t="s">
        <v>58</v>
      </c>
    </row>
    <row r="1474" spans="1:19" x14ac:dyDescent="0.3">
      <c r="A1474" s="2" t="s">
        <v>183</v>
      </c>
      <c r="B1474" s="1" t="s">
        <v>412</v>
      </c>
      <c r="C1474" s="3" t="s">
        <v>57</v>
      </c>
      <c r="D1474" s="1" t="s">
        <v>578</v>
      </c>
      <c r="E1474" s="22">
        <v>1</v>
      </c>
      <c r="F1474">
        <f t="shared" ref="F1474:F1483" si="34">9*24</f>
        <v>216</v>
      </c>
      <c r="G1474" s="22">
        <f t="shared" si="33"/>
        <v>217</v>
      </c>
      <c r="H1474" t="s">
        <v>514</v>
      </c>
      <c r="K1474" s="10">
        <v>167.92929292929301</v>
      </c>
      <c r="L1474" t="s">
        <v>550</v>
      </c>
      <c r="M1474" t="s">
        <v>535</v>
      </c>
      <c r="Q1474" t="s">
        <v>468</v>
      </c>
      <c r="R1474" t="s">
        <v>4</v>
      </c>
      <c r="S1474" t="s">
        <v>58</v>
      </c>
    </row>
    <row r="1475" spans="1:19" x14ac:dyDescent="0.3">
      <c r="A1475" s="2" t="s">
        <v>183</v>
      </c>
      <c r="B1475" s="1" t="s">
        <v>412</v>
      </c>
      <c r="C1475" s="3" t="s">
        <v>57</v>
      </c>
      <c r="D1475" s="1" t="s">
        <v>578</v>
      </c>
      <c r="E1475" s="22">
        <v>2</v>
      </c>
      <c r="F1475">
        <f t="shared" si="34"/>
        <v>216</v>
      </c>
      <c r="G1475" s="22">
        <f t="shared" si="33"/>
        <v>218</v>
      </c>
      <c r="H1475" t="s">
        <v>514</v>
      </c>
      <c r="K1475" s="10">
        <v>284.09090909090901</v>
      </c>
      <c r="L1475" t="s">
        <v>550</v>
      </c>
      <c r="M1475" t="s">
        <v>535</v>
      </c>
      <c r="Q1475" t="s">
        <v>468</v>
      </c>
      <c r="R1475" t="s">
        <v>4</v>
      </c>
      <c r="S1475" t="s">
        <v>58</v>
      </c>
    </row>
    <row r="1476" spans="1:19" x14ac:dyDescent="0.3">
      <c r="A1476" s="2" t="s">
        <v>183</v>
      </c>
      <c r="B1476" s="1" t="s">
        <v>412</v>
      </c>
      <c r="C1476" s="3" t="s">
        <v>57</v>
      </c>
      <c r="D1476" s="1" t="s">
        <v>578</v>
      </c>
      <c r="E1476" s="22">
        <v>3</v>
      </c>
      <c r="F1476">
        <f t="shared" si="34"/>
        <v>216</v>
      </c>
      <c r="G1476" s="22">
        <f t="shared" si="33"/>
        <v>219</v>
      </c>
      <c r="H1476" t="s">
        <v>514</v>
      </c>
      <c r="K1476" s="10">
        <v>362.37373737373701</v>
      </c>
      <c r="L1476" t="s">
        <v>550</v>
      </c>
      <c r="M1476" t="s">
        <v>535</v>
      </c>
      <c r="Q1476" t="s">
        <v>468</v>
      </c>
      <c r="R1476" t="s">
        <v>4</v>
      </c>
      <c r="S1476" t="s">
        <v>58</v>
      </c>
    </row>
    <row r="1477" spans="1:19" x14ac:dyDescent="0.3">
      <c r="A1477" s="2" t="s">
        <v>183</v>
      </c>
      <c r="B1477" s="1" t="s">
        <v>412</v>
      </c>
      <c r="C1477" s="3" t="s">
        <v>57</v>
      </c>
      <c r="D1477" s="1" t="s">
        <v>578</v>
      </c>
      <c r="E1477" s="22">
        <v>4</v>
      </c>
      <c r="F1477">
        <f t="shared" si="34"/>
        <v>216</v>
      </c>
      <c r="G1477" s="22">
        <f t="shared" si="33"/>
        <v>220</v>
      </c>
      <c r="H1477" t="s">
        <v>514</v>
      </c>
      <c r="K1477" s="10">
        <v>378.78787878787801</v>
      </c>
      <c r="L1477" t="s">
        <v>550</v>
      </c>
      <c r="M1477" t="s">
        <v>535</v>
      </c>
      <c r="Q1477" t="s">
        <v>468</v>
      </c>
      <c r="R1477" t="s">
        <v>4</v>
      </c>
      <c r="S1477" t="s">
        <v>58</v>
      </c>
    </row>
    <row r="1478" spans="1:19" x14ac:dyDescent="0.3">
      <c r="A1478" s="2" t="s">
        <v>183</v>
      </c>
      <c r="B1478" s="1" t="s">
        <v>412</v>
      </c>
      <c r="C1478" s="3" t="s">
        <v>57</v>
      </c>
      <c r="D1478" s="1" t="s">
        <v>578</v>
      </c>
      <c r="E1478" s="22">
        <v>5</v>
      </c>
      <c r="F1478">
        <f t="shared" si="34"/>
        <v>216</v>
      </c>
      <c r="G1478" s="22">
        <f t="shared" si="33"/>
        <v>221</v>
      </c>
      <c r="H1478" t="s">
        <v>514</v>
      </c>
      <c r="K1478" s="10">
        <v>335.85858585858603</v>
      </c>
      <c r="L1478" t="s">
        <v>550</v>
      </c>
      <c r="M1478" t="s">
        <v>535</v>
      </c>
      <c r="Q1478" t="s">
        <v>468</v>
      </c>
      <c r="R1478" t="s">
        <v>4</v>
      </c>
      <c r="S1478" t="s">
        <v>58</v>
      </c>
    </row>
    <row r="1479" spans="1:19" x14ac:dyDescent="0.3">
      <c r="A1479" s="2" t="s">
        <v>183</v>
      </c>
      <c r="B1479" s="1" t="s">
        <v>412</v>
      </c>
      <c r="C1479" s="3" t="s">
        <v>57</v>
      </c>
      <c r="D1479" s="1" t="s">
        <v>578</v>
      </c>
      <c r="E1479" s="22">
        <v>6</v>
      </c>
      <c r="F1479">
        <f t="shared" si="34"/>
        <v>216</v>
      </c>
      <c r="G1479" s="22">
        <f t="shared" si="33"/>
        <v>222</v>
      </c>
      <c r="H1479" t="s">
        <v>514</v>
      </c>
      <c r="K1479" s="10">
        <v>261.36363636363598</v>
      </c>
      <c r="L1479" t="s">
        <v>550</v>
      </c>
      <c r="M1479" t="s">
        <v>535</v>
      </c>
      <c r="Q1479" t="s">
        <v>468</v>
      </c>
      <c r="R1479" t="s">
        <v>4</v>
      </c>
      <c r="S1479" t="s">
        <v>58</v>
      </c>
    </row>
    <row r="1480" spans="1:19" x14ac:dyDescent="0.3">
      <c r="A1480" s="2" t="s">
        <v>183</v>
      </c>
      <c r="B1480" s="1" t="s">
        <v>412</v>
      </c>
      <c r="C1480" s="3" t="s">
        <v>57</v>
      </c>
      <c r="D1480" s="1" t="s">
        <v>578</v>
      </c>
      <c r="E1480" s="22">
        <v>8</v>
      </c>
      <c r="F1480">
        <f t="shared" si="34"/>
        <v>216</v>
      </c>
      <c r="G1480" s="22">
        <f t="shared" si="33"/>
        <v>224</v>
      </c>
      <c r="H1480" t="s">
        <v>514</v>
      </c>
      <c r="K1480" s="10">
        <v>218.43434343434299</v>
      </c>
      <c r="L1480" t="s">
        <v>550</v>
      </c>
      <c r="M1480" t="s">
        <v>535</v>
      </c>
      <c r="Q1480" t="s">
        <v>468</v>
      </c>
      <c r="R1480" t="s">
        <v>4</v>
      </c>
      <c r="S1480" t="s">
        <v>58</v>
      </c>
    </row>
    <row r="1481" spans="1:19" x14ac:dyDescent="0.3">
      <c r="A1481" s="2" t="s">
        <v>183</v>
      </c>
      <c r="B1481" s="1" t="s">
        <v>412</v>
      </c>
      <c r="C1481" s="3" t="s">
        <v>57</v>
      </c>
      <c r="D1481" s="1" t="s">
        <v>578</v>
      </c>
      <c r="E1481" s="22">
        <v>12</v>
      </c>
      <c r="F1481">
        <f t="shared" si="34"/>
        <v>216</v>
      </c>
      <c r="G1481" s="22">
        <f t="shared" si="33"/>
        <v>228</v>
      </c>
      <c r="H1481" t="s">
        <v>514</v>
      </c>
      <c r="K1481" s="10">
        <v>190.65656565656499</v>
      </c>
      <c r="L1481" t="s">
        <v>550</v>
      </c>
      <c r="M1481" t="s">
        <v>535</v>
      </c>
      <c r="Q1481" t="s">
        <v>468</v>
      </c>
      <c r="R1481" t="s">
        <v>4</v>
      </c>
      <c r="S1481" t="s">
        <v>58</v>
      </c>
    </row>
    <row r="1482" spans="1:19" x14ac:dyDescent="0.3">
      <c r="A1482" s="2" t="s">
        <v>183</v>
      </c>
      <c r="B1482" s="1" t="s">
        <v>412</v>
      </c>
      <c r="C1482" s="3" t="s">
        <v>57</v>
      </c>
      <c r="D1482" s="1" t="s">
        <v>578</v>
      </c>
      <c r="E1482" s="22">
        <v>24</v>
      </c>
      <c r="F1482">
        <f t="shared" si="34"/>
        <v>216</v>
      </c>
      <c r="G1482" s="22">
        <f t="shared" si="33"/>
        <v>240</v>
      </c>
      <c r="H1482" t="s">
        <v>514</v>
      </c>
      <c r="K1482" s="10">
        <v>151.51515151515099</v>
      </c>
      <c r="L1482" t="s">
        <v>550</v>
      </c>
      <c r="M1482" t="s">
        <v>535</v>
      </c>
      <c r="Q1482" t="s">
        <v>468</v>
      </c>
      <c r="R1482" t="s">
        <v>4</v>
      </c>
      <c r="S1482" t="s">
        <v>58</v>
      </c>
    </row>
    <row r="1483" spans="1:19" x14ac:dyDescent="0.3">
      <c r="A1483" s="2" t="s">
        <v>183</v>
      </c>
      <c r="B1483" s="1" t="s">
        <v>412</v>
      </c>
      <c r="C1483" s="3" t="s">
        <v>57</v>
      </c>
      <c r="D1483" s="1" t="s">
        <v>578</v>
      </c>
      <c r="E1483" s="22">
        <v>48</v>
      </c>
      <c r="F1483">
        <f t="shared" si="34"/>
        <v>216</v>
      </c>
      <c r="G1483" s="22">
        <f t="shared" si="33"/>
        <v>264</v>
      </c>
      <c r="H1483" t="s">
        <v>514</v>
      </c>
      <c r="K1483" s="10">
        <v>83.333333333333201</v>
      </c>
      <c r="L1483" t="s">
        <v>550</v>
      </c>
      <c r="M1483" t="s">
        <v>535</v>
      </c>
      <c r="Q1483" t="s">
        <v>468</v>
      </c>
      <c r="R1483" t="s">
        <v>4</v>
      </c>
      <c r="S1483" t="s">
        <v>58</v>
      </c>
    </row>
    <row r="1484" spans="1:19" x14ac:dyDescent="0.3">
      <c r="A1484" s="2" t="s">
        <v>184</v>
      </c>
      <c r="B1484" s="1" t="s">
        <v>413</v>
      </c>
      <c r="C1484" s="3" t="s">
        <v>57</v>
      </c>
      <c r="D1484" s="1" t="s">
        <v>579</v>
      </c>
      <c r="E1484" s="22">
        <v>0</v>
      </c>
      <c r="F1484">
        <f>9*24</f>
        <v>216</v>
      </c>
      <c r="G1484" s="22">
        <f t="shared" ref="G1484:G1494" si="35">F1484+E1484</f>
        <v>216</v>
      </c>
      <c r="H1484" t="s">
        <v>514</v>
      </c>
      <c r="K1484" s="10">
        <v>378.66108786610801</v>
      </c>
      <c r="L1484" t="s">
        <v>550</v>
      </c>
      <c r="M1484" t="s">
        <v>535</v>
      </c>
      <c r="Q1484" t="s">
        <v>468</v>
      </c>
      <c r="R1484" t="s">
        <v>4</v>
      </c>
      <c r="S1484" t="s">
        <v>58</v>
      </c>
    </row>
    <row r="1485" spans="1:19" x14ac:dyDescent="0.3">
      <c r="A1485" s="2" t="s">
        <v>184</v>
      </c>
      <c r="B1485" s="1" t="s">
        <v>413</v>
      </c>
      <c r="C1485" s="3" t="s">
        <v>57</v>
      </c>
      <c r="D1485" s="1" t="s">
        <v>579</v>
      </c>
      <c r="E1485" s="22">
        <v>1</v>
      </c>
      <c r="F1485">
        <f t="shared" ref="F1485:F1494" si="36">9*24</f>
        <v>216</v>
      </c>
      <c r="G1485" s="22">
        <f t="shared" si="35"/>
        <v>217</v>
      </c>
      <c r="H1485" t="s">
        <v>514</v>
      </c>
      <c r="K1485" s="10">
        <v>370.29288702928898</v>
      </c>
      <c r="L1485" t="s">
        <v>550</v>
      </c>
      <c r="M1485" t="s">
        <v>535</v>
      </c>
      <c r="Q1485" t="s">
        <v>468</v>
      </c>
      <c r="R1485" t="s">
        <v>4</v>
      </c>
      <c r="S1485" t="s">
        <v>58</v>
      </c>
    </row>
    <row r="1486" spans="1:19" x14ac:dyDescent="0.3">
      <c r="A1486" s="2" t="s">
        <v>184</v>
      </c>
      <c r="B1486" s="1" t="s">
        <v>413</v>
      </c>
      <c r="C1486" s="3" t="s">
        <v>57</v>
      </c>
      <c r="D1486" s="1" t="s">
        <v>579</v>
      </c>
      <c r="E1486" s="22">
        <v>2</v>
      </c>
      <c r="F1486">
        <f t="shared" si="36"/>
        <v>216</v>
      </c>
      <c r="G1486" s="22">
        <f t="shared" si="35"/>
        <v>218</v>
      </c>
      <c r="H1486" t="s">
        <v>514</v>
      </c>
      <c r="K1486" s="10">
        <v>472.803347280335</v>
      </c>
      <c r="L1486" t="s">
        <v>550</v>
      </c>
      <c r="M1486" t="s">
        <v>535</v>
      </c>
      <c r="Q1486" t="s">
        <v>468</v>
      </c>
      <c r="R1486" t="s">
        <v>4</v>
      </c>
      <c r="S1486" t="s">
        <v>58</v>
      </c>
    </row>
    <row r="1487" spans="1:19" x14ac:dyDescent="0.3">
      <c r="A1487" s="2" t="s">
        <v>184</v>
      </c>
      <c r="B1487" s="1" t="s">
        <v>413</v>
      </c>
      <c r="C1487" s="3" t="s">
        <v>57</v>
      </c>
      <c r="D1487" s="1" t="s">
        <v>579</v>
      </c>
      <c r="E1487" s="22">
        <v>3</v>
      </c>
      <c r="F1487">
        <f t="shared" si="36"/>
        <v>216</v>
      </c>
      <c r="G1487" s="22">
        <f t="shared" si="35"/>
        <v>219</v>
      </c>
      <c r="H1487" t="s">
        <v>514</v>
      </c>
      <c r="K1487" s="10">
        <v>548.11715481171495</v>
      </c>
      <c r="L1487" t="s">
        <v>550</v>
      </c>
      <c r="M1487" t="s">
        <v>535</v>
      </c>
      <c r="Q1487" t="s">
        <v>468</v>
      </c>
      <c r="R1487" t="s">
        <v>4</v>
      </c>
      <c r="S1487" t="s">
        <v>58</v>
      </c>
    </row>
    <row r="1488" spans="1:19" x14ac:dyDescent="0.3">
      <c r="A1488" s="2" t="s">
        <v>184</v>
      </c>
      <c r="B1488" s="1" t="s">
        <v>413</v>
      </c>
      <c r="C1488" s="3" t="s">
        <v>57</v>
      </c>
      <c r="D1488" s="1" t="s">
        <v>579</v>
      </c>
      <c r="E1488" s="22">
        <v>4</v>
      </c>
      <c r="F1488">
        <f t="shared" si="36"/>
        <v>216</v>
      </c>
      <c r="G1488" s="22">
        <f t="shared" si="35"/>
        <v>220</v>
      </c>
      <c r="H1488" t="s">
        <v>514</v>
      </c>
      <c r="K1488" s="10">
        <v>652.71966527196605</v>
      </c>
      <c r="L1488" t="s">
        <v>550</v>
      </c>
      <c r="M1488" t="s">
        <v>535</v>
      </c>
      <c r="Q1488" t="s">
        <v>468</v>
      </c>
      <c r="R1488" t="s">
        <v>4</v>
      </c>
      <c r="S1488" t="s">
        <v>58</v>
      </c>
    </row>
    <row r="1489" spans="1:19" x14ac:dyDescent="0.3">
      <c r="A1489" s="2" t="s">
        <v>184</v>
      </c>
      <c r="B1489" s="1" t="s">
        <v>413</v>
      </c>
      <c r="C1489" s="3" t="s">
        <v>57</v>
      </c>
      <c r="D1489" s="1" t="s">
        <v>579</v>
      </c>
      <c r="E1489" s="22">
        <v>5</v>
      </c>
      <c r="F1489">
        <f t="shared" si="36"/>
        <v>216</v>
      </c>
      <c r="G1489" s="22">
        <f t="shared" si="35"/>
        <v>221</v>
      </c>
      <c r="H1489" t="s">
        <v>514</v>
      </c>
      <c r="K1489" s="10">
        <v>493.72384937238502</v>
      </c>
      <c r="L1489" t="s">
        <v>550</v>
      </c>
      <c r="M1489" t="s">
        <v>535</v>
      </c>
      <c r="Q1489" t="s">
        <v>468</v>
      </c>
      <c r="R1489" t="s">
        <v>4</v>
      </c>
      <c r="S1489" t="s">
        <v>58</v>
      </c>
    </row>
    <row r="1490" spans="1:19" x14ac:dyDescent="0.3">
      <c r="A1490" s="2" t="s">
        <v>184</v>
      </c>
      <c r="B1490" s="1" t="s">
        <v>413</v>
      </c>
      <c r="C1490" s="3" t="s">
        <v>57</v>
      </c>
      <c r="D1490" s="1" t="s">
        <v>579</v>
      </c>
      <c r="E1490" s="22">
        <v>6</v>
      </c>
      <c r="F1490">
        <f t="shared" si="36"/>
        <v>216</v>
      </c>
      <c r="G1490" s="22">
        <f t="shared" si="35"/>
        <v>222</v>
      </c>
      <c r="H1490" t="s">
        <v>514</v>
      </c>
      <c r="K1490" s="10">
        <v>426.77824267782398</v>
      </c>
      <c r="L1490" t="s">
        <v>550</v>
      </c>
      <c r="M1490" t="s">
        <v>535</v>
      </c>
      <c r="Q1490" t="s">
        <v>468</v>
      </c>
      <c r="R1490" t="s">
        <v>4</v>
      </c>
      <c r="S1490" t="s">
        <v>58</v>
      </c>
    </row>
    <row r="1491" spans="1:19" x14ac:dyDescent="0.3">
      <c r="A1491" s="2" t="s">
        <v>184</v>
      </c>
      <c r="B1491" s="1" t="s">
        <v>413</v>
      </c>
      <c r="C1491" s="3" t="s">
        <v>57</v>
      </c>
      <c r="D1491" s="1" t="s">
        <v>579</v>
      </c>
      <c r="E1491" s="22">
        <v>8</v>
      </c>
      <c r="F1491">
        <f t="shared" si="36"/>
        <v>216</v>
      </c>
      <c r="G1491" s="22">
        <f t="shared" si="35"/>
        <v>224</v>
      </c>
      <c r="H1491" t="s">
        <v>514</v>
      </c>
      <c r="K1491" s="10">
        <v>366.10878661087798</v>
      </c>
      <c r="L1491" t="s">
        <v>550</v>
      </c>
      <c r="M1491" t="s">
        <v>535</v>
      </c>
      <c r="Q1491" t="s">
        <v>468</v>
      </c>
      <c r="R1491" t="s">
        <v>4</v>
      </c>
      <c r="S1491" t="s">
        <v>58</v>
      </c>
    </row>
    <row r="1492" spans="1:19" x14ac:dyDescent="0.3">
      <c r="A1492" s="2" t="s">
        <v>184</v>
      </c>
      <c r="B1492" s="1" t="s">
        <v>413</v>
      </c>
      <c r="C1492" s="3" t="s">
        <v>57</v>
      </c>
      <c r="D1492" s="1" t="s">
        <v>579</v>
      </c>
      <c r="E1492" s="22">
        <v>12</v>
      </c>
      <c r="F1492">
        <f t="shared" si="36"/>
        <v>216</v>
      </c>
      <c r="G1492" s="22">
        <f t="shared" si="35"/>
        <v>228</v>
      </c>
      <c r="H1492" t="s">
        <v>514</v>
      </c>
      <c r="K1492" s="10">
        <v>364.01673640167297</v>
      </c>
      <c r="L1492" t="s">
        <v>550</v>
      </c>
      <c r="M1492" t="s">
        <v>535</v>
      </c>
      <c r="Q1492" t="s">
        <v>468</v>
      </c>
      <c r="R1492" t="s">
        <v>4</v>
      </c>
      <c r="S1492" t="s">
        <v>58</v>
      </c>
    </row>
    <row r="1493" spans="1:19" x14ac:dyDescent="0.3">
      <c r="A1493" s="2" t="s">
        <v>184</v>
      </c>
      <c r="B1493" s="1" t="s">
        <v>413</v>
      </c>
      <c r="C1493" s="3" t="s">
        <v>57</v>
      </c>
      <c r="D1493" s="1" t="s">
        <v>579</v>
      </c>
      <c r="E1493" s="22">
        <v>16</v>
      </c>
      <c r="F1493">
        <f t="shared" si="36"/>
        <v>216</v>
      </c>
      <c r="G1493" s="22">
        <f t="shared" si="35"/>
        <v>232</v>
      </c>
      <c r="H1493" t="s">
        <v>514</v>
      </c>
      <c r="K1493" s="10">
        <v>430.96234309623401</v>
      </c>
      <c r="L1493" t="s">
        <v>550</v>
      </c>
      <c r="M1493" t="s">
        <v>535</v>
      </c>
      <c r="Q1493" t="s">
        <v>468</v>
      </c>
      <c r="R1493" t="s">
        <v>4</v>
      </c>
      <c r="S1493" t="s">
        <v>58</v>
      </c>
    </row>
    <row r="1494" spans="1:19" x14ac:dyDescent="0.3">
      <c r="A1494" s="2" t="s">
        <v>184</v>
      </c>
      <c r="B1494" s="1" t="s">
        <v>413</v>
      </c>
      <c r="C1494" s="3" t="s">
        <v>57</v>
      </c>
      <c r="D1494" s="1" t="s">
        <v>579</v>
      </c>
      <c r="E1494" s="22">
        <v>24</v>
      </c>
      <c r="F1494">
        <f t="shared" si="36"/>
        <v>216</v>
      </c>
      <c r="G1494" s="22">
        <f t="shared" si="35"/>
        <v>240</v>
      </c>
      <c r="H1494" t="s">
        <v>514</v>
      </c>
      <c r="K1494" s="10">
        <v>410.04184100418399</v>
      </c>
      <c r="L1494" t="s">
        <v>550</v>
      </c>
      <c r="M1494" t="s">
        <v>535</v>
      </c>
      <c r="Q1494" t="s">
        <v>468</v>
      </c>
      <c r="R1494" t="s">
        <v>4</v>
      </c>
      <c r="S1494" t="s">
        <v>58</v>
      </c>
    </row>
    <row r="1495" spans="1:19" x14ac:dyDescent="0.3">
      <c r="A1495" s="2" t="s">
        <v>185</v>
      </c>
      <c r="B1495" s="1" t="s">
        <v>414</v>
      </c>
      <c r="C1495" s="3" t="s">
        <v>57</v>
      </c>
      <c r="D1495" s="1" t="s">
        <v>579</v>
      </c>
      <c r="E1495" s="22">
        <v>0</v>
      </c>
      <c r="F1495">
        <f>9*24</f>
        <v>216</v>
      </c>
      <c r="G1495" s="22">
        <f t="shared" ref="G1495:G1505" si="37">F1495+E1495</f>
        <v>216</v>
      </c>
      <c r="H1495" t="s">
        <v>514</v>
      </c>
      <c r="K1495" s="10">
        <v>405.85774058577402</v>
      </c>
      <c r="L1495" t="s">
        <v>550</v>
      </c>
      <c r="M1495" t="s">
        <v>535</v>
      </c>
      <c r="Q1495" t="s">
        <v>468</v>
      </c>
      <c r="R1495" t="s">
        <v>4</v>
      </c>
      <c r="S1495" t="s">
        <v>58</v>
      </c>
    </row>
    <row r="1496" spans="1:19" x14ac:dyDescent="0.3">
      <c r="A1496" s="2" t="s">
        <v>185</v>
      </c>
      <c r="B1496" s="1" t="s">
        <v>414</v>
      </c>
      <c r="C1496" s="3" t="s">
        <v>57</v>
      </c>
      <c r="D1496" s="1" t="s">
        <v>579</v>
      </c>
      <c r="E1496" s="22">
        <v>1</v>
      </c>
      <c r="F1496">
        <f t="shared" ref="F1496:F1505" si="38">9*24</f>
        <v>216</v>
      </c>
      <c r="G1496" s="22">
        <f t="shared" si="37"/>
        <v>217</v>
      </c>
      <c r="H1496" t="s">
        <v>514</v>
      </c>
      <c r="K1496" s="10">
        <v>435.14644351464398</v>
      </c>
      <c r="L1496" t="s">
        <v>550</v>
      </c>
      <c r="M1496" t="s">
        <v>535</v>
      </c>
      <c r="Q1496" t="s">
        <v>468</v>
      </c>
      <c r="R1496" t="s">
        <v>4</v>
      </c>
      <c r="S1496" t="s">
        <v>58</v>
      </c>
    </row>
    <row r="1497" spans="1:19" x14ac:dyDescent="0.3">
      <c r="A1497" s="2" t="s">
        <v>185</v>
      </c>
      <c r="B1497" s="1" t="s">
        <v>414</v>
      </c>
      <c r="C1497" s="3" t="s">
        <v>57</v>
      </c>
      <c r="D1497" s="1" t="s">
        <v>579</v>
      </c>
      <c r="E1497" s="22">
        <v>2</v>
      </c>
      <c r="F1497">
        <f t="shared" si="38"/>
        <v>216</v>
      </c>
      <c r="G1497" s="22">
        <f t="shared" si="37"/>
        <v>218</v>
      </c>
      <c r="H1497" t="s">
        <v>514</v>
      </c>
      <c r="K1497" s="10">
        <v>564.85355648535506</v>
      </c>
      <c r="L1497" t="s">
        <v>550</v>
      </c>
      <c r="M1497" t="s">
        <v>535</v>
      </c>
      <c r="Q1497" t="s">
        <v>468</v>
      </c>
      <c r="R1497" t="s">
        <v>4</v>
      </c>
      <c r="S1497" t="s">
        <v>58</v>
      </c>
    </row>
    <row r="1498" spans="1:19" x14ac:dyDescent="0.3">
      <c r="A1498" s="2" t="s">
        <v>185</v>
      </c>
      <c r="B1498" s="1" t="s">
        <v>414</v>
      </c>
      <c r="C1498" s="3" t="s">
        <v>57</v>
      </c>
      <c r="D1498" s="1" t="s">
        <v>579</v>
      </c>
      <c r="E1498" s="22">
        <v>3</v>
      </c>
      <c r="F1498">
        <f t="shared" si="38"/>
        <v>216</v>
      </c>
      <c r="G1498" s="22">
        <f t="shared" si="37"/>
        <v>219</v>
      </c>
      <c r="H1498" t="s">
        <v>514</v>
      </c>
      <c r="K1498" s="10">
        <v>635.98326359832595</v>
      </c>
      <c r="L1498" t="s">
        <v>550</v>
      </c>
      <c r="M1498" t="s">
        <v>535</v>
      </c>
      <c r="Q1498" t="s">
        <v>468</v>
      </c>
      <c r="R1498" t="s">
        <v>4</v>
      </c>
      <c r="S1498" t="s">
        <v>58</v>
      </c>
    </row>
    <row r="1499" spans="1:19" x14ac:dyDescent="0.3">
      <c r="A1499" s="2" t="s">
        <v>185</v>
      </c>
      <c r="B1499" s="1" t="s">
        <v>414</v>
      </c>
      <c r="C1499" s="3" t="s">
        <v>57</v>
      </c>
      <c r="D1499" s="1" t="s">
        <v>579</v>
      </c>
      <c r="E1499" s="22">
        <v>4</v>
      </c>
      <c r="F1499">
        <f t="shared" si="38"/>
        <v>216</v>
      </c>
      <c r="G1499" s="22">
        <f t="shared" si="37"/>
        <v>220</v>
      </c>
      <c r="H1499" t="s">
        <v>514</v>
      </c>
      <c r="K1499" s="10">
        <v>679.91631799163201</v>
      </c>
      <c r="L1499" t="s">
        <v>550</v>
      </c>
      <c r="M1499" t="s">
        <v>535</v>
      </c>
      <c r="Q1499" t="s">
        <v>468</v>
      </c>
      <c r="R1499" t="s">
        <v>4</v>
      </c>
      <c r="S1499" t="s">
        <v>58</v>
      </c>
    </row>
    <row r="1500" spans="1:19" x14ac:dyDescent="0.3">
      <c r="A1500" s="2" t="s">
        <v>185</v>
      </c>
      <c r="B1500" s="1" t="s">
        <v>414</v>
      </c>
      <c r="C1500" s="3" t="s">
        <v>57</v>
      </c>
      <c r="D1500" s="1" t="s">
        <v>579</v>
      </c>
      <c r="E1500" s="22">
        <v>5</v>
      </c>
      <c r="F1500">
        <f t="shared" si="38"/>
        <v>216</v>
      </c>
      <c r="G1500" s="22">
        <f t="shared" si="37"/>
        <v>221</v>
      </c>
      <c r="H1500" t="s">
        <v>514</v>
      </c>
      <c r="K1500" s="10">
        <v>602.51046025104597</v>
      </c>
      <c r="L1500" t="s">
        <v>550</v>
      </c>
      <c r="M1500" t="s">
        <v>535</v>
      </c>
      <c r="Q1500" t="s">
        <v>468</v>
      </c>
      <c r="R1500" t="s">
        <v>4</v>
      </c>
      <c r="S1500" t="s">
        <v>58</v>
      </c>
    </row>
    <row r="1501" spans="1:19" x14ac:dyDescent="0.3">
      <c r="A1501" s="2" t="s">
        <v>185</v>
      </c>
      <c r="B1501" s="1" t="s">
        <v>414</v>
      </c>
      <c r="C1501" s="3" t="s">
        <v>57</v>
      </c>
      <c r="D1501" s="1" t="s">
        <v>579</v>
      </c>
      <c r="E1501" s="22">
        <v>6</v>
      </c>
      <c r="F1501">
        <f t="shared" si="38"/>
        <v>216</v>
      </c>
      <c r="G1501" s="22">
        <f t="shared" si="37"/>
        <v>222</v>
      </c>
      <c r="H1501" t="s">
        <v>514</v>
      </c>
      <c r="K1501" s="10">
        <v>537.65690376569</v>
      </c>
      <c r="L1501" t="s">
        <v>550</v>
      </c>
      <c r="M1501" t="s">
        <v>535</v>
      </c>
      <c r="Q1501" t="s">
        <v>468</v>
      </c>
      <c r="R1501" t="s">
        <v>4</v>
      </c>
      <c r="S1501" t="s">
        <v>58</v>
      </c>
    </row>
    <row r="1502" spans="1:19" x14ac:dyDescent="0.3">
      <c r="A1502" s="2" t="s">
        <v>185</v>
      </c>
      <c r="B1502" s="1" t="s">
        <v>414</v>
      </c>
      <c r="C1502" s="3" t="s">
        <v>57</v>
      </c>
      <c r="D1502" s="1" t="s">
        <v>579</v>
      </c>
      <c r="E1502" s="22">
        <v>8</v>
      </c>
      <c r="F1502">
        <f t="shared" si="38"/>
        <v>216</v>
      </c>
      <c r="G1502" s="22">
        <f t="shared" si="37"/>
        <v>224</v>
      </c>
      <c r="H1502" t="s">
        <v>514</v>
      </c>
      <c r="K1502" s="10">
        <v>470.71129707112902</v>
      </c>
      <c r="L1502" t="s">
        <v>550</v>
      </c>
      <c r="M1502" t="s">
        <v>535</v>
      </c>
      <c r="Q1502" t="s">
        <v>468</v>
      </c>
      <c r="R1502" t="s">
        <v>4</v>
      </c>
      <c r="S1502" t="s">
        <v>58</v>
      </c>
    </row>
    <row r="1503" spans="1:19" x14ac:dyDescent="0.3">
      <c r="A1503" s="2" t="s">
        <v>185</v>
      </c>
      <c r="B1503" s="1" t="s">
        <v>414</v>
      </c>
      <c r="C1503" s="3" t="s">
        <v>57</v>
      </c>
      <c r="D1503" s="1" t="s">
        <v>579</v>
      </c>
      <c r="E1503" s="22">
        <v>12</v>
      </c>
      <c r="F1503">
        <f t="shared" si="38"/>
        <v>216</v>
      </c>
      <c r="G1503" s="22">
        <f t="shared" si="37"/>
        <v>228</v>
      </c>
      <c r="H1503" t="s">
        <v>514</v>
      </c>
      <c r="K1503" s="10">
        <v>451.88284518828402</v>
      </c>
      <c r="L1503" t="s">
        <v>550</v>
      </c>
      <c r="M1503" t="s">
        <v>535</v>
      </c>
      <c r="Q1503" t="s">
        <v>468</v>
      </c>
      <c r="R1503" t="s">
        <v>4</v>
      </c>
      <c r="S1503" t="s">
        <v>58</v>
      </c>
    </row>
    <row r="1504" spans="1:19" x14ac:dyDescent="0.3">
      <c r="A1504" s="2" t="s">
        <v>185</v>
      </c>
      <c r="B1504" s="1" t="s">
        <v>414</v>
      </c>
      <c r="C1504" s="3" t="s">
        <v>57</v>
      </c>
      <c r="D1504" s="1" t="s">
        <v>579</v>
      </c>
      <c r="E1504" s="22">
        <v>16</v>
      </c>
      <c r="F1504">
        <f t="shared" si="38"/>
        <v>216</v>
      </c>
      <c r="G1504" s="22">
        <f t="shared" si="37"/>
        <v>232</v>
      </c>
      <c r="H1504" t="s">
        <v>514</v>
      </c>
      <c r="K1504" s="10">
        <v>546.02510460251005</v>
      </c>
      <c r="L1504" t="s">
        <v>550</v>
      </c>
      <c r="M1504" t="s">
        <v>535</v>
      </c>
      <c r="Q1504" t="s">
        <v>468</v>
      </c>
      <c r="R1504" t="s">
        <v>4</v>
      </c>
      <c r="S1504" t="s">
        <v>58</v>
      </c>
    </row>
    <row r="1505" spans="1:19" x14ac:dyDescent="0.3">
      <c r="A1505" s="2" t="s">
        <v>185</v>
      </c>
      <c r="B1505" s="1" t="s">
        <v>414</v>
      </c>
      <c r="C1505" s="3" t="s">
        <v>57</v>
      </c>
      <c r="D1505" s="1" t="s">
        <v>579</v>
      </c>
      <c r="E1505" s="22">
        <v>24</v>
      </c>
      <c r="F1505">
        <f t="shared" si="38"/>
        <v>216</v>
      </c>
      <c r="G1505" s="22">
        <f t="shared" si="37"/>
        <v>240</v>
      </c>
      <c r="H1505" t="s">
        <v>514</v>
      </c>
      <c r="K1505" s="10">
        <v>453.97489539748898</v>
      </c>
      <c r="L1505" t="s">
        <v>550</v>
      </c>
      <c r="M1505" t="s">
        <v>535</v>
      </c>
      <c r="Q1505" t="s">
        <v>468</v>
      </c>
      <c r="R1505" t="s">
        <v>4</v>
      </c>
      <c r="S1505" t="s">
        <v>58</v>
      </c>
    </row>
    <row r="1506" spans="1:19" x14ac:dyDescent="0.3">
      <c r="A1506" s="2" t="s">
        <v>186</v>
      </c>
      <c r="B1506" s="1" t="s">
        <v>415</v>
      </c>
      <c r="C1506" s="3" t="s">
        <v>57</v>
      </c>
      <c r="D1506" s="1" t="s">
        <v>580</v>
      </c>
      <c r="E1506" s="22">
        <v>0</v>
      </c>
      <c r="F1506">
        <f>9*24</f>
        <v>216</v>
      </c>
      <c r="G1506" s="22">
        <f t="shared" ref="G1506:G1519" si="39">F1506+E1506</f>
        <v>216</v>
      </c>
      <c r="H1506" t="s">
        <v>514</v>
      </c>
      <c r="K1506" s="10">
        <v>380.53097345132699</v>
      </c>
      <c r="L1506" t="s">
        <v>550</v>
      </c>
      <c r="M1506" t="s">
        <v>535</v>
      </c>
      <c r="Q1506" t="s">
        <v>468</v>
      </c>
      <c r="R1506" t="s">
        <v>4</v>
      </c>
      <c r="S1506" t="s">
        <v>58</v>
      </c>
    </row>
    <row r="1507" spans="1:19" x14ac:dyDescent="0.3">
      <c r="A1507" s="2" t="s">
        <v>186</v>
      </c>
      <c r="B1507" s="1" t="s">
        <v>415</v>
      </c>
      <c r="C1507" s="3" t="s">
        <v>57</v>
      </c>
      <c r="D1507" s="1" t="s">
        <v>580</v>
      </c>
      <c r="E1507" s="22">
        <v>1</v>
      </c>
      <c r="F1507">
        <f t="shared" ref="F1507:F1519" si="40">9*24</f>
        <v>216</v>
      </c>
      <c r="G1507" s="22">
        <f t="shared" si="39"/>
        <v>217</v>
      </c>
      <c r="H1507" t="s">
        <v>514</v>
      </c>
      <c r="K1507" s="10">
        <v>357.52212389380497</v>
      </c>
      <c r="L1507" t="s">
        <v>550</v>
      </c>
      <c r="M1507" t="s">
        <v>535</v>
      </c>
      <c r="Q1507" t="s">
        <v>468</v>
      </c>
      <c r="R1507" t="s">
        <v>4</v>
      </c>
      <c r="S1507" t="s">
        <v>58</v>
      </c>
    </row>
    <row r="1508" spans="1:19" x14ac:dyDescent="0.3">
      <c r="A1508" s="2" t="s">
        <v>186</v>
      </c>
      <c r="B1508" s="1" t="s">
        <v>415</v>
      </c>
      <c r="C1508" s="3" t="s">
        <v>57</v>
      </c>
      <c r="D1508" s="1" t="s">
        <v>580</v>
      </c>
      <c r="E1508" s="22">
        <v>2</v>
      </c>
      <c r="F1508">
        <f t="shared" si="40"/>
        <v>216</v>
      </c>
      <c r="G1508" s="22">
        <f t="shared" si="39"/>
        <v>218</v>
      </c>
      <c r="H1508" t="s">
        <v>514</v>
      </c>
      <c r="K1508" s="10">
        <v>424.778761061946</v>
      </c>
      <c r="L1508" t="s">
        <v>550</v>
      </c>
      <c r="M1508" t="s">
        <v>535</v>
      </c>
      <c r="Q1508" t="s">
        <v>468</v>
      </c>
      <c r="R1508" t="s">
        <v>4</v>
      </c>
      <c r="S1508" t="s">
        <v>58</v>
      </c>
    </row>
    <row r="1509" spans="1:19" x14ac:dyDescent="0.3">
      <c r="A1509" s="2" t="s">
        <v>186</v>
      </c>
      <c r="B1509" s="1" t="s">
        <v>415</v>
      </c>
      <c r="C1509" s="3" t="s">
        <v>57</v>
      </c>
      <c r="D1509" s="1" t="s">
        <v>580</v>
      </c>
      <c r="E1509" s="22">
        <v>3</v>
      </c>
      <c r="F1509">
        <f t="shared" si="40"/>
        <v>216</v>
      </c>
      <c r="G1509" s="22">
        <f t="shared" si="39"/>
        <v>219</v>
      </c>
      <c r="H1509" t="s">
        <v>514</v>
      </c>
      <c r="K1509" s="10">
        <v>435.39823008849498</v>
      </c>
      <c r="L1509" t="s">
        <v>550</v>
      </c>
      <c r="M1509" t="s">
        <v>535</v>
      </c>
      <c r="Q1509" t="s">
        <v>468</v>
      </c>
      <c r="R1509" t="s">
        <v>4</v>
      </c>
      <c r="S1509" t="s">
        <v>58</v>
      </c>
    </row>
    <row r="1510" spans="1:19" x14ac:dyDescent="0.3">
      <c r="A1510" s="2" t="s">
        <v>186</v>
      </c>
      <c r="B1510" s="1" t="s">
        <v>415</v>
      </c>
      <c r="C1510" s="3" t="s">
        <v>57</v>
      </c>
      <c r="D1510" s="1" t="s">
        <v>580</v>
      </c>
      <c r="E1510" s="22">
        <v>4</v>
      </c>
      <c r="F1510">
        <f t="shared" si="40"/>
        <v>216</v>
      </c>
      <c r="G1510" s="22">
        <f t="shared" si="39"/>
        <v>220</v>
      </c>
      <c r="H1510" t="s">
        <v>514</v>
      </c>
      <c r="K1510" s="10">
        <v>458.407079646017</v>
      </c>
      <c r="L1510" t="s">
        <v>550</v>
      </c>
      <c r="M1510" t="s">
        <v>535</v>
      </c>
      <c r="Q1510" t="s">
        <v>468</v>
      </c>
      <c r="R1510" t="s">
        <v>4</v>
      </c>
      <c r="S1510" t="s">
        <v>58</v>
      </c>
    </row>
    <row r="1511" spans="1:19" x14ac:dyDescent="0.3">
      <c r="A1511" s="2" t="s">
        <v>186</v>
      </c>
      <c r="B1511" s="1" t="s">
        <v>415</v>
      </c>
      <c r="C1511" s="3" t="s">
        <v>57</v>
      </c>
      <c r="D1511" s="1" t="s">
        <v>580</v>
      </c>
      <c r="E1511" s="22">
        <v>5</v>
      </c>
      <c r="F1511">
        <f t="shared" si="40"/>
        <v>216</v>
      </c>
      <c r="G1511" s="22">
        <f t="shared" si="39"/>
        <v>221</v>
      </c>
      <c r="H1511" t="s">
        <v>514</v>
      </c>
      <c r="K1511" s="10">
        <v>456.63716814159199</v>
      </c>
      <c r="L1511" t="s">
        <v>550</v>
      </c>
      <c r="M1511" t="s">
        <v>535</v>
      </c>
      <c r="Q1511" t="s">
        <v>468</v>
      </c>
      <c r="R1511" t="s">
        <v>4</v>
      </c>
      <c r="S1511" t="s">
        <v>58</v>
      </c>
    </row>
    <row r="1512" spans="1:19" x14ac:dyDescent="0.3">
      <c r="A1512" s="2" t="s">
        <v>186</v>
      </c>
      <c r="B1512" s="1" t="s">
        <v>415</v>
      </c>
      <c r="C1512" s="3" t="s">
        <v>57</v>
      </c>
      <c r="D1512" s="1" t="s">
        <v>580</v>
      </c>
      <c r="E1512" s="22">
        <v>6</v>
      </c>
      <c r="F1512">
        <f t="shared" si="40"/>
        <v>216</v>
      </c>
      <c r="G1512" s="22">
        <f t="shared" si="39"/>
        <v>222</v>
      </c>
      <c r="H1512" t="s">
        <v>514</v>
      </c>
      <c r="K1512" s="10">
        <v>465.48672566371602</v>
      </c>
      <c r="L1512" t="s">
        <v>550</v>
      </c>
      <c r="M1512" t="s">
        <v>535</v>
      </c>
      <c r="Q1512" t="s">
        <v>468</v>
      </c>
      <c r="R1512" t="s">
        <v>4</v>
      </c>
      <c r="S1512" t="s">
        <v>58</v>
      </c>
    </row>
    <row r="1513" spans="1:19" x14ac:dyDescent="0.3">
      <c r="A1513" s="2" t="s">
        <v>186</v>
      </c>
      <c r="B1513" s="1" t="s">
        <v>415</v>
      </c>
      <c r="C1513" s="3" t="s">
        <v>57</v>
      </c>
      <c r="D1513" s="1" t="s">
        <v>580</v>
      </c>
      <c r="E1513" s="22">
        <v>8</v>
      </c>
      <c r="F1513">
        <f t="shared" si="40"/>
        <v>216</v>
      </c>
      <c r="G1513" s="22">
        <f t="shared" si="39"/>
        <v>224</v>
      </c>
      <c r="H1513" t="s">
        <v>514</v>
      </c>
      <c r="K1513" s="10">
        <v>458.407079646017</v>
      </c>
      <c r="L1513" t="s">
        <v>550</v>
      </c>
      <c r="M1513" t="s">
        <v>535</v>
      </c>
      <c r="Q1513" t="s">
        <v>468</v>
      </c>
      <c r="R1513" t="s">
        <v>4</v>
      </c>
      <c r="S1513" t="s">
        <v>58</v>
      </c>
    </row>
    <row r="1514" spans="1:19" x14ac:dyDescent="0.3">
      <c r="A1514" s="2" t="s">
        <v>186</v>
      </c>
      <c r="B1514" s="1" t="s">
        <v>415</v>
      </c>
      <c r="C1514" s="3" t="s">
        <v>57</v>
      </c>
      <c r="D1514" s="1" t="s">
        <v>580</v>
      </c>
      <c r="E1514" s="22">
        <v>10</v>
      </c>
      <c r="F1514">
        <f t="shared" si="40"/>
        <v>216</v>
      </c>
      <c r="G1514" s="22">
        <f t="shared" si="39"/>
        <v>226</v>
      </c>
      <c r="H1514" t="s">
        <v>514</v>
      </c>
      <c r="K1514" s="10">
        <v>545.13274336283098</v>
      </c>
      <c r="L1514" t="s">
        <v>550</v>
      </c>
      <c r="M1514" t="s">
        <v>535</v>
      </c>
      <c r="Q1514" t="s">
        <v>468</v>
      </c>
      <c r="R1514" t="s">
        <v>4</v>
      </c>
      <c r="S1514" t="s">
        <v>58</v>
      </c>
    </row>
    <row r="1515" spans="1:19" x14ac:dyDescent="0.3">
      <c r="A1515" s="2" t="s">
        <v>186</v>
      </c>
      <c r="B1515" s="1" t="s">
        <v>415</v>
      </c>
      <c r="C1515" s="3" t="s">
        <v>57</v>
      </c>
      <c r="D1515" s="1" t="s">
        <v>580</v>
      </c>
      <c r="E1515" s="22">
        <v>12</v>
      </c>
      <c r="F1515">
        <f t="shared" si="40"/>
        <v>216</v>
      </c>
      <c r="G1515" s="22">
        <f t="shared" si="39"/>
        <v>228</v>
      </c>
      <c r="H1515" t="s">
        <v>514</v>
      </c>
      <c r="K1515" s="10">
        <v>564.60176991150399</v>
      </c>
      <c r="L1515" t="s">
        <v>550</v>
      </c>
      <c r="M1515" t="s">
        <v>535</v>
      </c>
      <c r="Q1515" t="s">
        <v>468</v>
      </c>
      <c r="R1515" t="s">
        <v>4</v>
      </c>
      <c r="S1515" t="s">
        <v>58</v>
      </c>
    </row>
    <row r="1516" spans="1:19" x14ac:dyDescent="0.3">
      <c r="A1516" s="2" t="s">
        <v>186</v>
      </c>
      <c r="B1516" s="1" t="s">
        <v>415</v>
      </c>
      <c r="C1516" s="3" t="s">
        <v>57</v>
      </c>
      <c r="D1516" s="1" t="s">
        <v>580</v>
      </c>
      <c r="E1516" s="22">
        <v>14</v>
      </c>
      <c r="F1516">
        <f t="shared" si="40"/>
        <v>216</v>
      </c>
      <c r="G1516" s="22">
        <f t="shared" si="39"/>
        <v>230</v>
      </c>
      <c r="H1516" t="s">
        <v>514</v>
      </c>
      <c r="K1516" s="10">
        <v>499.11504424778701</v>
      </c>
      <c r="L1516" t="s">
        <v>550</v>
      </c>
      <c r="M1516" t="s">
        <v>535</v>
      </c>
      <c r="Q1516" t="s">
        <v>468</v>
      </c>
      <c r="R1516" t="s">
        <v>4</v>
      </c>
      <c r="S1516" t="s">
        <v>58</v>
      </c>
    </row>
    <row r="1517" spans="1:19" x14ac:dyDescent="0.3">
      <c r="A1517" s="2" t="s">
        <v>186</v>
      </c>
      <c r="B1517" s="1" t="s">
        <v>415</v>
      </c>
      <c r="C1517" s="3" t="s">
        <v>57</v>
      </c>
      <c r="D1517" s="1" t="s">
        <v>580</v>
      </c>
      <c r="E1517" s="22">
        <v>16</v>
      </c>
      <c r="F1517">
        <f t="shared" si="40"/>
        <v>216</v>
      </c>
      <c r="G1517" s="22">
        <f t="shared" si="39"/>
        <v>232</v>
      </c>
      <c r="H1517" t="s">
        <v>514</v>
      </c>
      <c r="K1517" s="10">
        <v>530.97345132743305</v>
      </c>
      <c r="L1517" t="s">
        <v>550</v>
      </c>
      <c r="M1517" t="s">
        <v>535</v>
      </c>
      <c r="Q1517" t="s">
        <v>468</v>
      </c>
      <c r="R1517" t="s">
        <v>4</v>
      </c>
      <c r="S1517" t="s">
        <v>58</v>
      </c>
    </row>
    <row r="1518" spans="1:19" x14ac:dyDescent="0.3">
      <c r="A1518" s="2" t="s">
        <v>186</v>
      </c>
      <c r="B1518" s="1" t="s">
        <v>415</v>
      </c>
      <c r="C1518" s="3" t="s">
        <v>57</v>
      </c>
      <c r="D1518" s="1" t="s">
        <v>580</v>
      </c>
      <c r="E1518" s="22">
        <v>18</v>
      </c>
      <c r="F1518">
        <f t="shared" si="40"/>
        <v>216</v>
      </c>
      <c r="G1518" s="22">
        <f t="shared" si="39"/>
        <v>234</v>
      </c>
      <c r="H1518" t="s">
        <v>514</v>
      </c>
      <c r="K1518" s="10">
        <v>516.81415929203501</v>
      </c>
      <c r="L1518" t="s">
        <v>550</v>
      </c>
      <c r="M1518" t="s">
        <v>535</v>
      </c>
      <c r="Q1518" t="s">
        <v>468</v>
      </c>
      <c r="R1518" t="s">
        <v>4</v>
      </c>
      <c r="S1518" t="s">
        <v>58</v>
      </c>
    </row>
    <row r="1519" spans="1:19" x14ac:dyDescent="0.3">
      <c r="A1519" s="2" t="s">
        <v>186</v>
      </c>
      <c r="B1519" s="1" t="s">
        <v>415</v>
      </c>
      <c r="C1519" s="3" t="s">
        <v>57</v>
      </c>
      <c r="D1519" s="1" t="s">
        <v>580</v>
      </c>
      <c r="E1519" s="22">
        <v>24</v>
      </c>
      <c r="F1519">
        <f t="shared" si="40"/>
        <v>216</v>
      </c>
      <c r="G1519" s="22">
        <f t="shared" si="39"/>
        <v>240</v>
      </c>
      <c r="H1519" t="s">
        <v>514</v>
      </c>
      <c r="K1519" s="10">
        <v>500.88495575221202</v>
      </c>
      <c r="L1519" t="s">
        <v>550</v>
      </c>
      <c r="M1519" t="s">
        <v>535</v>
      </c>
      <c r="Q1519" t="s">
        <v>468</v>
      </c>
      <c r="R1519" t="s">
        <v>4</v>
      </c>
      <c r="S1519" t="s">
        <v>58</v>
      </c>
    </row>
    <row r="1520" spans="1:19" x14ac:dyDescent="0.3">
      <c r="A1520" s="2" t="s">
        <v>187</v>
      </c>
      <c r="B1520" s="1" t="s">
        <v>416</v>
      </c>
      <c r="C1520" s="3" t="s">
        <v>57</v>
      </c>
      <c r="D1520" s="1" t="s">
        <v>580</v>
      </c>
      <c r="E1520" s="22">
        <v>0</v>
      </c>
      <c r="F1520">
        <f>9*24</f>
        <v>216</v>
      </c>
      <c r="G1520" s="22">
        <f t="shared" ref="G1520:G1531" si="41">F1520+E1520</f>
        <v>216</v>
      </c>
      <c r="H1520" t="s">
        <v>514</v>
      </c>
      <c r="K1520" s="10">
        <v>380.53097345132699</v>
      </c>
      <c r="L1520" t="s">
        <v>550</v>
      </c>
      <c r="M1520" t="s">
        <v>535</v>
      </c>
      <c r="Q1520" t="s">
        <v>468</v>
      </c>
      <c r="R1520" t="s">
        <v>4</v>
      </c>
      <c r="S1520" t="s">
        <v>58</v>
      </c>
    </row>
    <row r="1521" spans="1:19" x14ac:dyDescent="0.3">
      <c r="A1521" s="2" t="s">
        <v>187</v>
      </c>
      <c r="B1521" s="1" t="s">
        <v>416</v>
      </c>
      <c r="C1521" s="3" t="s">
        <v>57</v>
      </c>
      <c r="D1521" s="1" t="s">
        <v>580</v>
      </c>
      <c r="E1521" s="22">
        <v>1</v>
      </c>
      <c r="F1521">
        <f t="shared" ref="F1521:F1531" si="42">9*24</f>
        <v>216</v>
      </c>
      <c r="G1521" s="22">
        <f t="shared" si="41"/>
        <v>217</v>
      </c>
      <c r="H1521" t="s">
        <v>514</v>
      </c>
      <c r="K1521" s="10">
        <v>369.911504424778</v>
      </c>
      <c r="L1521" t="s">
        <v>550</v>
      </c>
      <c r="M1521" t="s">
        <v>535</v>
      </c>
      <c r="Q1521" t="s">
        <v>468</v>
      </c>
      <c r="R1521" t="s">
        <v>4</v>
      </c>
      <c r="S1521" t="s">
        <v>58</v>
      </c>
    </row>
    <row r="1522" spans="1:19" x14ac:dyDescent="0.3">
      <c r="A1522" s="2" t="s">
        <v>187</v>
      </c>
      <c r="B1522" s="1" t="s">
        <v>416</v>
      </c>
      <c r="C1522" s="3" t="s">
        <v>57</v>
      </c>
      <c r="D1522" s="1" t="s">
        <v>580</v>
      </c>
      <c r="E1522" s="22">
        <v>2</v>
      </c>
      <c r="F1522">
        <f t="shared" si="42"/>
        <v>216</v>
      </c>
      <c r="G1522" s="22">
        <f t="shared" si="41"/>
        <v>218</v>
      </c>
      <c r="H1522" t="s">
        <v>514</v>
      </c>
      <c r="K1522" s="10">
        <v>414.15929203539798</v>
      </c>
      <c r="L1522" t="s">
        <v>550</v>
      </c>
      <c r="M1522" t="s">
        <v>535</v>
      </c>
      <c r="Q1522" t="s">
        <v>468</v>
      </c>
      <c r="R1522" t="s">
        <v>4</v>
      </c>
      <c r="S1522" t="s">
        <v>58</v>
      </c>
    </row>
    <row r="1523" spans="1:19" x14ac:dyDescent="0.3">
      <c r="A1523" s="2" t="s">
        <v>187</v>
      </c>
      <c r="B1523" s="1" t="s">
        <v>416</v>
      </c>
      <c r="C1523" s="3" t="s">
        <v>57</v>
      </c>
      <c r="D1523" s="1" t="s">
        <v>580</v>
      </c>
      <c r="E1523" s="22">
        <v>3</v>
      </c>
      <c r="F1523">
        <f t="shared" si="42"/>
        <v>216</v>
      </c>
      <c r="G1523" s="22">
        <f t="shared" si="41"/>
        <v>219</v>
      </c>
      <c r="H1523" t="s">
        <v>514</v>
      </c>
      <c r="K1523" s="10">
        <v>453.09734513274299</v>
      </c>
      <c r="L1523" t="s">
        <v>550</v>
      </c>
      <c r="M1523" t="s">
        <v>535</v>
      </c>
      <c r="Q1523" t="s">
        <v>468</v>
      </c>
      <c r="R1523" t="s">
        <v>4</v>
      </c>
      <c r="S1523" t="s">
        <v>58</v>
      </c>
    </row>
    <row r="1524" spans="1:19" x14ac:dyDescent="0.3">
      <c r="A1524" s="2" t="s">
        <v>187</v>
      </c>
      <c r="B1524" s="1" t="s">
        <v>416</v>
      </c>
      <c r="C1524" s="3" t="s">
        <v>57</v>
      </c>
      <c r="D1524" s="1" t="s">
        <v>580</v>
      </c>
      <c r="E1524" s="22">
        <v>4</v>
      </c>
      <c r="F1524">
        <f t="shared" si="42"/>
        <v>216</v>
      </c>
      <c r="G1524" s="22">
        <f t="shared" si="41"/>
        <v>220</v>
      </c>
      <c r="H1524" t="s">
        <v>514</v>
      </c>
      <c r="K1524" s="10">
        <v>446.01769911504402</v>
      </c>
      <c r="L1524" t="s">
        <v>550</v>
      </c>
      <c r="M1524" t="s">
        <v>535</v>
      </c>
      <c r="Q1524" t="s">
        <v>468</v>
      </c>
      <c r="R1524" t="s">
        <v>4</v>
      </c>
      <c r="S1524" t="s">
        <v>58</v>
      </c>
    </row>
    <row r="1525" spans="1:19" x14ac:dyDescent="0.3">
      <c r="A1525" s="2" t="s">
        <v>187</v>
      </c>
      <c r="B1525" s="1" t="s">
        <v>416</v>
      </c>
      <c r="C1525" s="3" t="s">
        <v>57</v>
      </c>
      <c r="D1525" s="1" t="s">
        <v>580</v>
      </c>
      <c r="E1525" s="22">
        <v>5</v>
      </c>
      <c r="F1525">
        <f t="shared" si="42"/>
        <v>216</v>
      </c>
      <c r="G1525" s="22">
        <f t="shared" si="41"/>
        <v>221</v>
      </c>
      <c r="H1525" t="s">
        <v>514</v>
      </c>
      <c r="K1525" s="10">
        <v>469.02654867256598</v>
      </c>
      <c r="L1525" t="s">
        <v>550</v>
      </c>
      <c r="M1525" t="s">
        <v>535</v>
      </c>
      <c r="Q1525" t="s">
        <v>468</v>
      </c>
      <c r="R1525" t="s">
        <v>4</v>
      </c>
      <c r="S1525" t="s">
        <v>58</v>
      </c>
    </row>
    <row r="1526" spans="1:19" x14ac:dyDescent="0.3">
      <c r="A1526" s="2" t="s">
        <v>187</v>
      </c>
      <c r="B1526" s="1" t="s">
        <v>416</v>
      </c>
      <c r="C1526" s="3" t="s">
        <v>57</v>
      </c>
      <c r="D1526" s="1" t="s">
        <v>580</v>
      </c>
      <c r="E1526" s="22">
        <v>6</v>
      </c>
      <c r="F1526">
        <f t="shared" si="42"/>
        <v>216</v>
      </c>
      <c r="G1526" s="22">
        <f t="shared" si="41"/>
        <v>222</v>
      </c>
      <c r="H1526" t="s">
        <v>514</v>
      </c>
      <c r="K1526" s="10">
        <v>488.49557522123803</v>
      </c>
      <c r="L1526" t="s">
        <v>550</v>
      </c>
      <c r="M1526" t="s">
        <v>535</v>
      </c>
      <c r="Q1526" t="s">
        <v>468</v>
      </c>
      <c r="R1526" t="s">
        <v>4</v>
      </c>
      <c r="S1526" t="s">
        <v>58</v>
      </c>
    </row>
    <row r="1527" spans="1:19" x14ac:dyDescent="0.3">
      <c r="A1527" s="2" t="s">
        <v>187</v>
      </c>
      <c r="B1527" s="1" t="s">
        <v>416</v>
      </c>
      <c r="C1527" s="3" t="s">
        <v>57</v>
      </c>
      <c r="D1527" s="1" t="s">
        <v>580</v>
      </c>
      <c r="E1527" s="22">
        <v>8</v>
      </c>
      <c r="F1527">
        <f t="shared" si="42"/>
        <v>216</v>
      </c>
      <c r="G1527" s="22">
        <f t="shared" si="41"/>
        <v>224</v>
      </c>
      <c r="H1527" t="s">
        <v>514</v>
      </c>
      <c r="K1527" s="10">
        <v>389.38053097345102</v>
      </c>
      <c r="L1527" t="s">
        <v>550</v>
      </c>
      <c r="M1527" t="s">
        <v>535</v>
      </c>
      <c r="Q1527" t="s">
        <v>468</v>
      </c>
      <c r="R1527" t="s">
        <v>4</v>
      </c>
      <c r="S1527" t="s">
        <v>58</v>
      </c>
    </row>
    <row r="1528" spans="1:19" x14ac:dyDescent="0.3">
      <c r="A1528" s="2" t="s">
        <v>187</v>
      </c>
      <c r="B1528" s="1" t="s">
        <v>416</v>
      </c>
      <c r="C1528" s="3" t="s">
        <v>57</v>
      </c>
      <c r="D1528" s="1" t="s">
        <v>580</v>
      </c>
      <c r="E1528" s="22">
        <v>10</v>
      </c>
      <c r="F1528">
        <f t="shared" si="42"/>
        <v>216</v>
      </c>
      <c r="G1528" s="22">
        <f t="shared" si="41"/>
        <v>226</v>
      </c>
      <c r="H1528" t="s">
        <v>514</v>
      </c>
      <c r="K1528" s="10">
        <v>380.53097345132699</v>
      </c>
      <c r="L1528" t="s">
        <v>550</v>
      </c>
      <c r="M1528" t="s">
        <v>535</v>
      </c>
      <c r="Q1528" t="s">
        <v>468</v>
      </c>
      <c r="R1528" t="s">
        <v>4</v>
      </c>
      <c r="S1528" t="s">
        <v>58</v>
      </c>
    </row>
    <row r="1529" spans="1:19" x14ac:dyDescent="0.3">
      <c r="A1529" s="2" t="s">
        <v>187</v>
      </c>
      <c r="B1529" s="1" t="s">
        <v>416</v>
      </c>
      <c r="C1529" s="3" t="s">
        <v>57</v>
      </c>
      <c r="D1529" s="1" t="s">
        <v>580</v>
      </c>
      <c r="E1529" s="22">
        <v>12</v>
      </c>
      <c r="F1529">
        <f t="shared" si="42"/>
        <v>216</v>
      </c>
      <c r="G1529" s="22">
        <f t="shared" si="41"/>
        <v>228</v>
      </c>
      <c r="H1529" t="s">
        <v>514</v>
      </c>
      <c r="K1529" s="10">
        <v>373.45132743362802</v>
      </c>
      <c r="L1529" t="s">
        <v>550</v>
      </c>
      <c r="M1529" t="s">
        <v>535</v>
      </c>
      <c r="Q1529" t="s">
        <v>468</v>
      </c>
      <c r="R1529" t="s">
        <v>4</v>
      </c>
      <c r="S1529" t="s">
        <v>58</v>
      </c>
    </row>
    <row r="1530" spans="1:19" x14ac:dyDescent="0.3">
      <c r="A1530" s="2" t="s">
        <v>187</v>
      </c>
      <c r="B1530" s="1" t="s">
        <v>416</v>
      </c>
      <c r="C1530" s="3" t="s">
        <v>57</v>
      </c>
      <c r="D1530" s="1" t="s">
        <v>580</v>
      </c>
      <c r="E1530" s="22">
        <v>16</v>
      </c>
      <c r="F1530">
        <f t="shared" si="42"/>
        <v>216</v>
      </c>
      <c r="G1530" s="22">
        <f t="shared" si="41"/>
        <v>232</v>
      </c>
      <c r="H1530" t="s">
        <v>514</v>
      </c>
      <c r="K1530" s="10">
        <v>456.63716814159199</v>
      </c>
      <c r="L1530" t="s">
        <v>550</v>
      </c>
      <c r="M1530" t="s">
        <v>535</v>
      </c>
      <c r="Q1530" t="s">
        <v>468</v>
      </c>
      <c r="R1530" t="s">
        <v>4</v>
      </c>
      <c r="S1530" t="s">
        <v>58</v>
      </c>
    </row>
    <row r="1531" spans="1:19" x14ac:dyDescent="0.3">
      <c r="A1531" s="2" t="s">
        <v>187</v>
      </c>
      <c r="B1531" s="1" t="s">
        <v>416</v>
      </c>
      <c r="C1531" s="3" t="s">
        <v>57</v>
      </c>
      <c r="D1531" s="1" t="s">
        <v>580</v>
      </c>
      <c r="E1531" s="22">
        <v>24</v>
      </c>
      <c r="F1531">
        <f t="shared" si="42"/>
        <v>216</v>
      </c>
      <c r="G1531" s="22">
        <f t="shared" si="41"/>
        <v>240</v>
      </c>
      <c r="H1531" t="s">
        <v>514</v>
      </c>
      <c r="K1531" s="10">
        <v>433.62831858406997</v>
      </c>
      <c r="L1531" t="s">
        <v>550</v>
      </c>
      <c r="M1531" t="s">
        <v>535</v>
      </c>
      <c r="Q1531" t="s">
        <v>468</v>
      </c>
      <c r="R1531" t="s">
        <v>4</v>
      </c>
      <c r="S1531" t="s">
        <v>58</v>
      </c>
    </row>
    <row r="1532" spans="1:19" x14ac:dyDescent="0.3">
      <c r="A1532" s="2" t="s">
        <v>188</v>
      </c>
      <c r="B1532" s="1" t="s">
        <v>417</v>
      </c>
      <c r="C1532" s="3" t="s">
        <v>57</v>
      </c>
      <c r="D1532" s="1" t="s">
        <v>580</v>
      </c>
      <c r="E1532" s="22">
        <v>0</v>
      </c>
      <c r="F1532">
        <f>9*24</f>
        <v>216</v>
      </c>
      <c r="G1532" s="22">
        <f t="shared" ref="G1532:G1542" si="43">F1532+E1532</f>
        <v>216</v>
      </c>
      <c r="H1532" t="s">
        <v>514</v>
      </c>
      <c r="K1532" s="10">
        <v>150.44247787610601</v>
      </c>
      <c r="L1532" t="s">
        <v>550</v>
      </c>
      <c r="M1532" t="s">
        <v>535</v>
      </c>
      <c r="Q1532" t="s">
        <v>468</v>
      </c>
      <c r="R1532" t="s">
        <v>4</v>
      </c>
      <c r="S1532" t="s">
        <v>58</v>
      </c>
    </row>
    <row r="1533" spans="1:19" x14ac:dyDescent="0.3">
      <c r="A1533" s="2" t="s">
        <v>188</v>
      </c>
      <c r="B1533" s="1" t="s">
        <v>417</v>
      </c>
      <c r="C1533" s="3" t="s">
        <v>57</v>
      </c>
      <c r="D1533" s="1" t="s">
        <v>580</v>
      </c>
      <c r="E1533" s="22">
        <v>1</v>
      </c>
      <c r="F1533">
        <f t="shared" ref="F1533:F1543" si="44">9*24</f>
        <v>216</v>
      </c>
      <c r="G1533" s="22">
        <f t="shared" si="43"/>
        <v>217</v>
      </c>
      <c r="H1533" t="s">
        <v>514</v>
      </c>
      <c r="K1533" s="10">
        <v>169.911504424778</v>
      </c>
      <c r="L1533" t="s">
        <v>550</v>
      </c>
      <c r="M1533" t="s">
        <v>535</v>
      </c>
      <c r="Q1533" t="s">
        <v>468</v>
      </c>
      <c r="R1533" t="s">
        <v>4</v>
      </c>
      <c r="S1533" t="s">
        <v>58</v>
      </c>
    </row>
    <row r="1534" spans="1:19" x14ac:dyDescent="0.3">
      <c r="A1534" s="2" t="s">
        <v>188</v>
      </c>
      <c r="B1534" s="1" t="s">
        <v>417</v>
      </c>
      <c r="C1534" s="3" t="s">
        <v>57</v>
      </c>
      <c r="D1534" s="1" t="s">
        <v>580</v>
      </c>
      <c r="E1534" s="22">
        <v>2</v>
      </c>
      <c r="F1534">
        <f t="shared" si="44"/>
        <v>216</v>
      </c>
      <c r="G1534" s="22">
        <f t="shared" si="43"/>
        <v>218</v>
      </c>
      <c r="H1534" t="s">
        <v>514</v>
      </c>
      <c r="K1534" s="10">
        <v>297.345132743362</v>
      </c>
      <c r="L1534" t="s">
        <v>550</v>
      </c>
      <c r="M1534" t="s">
        <v>535</v>
      </c>
      <c r="Q1534" t="s">
        <v>468</v>
      </c>
      <c r="R1534" t="s">
        <v>4</v>
      </c>
      <c r="S1534" t="s">
        <v>58</v>
      </c>
    </row>
    <row r="1535" spans="1:19" x14ac:dyDescent="0.3">
      <c r="A1535" s="2" t="s">
        <v>188</v>
      </c>
      <c r="B1535" s="1" t="s">
        <v>417</v>
      </c>
      <c r="C1535" s="3" t="s">
        <v>57</v>
      </c>
      <c r="D1535" s="1" t="s">
        <v>580</v>
      </c>
      <c r="E1535" s="22">
        <v>3</v>
      </c>
      <c r="F1535">
        <f t="shared" si="44"/>
        <v>216</v>
      </c>
      <c r="G1535" s="22">
        <f t="shared" si="43"/>
        <v>219</v>
      </c>
      <c r="H1535" t="s">
        <v>514</v>
      </c>
      <c r="K1535" s="10">
        <v>346.90265486725599</v>
      </c>
      <c r="L1535" t="s">
        <v>550</v>
      </c>
      <c r="M1535" t="s">
        <v>535</v>
      </c>
      <c r="Q1535" t="s">
        <v>468</v>
      </c>
      <c r="R1535" t="s">
        <v>4</v>
      </c>
      <c r="S1535" t="s">
        <v>58</v>
      </c>
    </row>
    <row r="1536" spans="1:19" x14ac:dyDescent="0.3">
      <c r="A1536" s="2" t="s">
        <v>188</v>
      </c>
      <c r="B1536" s="1" t="s">
        <v>417</v>
      </c>
      <c r="C1536" s="3" t="s">
        <v>57</v>
      </c>
      <c r="D1536" s="1" t="s">
        <v>580</v>
      </c>
      <c r="E1536" s="22">
        <v>4</v>
      </c>
      <c r="F1536">
        <f t="shared" si="44"/>
        <v>216</v>
      </c>
      <c r="G1536" s="22">
        <f t="shared" si="43"/>
        <v>220</v>
      </c>
      <c r="H1536" t="s">
        <v>514</v>
      </c>
      <c r="K1536" s="10">
        <v>355.75221238938002</v>
      </c>
      <c r="L1536" t="s">
        <v>550</v>
      </c>
      <c r="M1536" t="s">
        <v>535</v>
      </c>
      <c r="Q1536" t="s">
        <v>468</v>
      </c>
      <c r="R1536" t="s">
        <v>4</v>
      </c>
      <c r="S1536" t="s">
        <v>58</v>
      </c>
    </row>
    <row r="1537" spans="1:19" x14ac:dyDescent="0.3">
      <c r="A1537" s="2" t="s">
        <v>188</v>
      </c>
      <c r="B1537" s="1" t="s">
        <v>417</v>
      </c>
      <c r="C1537" s="3" t="s">
        <v>57</v>
      </c>
      <c r="D1537" s="1" t="s">
        <v>580</v>
      </c>
      <c r="E1537" s="22">
        <v>5</v>
      </c>
      <c r="F1537">
        <f t="shared" si="44"/>
        <v>216</v>
      </c>
      <c r="G1537" s="22">
        <f t="shared" si="43"/>
        <v>221</v>
      </c>
      <c r="H1537" t="s">
        <v>514</v>
      </c>
      <c r="K1537" s="10">
        <v>385.84070796460099</v>
      </c>
      <c r="L1537" t="s">
        <v>550</v>
      </c>
      <c r="M1537" t="s">
        <v>535</v>
      </c>
      <c r="Q1537" t="s">
        <v>468</v>
      </c>
      <c r="R1537" t="s">
        <v>4</v>
      </c>
      <c r="S1537" t="s">
        <v>58</v>
      </c>
    </row>
    <row r="1538" spans="1:19" x14ac:dyDescent="0.3">
      <c r="A1538" s="2" t="s">
        <v>188</v>
      </c>
      <c r="B1538" s="1" t="s">
        <v>417</v>
      </c>
      <c r="C1538" s="3" t="s">
        <v>57</v>
      </c>
      <c r="D1538" s="1" t="s">
        <v>580</v>
      </c>
      <c r="E1538" s="22">
        <v>6</v>
      </c>
      <c r="F1538">
        <f t="shared" si="44"/>
        <v>216</v>
      </c>
      <c r="G1538" s="22">
        <f t="shared" si="43"/>
        <v>222</v>
      </c>
      <c r="H1538" t="s">
        <v>514</v>
      </c>
      <c r="K1538" s="10">
        <v>373.45132743362802</v>
      </c>
      <c r="L1538" t="s">
        <v>550</v>
      </c>
      <c r="M1538" t="s">
        <v>535</v>
      </c>
      <c r="Q1538" t="s">
        <v>468</v>
      </c>
      <c r="R1538" t="s">
        <v>4</v>
      </c>
      <c r="S1538" t="s">
        <v>58</v>
      </c>
    </row>
    <row r="1539" spans="1:19" x14ac:dyDescent="0.3">
      <c r="A1539" s="2" t="s">
        <v>188</v>
      </c>
      <c r="B1539" s="1" t="s">
        <v>417</v>
      </c>
      <c r="C1539" s="3" t="s">
        <v>57</v>
      </c>
      <c r="D1539" s="1" t="s">
        <v>580</v>
      </c>
      <c r="E1539" s="22">
        <v>8</v>
      </c>
      <c r="F1539">
        <f t="shared" si="44"/>
        <v>216</v>
      </c>
      <c r="G1539" s="22">
        <f t="shared" si="43"/>
        <v>224</v>
      </c>
      <c r="H1539" t="s">
        <v>514</v>
      </c>
      <c r="K1539" s="10">
        <v>293.805309734513</v>
      </c>
      <c r="L1539" t="s">
        <v>550</v>
      </c>
      <c r="M1539" t="s">
        <v>535</v>
      </c>
      <c r="Q1539" t="s">
        <v>468</v>
      </c>
      <c r="R1539" t="s">
        <v>4</v>
      </c>
      <c r="S1539" t="s">
        <v>58</v>
      </c>
    </row>
    <row r="1540" spans="1:19" x14ac:dyDescent="0.3">
      <c r="A1540" s="2" t="s">
        <v>188</v>
      </c>
      <c r="B1540" s="1" t="s">
        <v>417</v>
      </c>
      <c r="C1540" s="3" t="s">
        <v>57</v>
      </c>
      <c r="D1540" s="1" t="s">
        <v>580</v>
      </c>
      <c r="E1540" s="22">
        <v>10</v>
      </c>
      <c r="F1540">
        <f t="shared" si="44"/>
        <v>216</v>
      </c>
      <c r="G1540" s="22">
        <f t="shared" si="43"/>
        <v>226</v>
      </c>
      <c r="H1540" t="s">
        <v>514</v>
      </c>
      <c r="K1540" s="10">
        <v>265.48672566371602</v>
      </c>
      <c r="L1540" t="s">
        <v>550</v>
      </c>
      <c r="M1540" t="s">
        <v>535</v>
      </c>
      <c r="Q1540" t="s">
        <v>468</v>
      </c>
      <c r="R1540" t="s">
        <v>4</v>
      </c>
      <c r="S1540" t="s">
        <v>58</v>
      </c>
    </row>
    <row r="1541" spans="1:19" x14ac:dyDescent="0.3">
      <c r="A1541" s="2" t="s">
        <v>188</v>
      </c>
      <c r="B1541" s="1" t="s">
        <v>417</v>
      </c>
      <c r="C1541" s="3" t="s">
        <v>57</v>
      </c>
      <c r="D1541" s="1" t="s">
        <v>580</v>
      </c>
      <c r="E1541" s="22">
        <v>12</v>
      </c>
      <c r="F1541">
        <f t="shared" si="44"/>
        <v>216</v>
      </c>
      <c r="G1541" s="22">
        <f t="shared" si="43"/>
        <v>228</v>
      </c>
      <c r="H1541" t="s">
        <v>514</v>
      </c>
      <c r="K1541" s="10">
        <v>247.78761061946801</v>
      </c>
      <c r="L1541" t="s">
        <v>550</v>
      </c>
      <c r="M1541" t="s">
        <v>535</v>
      </c>
      <c r="Q1541" t="s">
        <v>468</v>
      </c>
      <c r="R1541" t="s">
        <v>4</v>
      </c>
      <c r="S1541" t="s">
        <v>58</v>
      </c>
    </row>
    <row r="1542" spans="1:19" x14ac:dyDescent="0.3">
      <c r="A1542" s="2" t="s">
        <v>188</v>
      </c>
      <c r="B1542" s="1" t="s">
        <v>417</v>
      </c>
      <c r="C1542" s="3" t="s">
        <v>57</v>
      </c>
      <c r="D1542" s="1" t="s">
        <v>580</v>
      </c>
      <c r="E1542" s="22">
        <v>16</v>
      </c>
      <c r="F1542">
        <f t="shared" si="44"/>
        <v>216</v>
      </c>
      <c r="G1542" s="22">
        <f t="shared" si="43"/>
        <v>232</v>
      </c>
      <c r="H1542" t="s">
        <v>514</v>
      </c>
      <c r="K1542" s="10">
        <v>173.45132743362799</v>
      </c>
      <c r="L1542" t="s">
        <v>550</v>
      </c>
      <c r="M1542" t="s">
        <v>535</v>
      </c>
      <c r="Q1542" t="s">
        <v>468</v>
      </c>
      <c r="R1542" t="s">
        <v>4</v>
      </c>
      <c r="S1542" t="s">
        <v>58</v>
      </c>
    </row>
    <row r="1543" spans="1:19" x14ac:dyDescent="0.3">
      <c r="A1543" s="2" t="s">
        <v>188</v>
      </c>
      <c r="B1543" s="1" t="s">
        <v>417</v>
      </c>
      <c r="C1543" s="3" t="s">
        <v>57</v>
      </c>
      <c r="D1543" s="1" t="s">
        <v>580</v>
      </c>
      <c r="E1543" s="22">
        <v>24</v>
      </c>
      <c r="F1543">
        <f t="shared" si="44"/>
        <v>216</v>
      </c>
      <c r="G1543" s="22">
        <f t="shared" ref="G1543" si="45">F1543+E1543</f>
        <v>240</v>
      </c>
      <c r="H1543" t="s">
        <v>514</v>
      </c>
      <c r="K1543" s="10">
        <v>185.84070796460099</v>
      </c>
      <c r="L1543" t="s">
        <v>550</v>
      </c>
      <c r="M1543" t="s">
        <v>535</v>
      </c>
      <c r="Q1543" t="s">
        <v>468</v>
      </c>
      <c r="R1543" t="s">
        <v>4</v>
      </c>
      <c r="S1543" t="s">
        <v>58</v>
      </c>
    </row>
    <row r="1544" spans="1:19" x14ac:dyDescent="0.3">
      <c r="A1544" s="2" t="s">
        <v>189</v>
      </c>
      <c r="B1544" s="1" t="s">
        <v>418</v>
      </c>
      <c r="C1544" s="3" t="s">
        <v>57</v>
      </c>
      <c r="D1544" s="1" t="s">
        <v>583</v>
      </c>
      <c r="G1544" s="22">
        <v>1</v>
      </c>
      <c r="H1544" t="s">
        <v>514</v>
      </c>
      <c r="K1544" s="10">
        <v>90.769230769230703</v>
      </c>
      <c r="L1544" t="s">
        <v>550</v>
      </c>
      <c r="M1544" t="s">
        <v>535</v>
      </c>
      <c r="Q1544" t="s">
        <v>468</v>
      </c>
      <c r="R1544" t="s">
        <v>4</v>
      </c>
      <c r="S1544" t="s">
        <v>58</v>
      </c>
    </row>
    <row r="1545" spans="1:19" x14ac:dyDescent="0.3">
      <c r="A1545" s="2" t="s">
        <v>189</v>
      </c>
      <c r="B1545" s="1" t="s">
        <v>418</v>
      </c>
      <c r="C1545" s="3" t="s">
        <v>57</v>
      </c>
      <c r="D1545" s="1" t="s">
        <v>583</v>
      </c>
      <c r="G1545" s="22">
        <v>2</v>
      </c>
      <c r="H1545" t="s">
        <v>514</v>
      </c>
      <c r="K1545" s="10">
        <v>113.846153846154</v>
      </c>
      <c r="L1545" t="s">
        <v>550</v>
      </c>
      <c r="M1545" t="s">
        <v>535</v>
      </c>
      <c r="Q1545" t="s">
        <v>468</v>
      </c>
      <c r="R1545" t="s">
        <v>4</v>
      </c>
      <c r="S1545" t="s">
        <v>58</v>
      </c>
    </row>
    <row r="1546" spans="1:19" x14ac:dyDescent="0.3">
      <c r="A1546" s="2" t="s">
        <v>189</v>
      </c>
      <c r="B1546" s="1" t="s">
        <v>418</v>
      </c>
      <c r="C1546" s="3" t="s">
        <v>57</v>
      </c>
      <c r="D1546" s="1" t="s">
        <v>583</v>
      </c>
      <c r="G1546" s="22">
        <v>3</v>
      </c>
      <c r="H1546" t="s">
        <v>514</v>
      </c>
      <c r="K1546" s="10">
        <v>115.384615384615</v>
      </c>
      <c r="L1546" t="s">
        <v>550</v>
      </c>
      <c r="M1546" t="s">
        <v>535</v>
      </c>
      <c r="Q1546" t="s">
        <v>468</v>
      </c>
      <c r="R1546" t="s">
        <v>4</v>
      </c>
      <c r="S1546" t="s">
        <v>58</v>
      </c>
    </row>
    <row r="1547" spans="1:19" x14ac:dyDescent="0.3">
      <c r="A1547" s="2" t="s">
        <v>189</v>
      </c>
      <c r="B1547" s="1" t="s">
        <v>418</v>
      </c>
      <c r="C1547" s="3" t="s">
        <v>57</v>
      </c>
      <c r="D1547" s="1" t="s">
        <v>583</v>
      </c>
      <c r="G1547" s="22">
        <v>4</v>
      </c>
      <c r="H1547" t="s">
        <v>514</v>
      </c>
      <c r="K1547" s="10">
        <v>98.461538461538495</v>
      </c>
      <c r="L1547" t="s">
        <v>550</v>
      </c>
      <c r="M1547" t="s">
        <v>535</v>
      </c>
      <c r="Q1547" t="s">
        <v>468</v>
      </c>
      <c r="R1547" t="s">
        <v>4</v>
      </c>
      <c r="S1547" t="s">
        <v>58</v>
      </c>
    </row>
    <row r="1548" spans="1:19" x14ac:dyDescent="0.3">
      <c r="A1548" s="2" t="s">
        <v>189</v>
      </c>
      <c r="B1548" s="1" t="s">
        <v>418</v>
      </c>
      <c r="C1548" s="3" t="s">
        <v>57</v>
      </c>
      <c r="D1548" s="1" t="s">
        <v>583</v>
      </c>
      <c r="G1548" s="22">
        <v>5</v>
      </c>
      <c r="H1548" t="s">
        <v>514</v>
      </c>
      <c r="K1548" s="10">
        <v>80.000000000000099</v>
      </c>
      <c r="L1548" t="s">
        <v>550</v>
      </c>
      <c r="M1548" t="s">
        <v>535</v>
      </c>
      <c r="Q1548" t="s">
        <v>468</v>
      </c>
      <c r="R1548" t="s">
        <v>4</v>
      </c>
      <c r="S1548" t="s">
        <v>58</v>
      </c>
    </row>
    <row r="1549" spans="1:19" x14ac:dyDescent="0.3">
      <c r="A1549" s="2" t="s">
        <v>189</v>
      </c>
      <c r="B1549" s="1" t="s">
        <v>418</v>
      </c>
      <c r="C1549" s="3" t="s">
        <v>57</v>
      </c>
      <c r="D1549" s="1" t="s">
        <v>583</v>
      </c>
      <c r="G1549" s="22">
        <v>6</v>
      </c>
      <c r="H1549" t="s">
        <v>514</v>
      </c>
      <c r="K1549" s="10">
        <v>66.153846153846004</v>
      </c>
      <c r="L1549" t="s">
        <v>550</v>
      </c>
      <c r="M1549" t="s">
        <v>535</v>
      </c>
      <c r="Q1549" t="s">
        <v>468</v>
      </c>
      <c r="R1549" t="s">
        <v>4</v>
      </c>
      <c r="S1549" t="s">
        <v>58</v>
      </c>
    </row>
    <row r="1550" spans="1:19" x14ac:dyDescent="0.3">
      <c r="A1550" s="2" t="s">
        <v>189</v>
      </c>
      <c r="B1550" s="1" t="s">
        <v>418</v>
      </c>
      <c r="C1550" s="3" t="s">
        <v>57</v>
      </c>
      <c r="D1550" s="1" t="s">
        <v>583</v>
      </c>
      <c r="G1550" s="22">
        <v>8</v>
      </c>
      <c r="H1550" t="s">
        <v>514</v>
      </c>
      <c r="K1550" s="10">
        <v>55.384615384615202</v>
      </c>
      <c r="L1550" t="s">
        <v>550</v>
      </c>
      <c r="M1550" t="s">
        <v>535</v>
      </c>
      <c r="Q1550" t="s">
        <v>468</v>
      </c>
      <c r="R1550" t="s">
        <v>4</v>
      </c>
      <c r="S1550" t="s">
        <v>58</v>
      </c>
    </row>
    <row r="1551" spans="1:19" x14ac:dyDescent="0.3">
      <c r="A1551" s="2" t="s">
        <v>189</v>
      </c>
      <c r="B1551" s="1" t="s">
        <v>418</v>
      </c>
      <c r="C1551" s="3" t="s">
        <v>57</v>
      </c>
      <c r="D1551" s="1" t="s">
        <v>583</v>
      </c>
      <c r="G1551" s="22">
        <v>12</v>
      </c>
      <c r="H1551" t="s">
        <v>514</v>
      </c>
      <c r="K1551" s="10">
        <v>38.461538461538503</v>
      </c>
      <c r="L1551" t="s">
        <v>550</v>
      </c>
      <c r="M1551" t="s">
        <v>535</v>
      </c>
      <c r="Q1551" t="s">
        <v>468</v>
      </c>
      <c r="R1551" t="s">
        <v>4</v>
      </c>
      <c r="S1551" t="s">
        <v>58</v>
      </c>
    </row>
    <row r="1552" spans="1:19" x14ac:dyDescent="0.3">
      <c r="A1552" s="2" t="s">
        <v>189</v>
      </c>
      <c r="B1552" s="1" t="s">
        <v>418</v>
      </c>
      <c r="C1552" s="3" t="s">
        <v>57</v>
      </c>
      <c r="D1552" s="1" t="s">
        <v>583</v>
      </c>
      <c r="G1552" s="22">
        <v>24</v>
      </c>
      <c r="H1552" t="s">
        <v>514</v>
      </c>
      <c r="K1552" s="10">
        <v>24.615384615384698</v>
      </c>
      <c r="L1552" t="s">
        <v>550</v>
      </c>
      <c r="M1552" t="s">
        <v>535</v>
      </c>
      <c r="Q1552" t="s">
        <v>468</v>
      </c>
      <c r="R1552" t="s">
        <v>4</v>
      </c>
      <c r="S1552" t="s">
        <v>58</v>
      </c>
    </row>
    <row r="1553" spans="1:19" x14ac:dyDescent="0.3">
      <c r="A1553" s="2" t="s">
        <v>190</v>
      </c>
      <c r="B1553" s="1" t="s">
        <v>419</v>
      </c>
      <c r="C1553" s="3" t="s">
        <v>57</v>
      </c>
      <c r="D1553" s="1" t="s">
        <v>581</v>
      </c>
      <c r="E1553" s="22"/>
      <c r="G1553" s="22">
        <v>2</v>
      </c>
      <c r="H1553" t="s">
        <v>514</v>
      </c>
      <c r="K1553" s="10">
        <v>83.193546807677293</v>
      </c>
      <c r="L1553" t="s">
        <v>550</v>
      </c>
      <c r="M1553" t="s">
        <v>535</v>
      </c>
      <c r="Q1553" t="s">
        <v>468</v>
      </c>
      <c r="R1553" t="s">
        <v>4</v>
      </c>
      <c r="S1553" t="s">
        <v>58</v>
      </c>
    </row>
    <row r="1554" spans="1:19" x14ac:dyDescent="0.3">
      <c r="A1554" s="2" t="s">
        <v>190</v>
      </c>
      <c r="B1554" s="1" t="s">
        <v>419</v>
      </c>
      <c r="C1554" s="3" t="s">
        <v>57</v>
      </c>
      <c r="D1554" s="1" t="s">
        <v>581</v>
      </c>
      <c r="E1554" s="22"/>
      <c r="G1554" s="22">
        <v>3</v>
      </c>
      <c r="H1554" t="s">
        <v>514</v>
      </c>
      <c r="K1554" s="10">
        <v>94.889345867606806</v>
      </c>
      <c r="L1554" t="s">
        <v>550</v>
      </c>
      <c r="M1554" t="s">
        <v>535</v>
      </c>
      <c r="Q1554" t="s">
        <v>468</v>
      </c>
      <c r="R1554" t="s">
        <v>4</v>
      </c>
      <c r="S1554" t="s">
        <v>58</v>
      </c>
    </row>
    <row r="1555" spans="1:19" x14ac:dyDescent="0.3">
      <c r="A1555" s="2" t="s">
        <v>190</v>
      </c>
      <c r="B1555" s="1" t="s">
        <v>419</v>
      </c>
      <c r="C1555" s="3" t="s">
        <v>57</v>
      </c>
      <c r="D1555" s="1" t="s">
        <v>581</v>
      </c>
      <c r="E1555" s="22"/>
      <c r="G1555" s="22">
        <v>4</v>
      </c>
      <c r="H1555" t="s">
        <v>514</v>
      </c>
      <c r="K1555" s="10">
        <v>99.298619271445304</v>
      </c>
      <c r="L1555" t="s">
        <v>550</v>
      </c>
      <c r="M1555" t="s">
        <v>535</v>
      </c>
      <c r="Q1555" t="s">
        <v>468</v>
      </c>
      <c r="R1555" t="s">
        <v>4</v>
      </c>
      <c r="S1555" t="s">
        <v>58</v>
      </c>
    </row>
    <row r="1556" spans="1:19" x14ac:dyDescent="0.3">
      <c r="A1556" s="2" t="s">
        <v>190</v>
      </c>
      <c r="B1556" s="1" t="s">
        <v>419</v>
      </c>
      <c r="C1556" s="3" t="s">
        <v>57</v>
      </c>
      <c r="D1556" s="1" t="s">
        <v>581</v>
      </c>
      <c r="E1556" s="22"/>
      <c r="G1556" s="23">
        <v>5</v>
      </c>
      <c r="H1556" t="s">
        <v>514</v>
      </c>
      <c r="K1556" s="10">
        <v>84.7495593419507</v>
      </c>
      <c r="L1556" t="s">
        <v>550</v>
      </c>
      <c r="M1556" t="s">
        <v>535</v>
      </c>
      <c r="Q1556" t="s">
        <v>468</v>
      </c>
      <c r="R1556" t="s">
        <v>4</v>
      </c>
      <c r="S1556" t="s">
        <v>58</v>
      </c>
    </row>
    <row r="1557" spans="1:19" x14ac:dyDescent="0.3">
      <c r="A1557" s="2" t="s">
        <v>190</v>
      </c>
      <c r="B1557" s="1" t="s">
        <v>419</v>
      </c>
      <c r="C1557" s="3" t="s">
        <v>57</v>
      </c>
      <c r="D1557" s="1" t="s">
        <v>581</v>
      </c>
      <c r="E1557" s="22"/>
      <c r="G1557" s="22">
        <v>6</v>
      </c>
      <c r="H1557" t="s">
        <v>514</v>
      </c>
      <c r="K1557" s="10">
        <v>62.908832745789297</v>
      </c>
      <c r="L1557" t="s">
        <v>550</v>
      </c>
      <c r="M1557" t="s">
        <v>535</v>
      </c>
      <c r="Q1557" t="s">
        <v>468</v>
      </c>
      <c r="R1557" t="s">
        <v>4</v>
      </c>
      <c r="S1557" t="s">
        <v>58</v>
      </c>
    </row>
    <row r="1558" spans="1:19" x14ac:dyDescent="0.3">
      <c r="A1558" s="2" t="s">
        <v>190</v>
      </c>
      <c r="B1558" s="1" t="s">
        <v>419</v>
      </c>
      <c r="C1558" s="3" t="s">
        <v>57</v>
      </c>
      <c r="D1558" s="1" t="s">
        <v>581</v>
      </c>
      <c r="E1558" s="22"/>
      <c r="G1558" s="22">
        <v>8</v>
      </c>
      <c r="H1558" t="s">
        <v>514</v>
      </c>
      <c r="K1558" s="10">
        <v>52.765618879749297</v>
      </c>
      <c r="L1558" t="s">
        <v>550</v>
      </c>
      <c r="M1558" t="s">
        <v>535</v>
      </c>
      <c r="Q1558" t="s">
        <v>468</v>
      </c>
      <c r="R1558" t="s">
        <v>4</v>
      </c>
      <c r="S1558" t="s">
        <v>58</v>
      </c>
    </row>
    <row r="1559" spans="1:19" x14ac:dyDescent="0.3">
      <c r="A1559" s="2" t="s">
        <v>190</v>
      </c>
      <c r="B1559" s="1" t="s">
        <v>419</v>
      </c>
      <c r="C1559" s="3" t="s">
        <v>57</v>
      </c>
      <c r="D1559" s="1" t="s">
        <v>581</v>
      </c>
      <c r="E1559" s="22"/>
      <c r="G1559" s="22">
        <v>12</v>
      </c>
      <c r="H1559" t="s">
        <v>514</v>
      </c>
      <c r="K1559" s="10">
        <v>28.1041911476695</v>
      </c>
      <c r="L1559" t="s">
        <v>550</v>
      </c>
      <c r="M1559" t="s">
        <v>535</v>
      </c>
      <c r="Q1559" t="s">
        <v>468</v>
      </c>
      <c r="R1559" t="s">
        <v>4</v>
      </c>
      <c r="S1559" t="s">
        <v>58</v>
      </c>
    </row>
    <row r="1560" spans="1:19" x14ac:dyDescent="0.3">
      <c r="A1560" s="2" t="s">
        <v>190</v>
      </c>
      <c r="B1560" s="1" t="s">
        <v>419</v>
      </c>
      <c r="C1560" s="3" t="s">
        <v>57</v>
      </c>
      <c r="D1560" s="1" t="s">
        <v>581</v>
      </c>
      <c r="E1560" s="22"/>
      <c r="G1560" s="22">
        <v>24</v>
      </c>
      <c r="H1560" t="s">
        <v>514</v>
      </c>
      <c r="K1560" s="10">
        <v>21.213523305914599</v>
      </c>
      <c r="L1560" t="s">
        <v>550</v>
      </c>
      <c r="M1560" t="s">
        <v>535</v>
      </c>
      <c r="Q1560" t="s">
        <v>468</v>
      </c>
      <c r="R1560" t="s">
        <v>4</v>
      </c>
      <c r="S1560" t="s">
        <v>58</v>
      </c>
    </row>
    <row r="1561" spans="1:19" x14ac:dyDescent="0.3">
      <c r="A1561" s="2" t="s">
        <v>191</v>
      </c>
      <c r="B1561" s="1" t="s">
        <v>420</v>
      </c>
      <c r="C1561" s="3" t="s">
        <v>57</v>
      </c>
      <c r="D1561" s="1" t="s">
        <v>581</v>
      </c>
      <c r="E1561" s="22"/>
      <c r="F1561" s="22"/>
      <c r="G1561" s="23">
        <v>1</v>
      </c>
      <c r="H1561" t="s">
        <v>514</v>
      </c>
      <c r="K1561">
        <v>27.746034077555901</v>
      </c>
      <c r="L1561" t="s">
        <v>550</v>
      </c>
      <c r="M1561" t="s">
        <v>535</v>
      </c>
      <c r="Q1561" t="s">
        <v>468</v>
      </c>
      <c r="R1561" t="s">
        <v>4</v>
      </c>
      <c r="S1561" t="s">
        <v>58</v>
      </c>
    </row>
    <row r="1562" spans="1:19" x14ac:dyDescent="0.3">
      <c r="A1562" s="2" t="s">
        <v>191</v>
      </c>
      <c r="B1562" s="1" t="s">
        <v>420</v>
      </c>
      <c r="C1562" s="3" t="s">
        <v>57</v>
      </c>
      <c r="D1562" s="1" t="s">
        <v>581</v>
      </c>
      <c r="E1562" s="22"/>
      <c r="F1562" s="22"/>
      <c r="G1562" s="23">
        <v>2</v>
      </c>
      <c r="H1562" t="s">
        <v>514</v>
      </c>
      <c r="K1562">
        <v>116.733499804152</v>
      </c>
      <c r="L1562" t="s">
        <v>550</v>
      </c>
      <c r="M1562" t="s">
        <v>535</v>
      </c>
      <c r="Q1562" t="s">
        <v>468</v>
      </c>
      <c r="R1562" t="s">
        <v>4</v>
      </c>
      <c r="S1562" t="s">
        <v>58</v>
      </c>
    </row>
    <row r="1563" spans="1:19" x14ac:dyDescent="0.3">
      <c r="A1563" s="2" t="s">
        <v>191</v>
      </c>
      <c r="B1563" s="1" t="s">
        <v>420</v>
      </c>
      <c r="C1563" s="3" t="s">
        <v>57</v>
      </c>
      <c r="D1563" s="1" t="s">
        <v>581</v>
      </c>
      <c r="E1563" s="22"/>
      <c r="F1563" s="22"/>
      <c r="G1563" s="23">
        <v>3</v>
      </c>
      <c r="H1563" t="s">
        <v>514</v>
      </c>
      <c r="K1563">
        <v>161.977820211515</v>
      </c>
      <c r="L1563" t="s">
        <v>550</v>
      </c>
      <c r="M1563" t="s">
        <v>535</v>
      </c>
      <c r="Q1563" t="s">
        <v>468</v>
      </c>
      <c r="R1563" t="s">
        <v>4</v>
      </c>
      <c r="S1563" t="s">
        <v>58</v>
      </c>
    </row>
    <row r="1564" spans="1:19" x14ac:dyDescent="0.3">
      <c r="A1564" s="2" t="s">
        <v>191</v>
      </c>
      <c r="B1564" s="1" t="s">
        <v>420</v>
      </c>
      <c r="C1564" s="3" t="s">
        <v>57</v>
      </c>
      <c r="D1564" s="1" t="s">
        <v>581</v>
      </c>
      <c r="E1564" s="22"/>
      <c r="F1564" s="22"/>
      <c r="G1564" s="23">
        <v>4</v>
      </c>
      <c r="H1564" t="s">
        <v>514</v>
      </c>
      <c r="K1564">
        <v>183.88537994516199</v>
      </c>
      <c r="L1564" t="s">
        <v>550</v>
      </c>
      <c r="M1564" t="s">
        <v>535</v>
      </c>
      <c r="Q1564" t="s">
        <v>468</v>
      </c>
      <c r="R1564" t="s">
        <v>4</v>
      </c>
      <c r="S1564" t="s">
        <v>58</v>
      </c>
    </row>
    <row r="1565" spans="1:19" x14ac:dyDescent="0.3">
      <c r="A1565" s="2" t="s">
        <v>191</v>
      </c>
      <c r="B1565" s="1" t="s">
        <v>420</v>
      </c>
      <c r="C1565" s="3" t="s">
        <v>57</v>
      </c>
      <c r="D1565" s="1" t="s">
        <v>581</v>
      </c>
      <c r="E1565" s="22"/>
      <c r="F1565" s="22"/>
      <c r="G1565" s="23">
        <v>5</v>
      </c>
      <c r="H1565" t="s">
        <v>514</v>
      </c>
      <c r="K1565">
        <v>182.46132001566701</v>
      </c>
      <c r="L1565" t="s">
        <v>550</v>
      </c>
      <c r="M1565" t="s">
        <v>535</v>
      </c>
      <c r="Q1565" t="s">
        <v>468</v>
      </c>
      <c r="R1565" t="s">
        <v>4</v>
      </c>
      <c r="S1565" t="s">
        <v>58</v>
      </c>
    </row>
    <row r="1566" spans="1:19" x14ac:dyDescent="0.3">
      <c r="A1566" s="2" t="s">
        <v>191</v>
      </c>
      <c r="B1566" s="1" t="s">
        <v>420</v>
      </c>
      <c r="C1566" s="3" t="s">
        <v>57</v>
      </c>
      <c r="D1566" s="1" t="s">
        <v>581</v>
      </c>
      <c r="E1566" s="22"/>
      <c r="F1566" s="22"/>
      <c r="G1566" s="23">
        <v>6</v>
      </c>
      <c r="H1566" t="s">
        <v>514</v>
      </c>
      <c r="K1566">
        <v>135.82892675283901</v>
      </c>
      <c r="L1566" t="s">
        <v>550</v>
      </c>
      <c r="M1566" t="s">
        <v>535</v>
      </c>
      <c r="Q1566" t="s">
        <v>468</v>
      </c>
      <c r="R1566" t="s">
        <v>4</v>
      </c>
      <c r="S1566" t="s">
        <v>58</v>
      </c>
    </row>
    <row r="1567" spans="1:19" x14ac:dyDescent="0.3">
      <c r="A1567" s="2" t="s">
        <v>191</v>
      </c>
      <c r="B1567" s="1" t="s">
        <v>420</v>
      </c>
      <c r="C1567" s="3" t="s">
        <v>57</v>
      </c>
      <c r="D1567" s="1" t="s">
        <v>581</v>
      </c>
      <c r="E1567" s="22"/>
      <c r="F1567" s="22"/>
      <c r="G1567" s="23">
        <v>8</v>
      </c>
      <c r="H1567" t="s">
        <v>514</v>
      </c>
      <c r="K1567">
        <v>102.35580689385</v>
      </c>
      <c r="L1567" t="s">
        <v>550</v>
      </c>
      <c r="M1567" t="s">
        <v>535</v>
      </c>
      <c r="Q1567" t="s">
        <v>468</v>
      </c>
      <c r="R1567" t="s">
        <v>4</v>
      </c>
      <c r="S1567" t="s">
        <v>58</v>
      </c>
    </row>
    <row r="1568" spans="1:19" x14ac:dyDescent="0.3">
      <c r="A1568" s="2" t="s">
        <v>191</v>
      </c>
      <c r="B1568" s="1" t="s">
        <v>420</v>
      </c>
      <c r="C1568" s="3" t="s">
        <v>57</v>
      </c>
      <c r="D1568" s="1" t="s">
        <v>581</v>
      </c>
      <c r="E1568" s="22"/>
      <c r="F1568" s="22"/>
      <c r="G1568" s="23">
        <v>12</v>
      </c>
      <c r="H1568" t="s">
        <v>514</v>
      </c>
      <c r="K1568">
        <v>61.654426165295902</v>
      </c>
      <c r="L1568" t="s">
        <v>550</v>
      </c>
      <c r="M1568" t="s">
        <v>535</v>
      </c>
      <c r="Q1568" t="s">
        <v>468</v>
      </c>
      <c r="R1568" t="s">
        <v>4</v>
      </c>
      <c r="S1568" t="s">
        <v>58</v>
      </c>
    </row>
    <row r="1569" spans="1:19" x14ac:dyDescent="0.3">
      <c r="A1569" s="2" t="s">
        <v>191</v>
      </c>
      <c r="B1569" s="1" t="s">
        <v>420</v>
      </c>
      <c r="C1569" s="3" t="s">
        <v>57</v>
      </c>
      <c r="D1569" s="1" t="s">
        <v>581</v>
      </c>
      <c r="E1569" s="22"/>
      <c r="F1569" s="22"/>
      <c r="G1569" s="23">
        <v>48</v>
      </c>
      <c r="H1569" t="s">
        <v>514</v>
      </c>
      <c r="K1569">
        <v>19.095426948687798</v>
      </c>
      <c r="L1569" t="s">
        <v>550</v>
      </c>
      <c r="M1569" t="s">
        <v>535</v>
      </c>
      <c r="Q1569" t="s">
        <v>468</v>
      </c>
      <c r="R1569" t="s">
        <v>4</v>
      </c>
      <c r="S1569" t="s">
        <v>58</v>
      </c>
    </row>
    <row r="1570" spans="1:19" x14ac:dyDescent="0.3">
      <c r="A1570" s="2" t="s">
        <v>192</v>
      </c>
      <c r="B1570" s="1" t="s">
        <v>421</v>
      </c>
      <c r="C1570" s="3" t="s">
        <v>57</v>
      </c>
      <c r="D1570" s="1" t="s">
        <v>581</v>
      </c>
      <c r="E1570" s="22"/>
      <c r="F1570" s="10"/>
      <c r="G1570" s="22">
        <v>1</v>
      </c>
      <c r="H1570" t="s">
        <v>514</v>
      </c>
      <c r="K1570">
        <v>84.615893066979993</v>
      </c>
      <c r="L1570" t="s">
        <v>550</v>
      </c>
      <c r="M1570" t="s">
        <v>535</v>
      </c>
      <c r="Q1570" t="s">
        <v>468</v>
      </c>
      <c r="R1570" t="s">
        <v>4</v>
      </c>
      <c r="S1570" t="s">
        <v>58</v>
      </c>
    </row>
    <row r="1571" spans="1:19" x14ac:dyDescent="0.3">
      <c r="A1571" s="2" t="s">
        <v>192</v>
      </c>
      <c r="B1571" s="1" t="s">
        <v>421</v>
      </c>
      <c r="C1571" s="3" t="s">
        <v>57</v>
      </c>
      <c r="D1571" s="1" t="s">
        <v>581</v>
      </c>
      <c r="E1571" s="22"/>
      <c r="F1571" s="10"/>
      <c r="G1571" s="22">
        <v>2</v>
      </c>
      <c r="H1571" t="s">
        <v>514</v>
      </c>
      <c r="K1571">
        <v>128.40016647081799</v>
      </c>
      <c r="L1571" t="s">
        <v>550</v>
      </c>
      <c r="M1571" t="s">
        <v>535</v>
      </c>
      <c r="Q1571" t="s">
        <v>468</v>
      </c>
      <c r="R1571" t="s">
        <v>4</v>
      </c>
      <c r="S1571" t="s">
        <v>58</v>
      </c>
    </row>
    <row r="1572" spans="1:19" x14ac:dyDescent="0.3">
      <c r="A1572" s="2" t="s">
        <v>192</v>
      </c>
      <c r="B1572" s="1" t="s">
        <v>421</v>
      </c>
      <c r="C1572" s="3" t="s">
        <v>57</v>
      </c>
      <c r="D1572" s="1" t="s">
        <v>581</v>
      </c>
      <c r="E1572" s="22"/>
      <c r="F1572" s="10"/>
      <c r="G1572" s="22">
        <v>3</v>
      </c>
      <c r="H1572" t="s">
        <v>514</v>
      </c>
      <c r="K1572">
        <v>157.59767920094001</v>
      </c>
      <c r="L1572" t="s">
        <v>550</v>
      </c>
      <c r="M1572" t="s">
        <v>535</v>
      </c>
      <c r="Q1572" t="s">
        <v>468</v>
      </c>
      <c r="R1572" t="s">
        <v>4</v>
      </c>
      <c r="S1572" t="s">
        <v>58</v>
      </c>
    </row>
    <row r="1573" spans="1:19" x14ac:dyDescent="0.3">
      <c r="A1573" s="2" t="s">
        <v>192</v>
      </c>
      <c r="B1573" s="1" t="s">
        <v>421</v>
      </c>
      <c r="C1573" s="3" t="s">
        <v>57</v>
      </c>
      <c r="D1573" s="1" t="s">
        <v>581</v>
      </c>
      <c r="E1573" s="22"/>
      <c r="F1573" s="10"/>
      <c r="G1573" s="22">
        <v>4</v>
      </c>
      <c r="H1573" t="s">
        <v>514</v>
      </c>
      <c r="K1573">
        <v>154.715285938112</v>
      </c>
      <c r="L1573" t="s">
        <v>550</v>
      </c>
      <c r="M1573" t="s">
        <v>535</v>
      </c>
      <c r="Q1573" t="s">
        <v>468</v>
      </c>
      <c r="R1573" t="s">
        <v>4</v>
      </c>
      <c r="S1573" t="s">
        <v>58</v>
      </c>
    </row>
    <row r="1574" spans="1:19" x14ac:dyDescent="0.3">
      <c r="A1574" s="2" t="s">
        <v>192</v>
      </c>
      <c r="B1574" s="1" t="s">
        <v>421</v>
      </c>
      <c r="C1574" s="3" t="s">
        <v>57</v>
      </c>
      <c r="D1574" s="1" t="s">
        <v>581</v>
      </c>
      <c r="E1574" s="22"/>
      <c r="F1574" s="10"/>
      <c r="G1574" s="22">
        <v>5</v>
      </c>
      <c r="H1574" t="s">
        <v>514</v>
      </c>
      <c r="K1574">
        <v>131.416226008617</v>
      </c>
      <c r="L1574" t="s">
        <v>550</v>
      </c>
      <c r="M1574" t="s">
        <v>535</v>
      </c>
      <c r="Q1574" t="s">
        <v>468</v>
      </c>
      <c r="R1574" t="s">
        <v>4</v>
      </c>
      <c r="S1574" t="s">
        <v>58</v>
      </c>
    </row>
    <row r="1575" spans="1:19" x14ac:dyDescent="0.3">
      <c r="A1575" s="2" t="s">
        <v>192</v>
      </c>
      <c r="B1575" s="1" t="s">
        <v>421</v>
      </c>
      <c r="C1575" s="3" t="s">
        <v>57</v>
      </c>
      <c r="D1575" s="1" t="s">
        <v>581</v>
      </c>
      <c r="E1575" s="22"/>
      <c r="F1575" s="10"/>
      <c r="G1575" s="22">
        <v>6</v>
      </c>
      <c r="H1575" t="s">
        <v>514</v>
      </c>
      <c r="K1575">
        <v>92.073785742263894</v>
      </c>
      <c r="L1575" t="s">
        <v>550</v>
      </c>
      <c r="M1575" t="s">
        <v>535</v>
      </c>
      <c r="Q1575" t="s">
        <v>468</v>
      </c>
      <c r="R1575" t="s">
        <v>4</v>
      </c>
      <c r="S1575" t="s">
        <v>58</v>
      </c>
    </row>
    <row r="1576" spans="1:19" x14ac:dyDescent="0.3">
      <c r="A1576" s="2" t="s">
        <v>192</v>
      </c>
      <c r="B1576" s="1" t="s">
        <v>421</v>
      </c>
      <c r="C1576" s="3" t="s">
        <v>57</v>
      </c>
      <c r="D1576" s="1" t="s">
        <v>581</v>
      </c>
      <c r="E1576" s="22"/>
      <c r="F1576" s="10"/>
      <c r="G1576" s="22">
        <v>8</v>
      </c>
      <c r="H1576" t="s">
        <v>514</v>
      </c>
      <c r="K1576">
        <v>76.095524872698803</v>
      </c>
      <c r="L1576" t="s">
        <v>550</v>
      </c>
      <c r="M1576" t="s">
        <v>535</v>
      </c>
      <c r="Q1576" t="s">
        <v>468</v>
      </c>
      <c r="R1576" t="s">
        <v>4</v>
      </c>
      <c r="S1576" t="s">
        <v>58</v>
      </c>
    </row>
    <row r="1577" spans="1:19" x14ac:dyDescent="0.3">
      <c r="A1577" s="2" t="s">
        <v>192</v>
      </c>
      <c r="B1577" s="1" t="s">
        <v>421</v>
      </c>
      <c r="C1577" s="3" t="s">
        <v>57</v>
      </c>
      <c r="D1577" s="1" t="s">
        <v>581</v>
      </c>
      <c r="E1577" s="22"/>
      <c r="F1577" s="10"/>
      <c r="G1577" s="22">
        <v>12</v>
      </c>
      <c r="H1577" t="s">
        <v>514</v>
      </c>
      <c r="K1577">
        <v>51.4358108108108</v>
      </c>
      <c r="L1577" t="s">
        <v>550</v>
      </c>
      <c r="M1577" t="s">
        <v>535</v>
      </c>
      <c r="Q1577" t="s">
        <v>468</v>
      </c>
      <c r="R1577" t="s">
        <v>4</v>
      </c>
      <c r="S1577" t="s">
        <v>58</v>
      </c>
    </row>
    <row r="1578" spans="1:19" x14ac:dyDescent="0.3">
      <c r="A1578" s="2" t="s">
        <v>192</v>
      </c>
      <c r="B1578" s="1" t="s">
        <v>421</v>
      </c>
      <c r="C1578" s="3" t="s">
        <v>57</v>
      </c>
      <c r="D1578" s="1" t="s">
        <v>581</v>
      </c>
      <c r="E1578" s="22"/>
      <c r="F1578" s="10"/>
      <c r="G1578" s="22">
        <v>24</v>
      </c>
      <c r="H1578" t="s">
        <v>514</v>
      </c>
      <c r="K1578">
        <v>44.545142969056002</v>
      </c>
      <c r="L1578" t="s">
        <v>550</v>
      </c>
      <c r="M1578" t="s">
        <v>535</v>
      </c>
      <c r="Q1578" t="s">
        <v>468</v>
      </c>
      <c r="R1578" t="s">
        <v>4</v>
      </c>
      <c r="S1578" t="s">
        <v>58</v>
      </c>
    </row>
    <row r="1579" spans="1:19" x14ac:dyDescent="0.3">
      <c r="A1579" s="2" t="s">
        <v>192</v>
      </c>
      <c r="B1579" s="1" t="s">
        <v>421</v>
      </c>
      <c r="C1579" s="3" t="s">
        <v>57</v>
      </c>
      <c r="D1579" s="1" t="s">
        <v>581</v>
      </c>
      <c r="E1579" s="22"/>
      <c r="F1579" s="10"/>
      <c r="G1579" s="22">
        <v>48</v>
      </c>
      <c r="H1579" t="s">
        <v>514</v>
      </c>
      <c r="K1579">
        <v>17.630238934586899</v>
      </c>
      <c r="L1579" t="s">
        <v>550</v>
      </c>
      <c r="M1579" t="s">
        <v>535</v>
      </c>
      <c r="Q1579" t="s">
        <v>468</v>
      </c>
      <c r="R1579" t="s">
        <v>4</v>
      </c>
      <c r="S1579" t="s">
        <v>58</v>
      </c>
    </row>
    <row r="1580" spans="1:19" x14ac:dyDescent="0.3">
      <c r="A1580" s="2" t="s">
        <v>193</v>
      </c>
      <c r="B1580" s="1" t="s">
        <v>422</v>
      </c>
      <c r="C1580" s="3" t="s">
        <v>57</v>
      </c>
      <c r="D1580" s="1" t="s">
        <v>581</v>
      </c>
      <c r="E1580" s="22"/>
      <c r="F1580" s="10"/>
      <c r="G1580" s="22">
        <v>2</v>
      </c>
      <c r="H1580" t="s">
        <v>514</v>
      </c>
      <c r="K1580">
        <v>154.64845280062599</v>
      </c>
      <c r="L1580" t="s">
        <v>550</v>
      </c>
      <c r="M1580" t="s">
        <v>535</v>
      </c>
      <c r="Q1580" t="s">
        <v>468</v>
      </c>
      <c r="R1580" t="s">
        <v>4</v>
      </c>
      <c r="S1580" t="s">
        <v>58</v>
      </c>
    </row>
    <row r="1581" spans="1:19" x14ac:dyDescent="0.3">
      <c r="A1581" s="2" t="s">
        <v>193</v>
      </c>
      <c r="B1581" s="1" t="s">
        <v>422</v>
      </c>
      <c r="C1581" s="3" t="s">
        <v>57</v>
      </c>
      <c r="D1581" s="1" t="s">
        <v>581</v>
      </c>
      <c r="E1581" s="22"/>
      <c r="F1581" s="10"/>
      <c r="G1581" s="22">
        <v>3</v>
      </c>
      <c r="H1581" t="s">
        <v>514</v>
      </c>
      <c r="K1581">
        <v>205.72610654132299</v>
      </c>
      <c r="L1581" t="s">
        <v>550</v>
      </c>
      <c r="M1581" t="s">
        <v>535</v>
      </c>
      <c r="Q1581" t="s">
        <v>468</v>
      </c>
      <c r="R1581" t="s">
        <v>4</v>
      </c>
      <c r="S1581" t="s">
        <v>58</v>
      </c>
    </row>
    <row r="1582" spans="1:19" x14ac:dyDescent="0.3">
      <c r="A1582" s="2" t="s">
        <v>193</v>
      </c>
      <c r="B1582" s="1" t="s">
        <v>422</v>
      </c>
      <c r="C1582" s="3" t="s">
        <v>57</v>
      </c>
      <c r="D1582" s="1" t="s">
        <v>581</v>
      </c>
      <c r="E1582" s="22"/>
      <c r="F1582" s="10"/>
      <c r="G1582" s="22">
        <v>4</v>
      </c>
      <c r="H1582" t="s">
        <v>514</v>
      </c>
      <c r="K1582">
        <v>236.38537994516199</v>
      </c>
      <c r="L1582" t="s">
        <v>550</v>
      </c>
      <c r="M1582" t="s">
        <v>535</v>
      </c>
      <c r="Q1582" t="s">
        <v>468</v>
      </c>
      <c r="R1582" t="s">
        <v>4</v>
      </c>
      <c r="S1582" t="s">
        <v>58</v>
      </c>
    </row>
    <row r="1583" spans="1:19" x14ac:dyDescent="0.3">
      <c r="A1583" s="2" t="s">
        <v>193</v>
      </c>
      <c r="B1583" s="1" t="s">
        <v>422</v>
      </c>
      <c r="C1583" s="3" t="s">
        <v>57</v>
      </c>
      <c r="D1583" s="1" t="s">
        <v>581</v>
      </c>
      <c r="E1583" s="22"/>
      <c r="F1583" s="10"/>
      <c r="G1583" s="22">
        <v>5</v>
      </c>
      <c r="H1583" t="s">
        <v>514</v>
      </c>
      <c r="K1583">
        <v>202.87798668233401</v>
      </c>
      <c r="L1583" t="s">
        <v>550</v>
      </c>
      <c r="M1583" t="s">
        <v>535</v>
      </c>
      <c r="Q1583" t="s">
        <v>468</v>
      </c>
      <c r="R1583" t="s">
        <v>4</v>
      </c>
      <c r="S1583" t="s">
        <v>58</v>
      </c>
    </row>
    <row r="1584" spans="1:19" x14ac:dyDescent="0.3">
      <c r="A1584" s="2" t="s">
        <v>193</v>
      </c>
      <c r="B1584" s="1" t="s">
        <v>422</v>
      </c>
      <c r="C1584" s="3" t="s">
        <v>57</v>
      </c>
      <c r="D1584" s="1" t="s">
        <v>581</v>
      </c>
      <c r="E1584" s="22"/>
      <c r="F1584" s="10"/>
      <c r="G1584" s="22">
        <v>6</v>
      </c>
      <c r="H1584" t="s">
        <v>514</v>
      </c>
      <c r="K1584">
        <v>169.37059341950601</v>
      </c>
      <c r="L1584" t="s">
        <v>550</v>
      </c>
      <c r="M1584" t="s">
        <v>535</v>
      </c>
      <c r="Q1584" t="s">
        <v>468</v>
      </c>
      <c r="R1584" t="s">
        <v>4</v>
      </c>
      <c r="S1584" t="s">
        <v>58</v>
      </c>
    </row>
    <row r="1585" spans="1:19" x14ac:dyDescent="0.3">
      <c r="A1585" s="2" t="s">
        <v>193</v>
      </c>
      <c r="B1585" s="1" t="s">
        <v>422</v>
      </c>
      <c r="C1585" s="3" t="s">
        <v>57</v>
      </c>
      <c r="D1585" s="1" t="s">
        <v>581</v>
      </c>
      <c r="E1585" s="22"/>
      <c r="F1585" s="10"/>
      <c r="G1585" s="22">
        <v>8</v>
      </c>
      <c r="H1585" t="s">
        <v>514</v>
      </c>
      <c r="K1585">
        <v>124.229093223658</v>
      </c>
      <c r="L1585" t="s">
        <v>550</v>
      </c>
      <c r="M1585" t="s">
        <v>535</v>
      </c>
      <c r="Q1585" t="s">
        <v>468</v>
      </c>
      <c r="R1585" t="s">
        <v>4</v>
      </c>
      <c r="S1585" t="s">
        <v>58</v>
      </c>
    </row>
    <row r="1586" spans="1:19" x14ac:dyDescent="0.3">
      <c r="A1586" s="2" t="s">
        <v>193</v>
      </c>
      <c r="B1586" s="1" t="s">
        <v>422</v>
      </c>
      <c r="C1586" s="3" t="s">
        <v>57</v>
      </c>
      <c r="D1586" s="1" t="s">
        <v>581</v>
      </c>
      <c r="E1586" s="22"/>
      <c r="F1586" s="10"/>
      <c r="G1586" s="22">
        <v>12</v>
      </c>
      <c r="H1586" t="s">
        <v>514</v>
      </c>
      <c r="K1586">
        <v>80.611045828437099</v>
      </c>
      <c r="L1586" t="s">
        <v>550</v>
      </c>
      <c r="M1586" t="s">
        <v>535</v>
      </c>
      <c r="Q1586" t="s">
        <v>468</v>
      </c>
      <c r="R1586" t="s">
        <v>4</v>
      </c>
      <c r="S1586" t="s">
        <v>58</v>
      </c>
    </row>
    <row r="1587" spans="1:19" x14ac:dyDescent="0.3">
      <c r="A1587" s="2" t="s">
        <v>193</v>
      </c>
      <c r="B1587" s="1" t="s">
        <v>422</v>
      </c>
      <c r="C1587" s="3" t="s">
        <v>57</v>
      </c>
      <c r="D1587" s="1" t="s">
        <v>581</v>
      </c>
      <c r="E1587" s="22"/>
      <c r="F1587" s="10"/>
      <c r="G1587" s="22">
        <v>24</v>
      </c>
      <c r="H1587" t="s">
        <v>514</v>
      </c>
      <c r="K1587">
        <v>51.8419506462985</v>
      </c>
      <c r="L1587" t="s">
        <v>550</v>
      </c>
      <c r="M1587" t="s">
        <v>535</v>
      </c>
      <c r="Q1587" t="s">
        <v>468</v>
      </c>
      <c r="R1587" t="s">
        <v>4</v>
      </c>
      <c r="S1587" t="s">
        <v>58</v>
      </c>
    </row>
    <row r="1588" spans="1:19" x14ac:dyDescent="0.3">
      <c r="A1588" s="2" t="s">
        <v>193</v>
      </c>
      <c r="B1588" s="1" t="s">
        <v>422</v>
      </c>
      <c r="C1588" s="3" t="s">
        <v>57</v>
      </c>
      <c r="D1588" s="1" t="s">
        <v>581</v>
      </c>
      <c r="E1588" s="22"/>
      <c r="F1588" s="10"/>
      <c r="G1588" s="22">
        <v>48</v>
      </c>
      <c r="H1588" t="s">
        <v>514</v>
      </c>
      <c r="K1588">
        <v>20.553760282021202</v>
      </c>
      <c r="L1588" t="s">
        <v>550</v>
      </c>
      <c r="M1588" t="s">
        <v>535</v>
      </c>
      <c r="Q1588" t="s">
        <v>468</v>
      </c>
      <c r="R1588" t="s">
        <v>4</v>
      </c>
      <c r="S1588" t="s">
        <v>58</v>
      </c>
    </row>
    <row r="1589" spans="1:19" x14ac:dyDescent="0.3">
      <c r="A1589" s="2" t="s">
        <v>194</v>
      </c>
      <c r="B1589" s="1" t="s">
        <v>423</v>
      </c>
      <c r="C1589" s="3" t="s">
        <v>61</v>
      </c>
      <c r="D1589" s="1" t="s">
        <v>562</v>
      </c>
      <c r="G1589">
        <v>1</v>
      </c>
      <c r="H1589" t="s">
        <v>514</v>
      </c>
      <c r="K1589">
        <v>2.0210636866556402</v>
      </c>
      <c r="L1589" t="s">
        <v>550</v>
      </c>
      <c r="M1589" t="s">
        <v>548</v>
      </c>
      <c r="Q1589" t="s">
        <v>468</v>
      </c>
      <c r="R1589" t="s">
        <v>4</v>
      </c>
      <c r="S1589" t="s">
        <v>58</v>
      </c>
    </row>
    <row r="1590" spans="1:19" x14ac:dyDescent="0.3">
      <c r="A1590" s="2" t="s">
        <v>194</v>
      </c>
      <c r="B1590" s="1" t="s">
        <v>423</v>
      </c>
      <c r="C1590" s="3" t="s">
        <v>61</v>
      </c>
      <c r="D1590" s="1" t="s">
        <v>562</v>
      </c>
      <c r="G1590">
        <v>2</v>
      </c>
      <c r="H1590" t="s">
        <v>514</v>
      </c>
      <c r="K1590">
        <v>79.122498660815694</v>
      </c>
      <c r="L1590" t="s">
        <v>550</v>
      </c>
      <c r="M1590" t="s">
        <v>548</v>
      </c>
      <c r="Q1590" t="s">
        <v>468</v>
      </c>
      <c r="R1590" t="s">
        <v>4</v>
      </c>
      <c r="S1590" t="s">
        <v>58</v>
      </c>
    </row>
    <row r="1591" spans="1:19" x14ac:dyDescent="0.3">
      <c r="A1591" s="2" t="s">
        <v>194</v>
      </c>
      <c r="B1591" s="1" t="s">
        <v>423</v>
      </c>
      <c r="C1591" s="3" t="s">
        <v>61</v>
      </c>
      <c r="D1591" s="1" t="s">
        <v>562</v>
      </c>
      <c r="G1591">
        <v>4</v>
      </c>
      <c r="H1591" t="s">
        <v>514</v>
      </c>
      <c r="K1591">
        <v>113.68940488593</v>
      </c>
      <c r="L1591" t="s">
        <v>550</v>
      </c>
      <c r="M1591" t="s">
        <v>548</v>
      </c>
      <c r="Q1591" t="s">
        <v>468</v>
      </c>
      <c r="R1591" t="s">
        <v>4</v>
      </c>
      <c r="S1591" t="s">
        <v>58</v>
      </c>
    </row>
    <row r="1592" spans="1:19" x14ac:dyDescent="0.3">
      <c r="A1592" s="2" t="s">
        <v>194</v>
      </c>
      <c r="B1592" s="1" t="s">
        <v>423</v>
      </c>
      <c r="C1592" s="3" t="s">
        <v>61</v>
      </c>
      <c r="D1592" s="1" t="s">
        <v>562</v>
      </c>
      <c r="G1592">
        <v>6</v>
      </c>
      <c r="H1592" t="s">
        <v>514</v>
      </c>
      <c r="K1592">
        <v>82.569564429032894</v>
      </c>
      <c r="L1592" t="s">
        <v>550</v>
      </c>
      <c r="M1592" t="s">
        <v>548</v>
      </c>
      <c r="Q1592" t="s">
        <v>468</v>
      </c>
      <c r="R1592" t="s">
        <v>4</v>
      </c>
      <c r="S1592" t="s">
        <v>58</v>
      </c>
    </row>
    <row r="1593" spans="1:19" x14ac:dyDescent="0.3">
      <c r="A1593" s="2" t="s">
        <v>194</v>
      </c>
      <c r="B1593" s="1" t="s">
        <v>423</v>
      </c>
      <c r="C1593" s="3" t="s">
        <v>61</v>
      </c>
      <c r="D1593" s="1" t="s">
        <v>562</v>
      </c>
      <c r="G1593">
        <v>8</v>
      </c>
      <c r="H1593" t="s">
        <v>514</v>
      </c>
      <c r="K1593">
        <v>49.4971273165594</v>
      </c>
      <c r="L1593" t="s">
        <v>550</v>
      </c>
      <c r="M1593" t="s">
        <v>548</v>
      </c>
      <c r="Q1593" t="s">
        <v>468</v>
      </c>
      <c r="R1593" t="s">
        <v>4</v>
      </c>
      <c r="S1593" t="s">
        <v>58</v>
      </c>
    </row>
    <row r="1594" spans="1:19" x14ac:dyDescent="0.3">
      <c r="A1594" s="2" t="s">
        <v>194</v>
      </c>
      <c r="B1594" s="1" t="s">
        <v>423</v>
      </c>
      <c r="C1594" s="3" t="s">
        <v>61</v>
      </c>
      <c r="D1594" s="1" t="s">
        <v>562</v>
      </c>
      <c r="G1594">
        <v>24</v>
      </c>
      <c r="H1594" t="s">
        <v>514</v>
      </c>
      <c r="K1594">
        <v>19.787913155476598</v>
      </c>
      <c r="L1594" t="s">
        <v>550</v>
      </c>
      <c r="M1594" t="s">
        <v>548</v>
      </c>
      <c r="Q1594" t="s">
        <v>468</v>
      </c>
      <c r="R1594" t="s">
        <v>4</v>
      </c>
      <c r="S1594" t="s">
        <v>58</v>
      </c>
    </row>
    <row r="1595" spans="1:19" x14ac:dyDescent="0.3">
      <c r="A1595" s="2" t="s">
        <v>194</v>
      </c>
      <c r="B1595" s="1" t="s">
        <v>423</v>
      </c>
      <c r="C1595" s="3" t="s">
        <v>61</v>
      </c>
      <c r="D1595" s="1" t="s">
        <v>562</v>
      </c>
      <c r="G1595">
        <v>48</v>
      </c>
      <c r="H1595" t="s">
        <v>514</v>
      </c>
      <c r="K1595">
        <v>10.0018421609855</v>
      </c>
      <c r="L1595" t="s">
        <v>550</v>
      </c>
      <c r="M1595" t="s">
        <v>548</v>
      </c>
      <c r="Q1595" t="s">
        <v>468</v>
      </c>
      <c r="R1595" t="s">
        <v>4</v>
      </c>
      <c r="S1595" t="s">
        <v>58</v>
      </c>
    </row>
    <row r="1596" spans="1:19" x14ac:dyDescent="0.3">
      <c r="A1596" s="2" t="s">
        <v>195</v>
      </c>
      <c r="B1596" s="1" t="s">
        <v>424</v>
      </c>
      <c r="C1596" s="3" t="s">
        <v>61</v>
      </c>
      <c r="D1596" s="1" t="s">
        <v>562</v>
      </c>
      <c r="G1596">
        <v>1</v>
      </c>
      <c r="H1596" t="s">
        <v>514</v>
      </c>
      <c r="K1596">
        <v>1.8699449005228399</v>
      </c>
      <c r="L1596" t="s">
        <v>550</v>
      </c>
      <c r="M1596" t="s">
        <v>548</v>
      </c>
      <c r="Q1596" t="s">
        <v>468</v>
      </c>
      <c r="R1596" t="s">
        <v>4</v>
      </c>
      <c r="S1596" t="s">
        <v>58</v>
      </c>
    </row>
    <row r="1597" spans="1:19" x14ac:dyDescent="0.3">
      <c r="A1597" s="2" t="s">
        <v>195</v>
      </c>
      <c r="B1597" s="1" t="s">
        <v>424</v>
      </c>
      <c r="C1597" s="3" t="s">
        <v>61</v>
      </c>
      <c r="D1597" s="1" t="s">
        <v>562</v>
      </c>
      <c r="G1597">
        <v>2</v>
      </c>
      <c r="H1597" t="s">
        <v>514</v>
      </c>
      <c r="K1597">
        <v>68.030302296386097</v>
      </c>
      <c r="L1597" t="s">
        <v>550</v>
      </c>
      <c r="M1597" t="s">
        <v>548</v>
      </c>
      <c r="Q1597" t="s">
        <v>468</v>
      </c>
      <c r="R1597" t="s">
        <v>4</v>
      </c>
      <c r="S1597" t="s">
        <v>58</v>
      </c>
    </row>
    <row r="1598" spans="1:19" x14ac:dyDescent="0.3">
      <c r="A1598" s="2" t="s">
        <v>195</v>
      </c>
      <c r="B1598" s="1" t="s">
        <v>424</v>
      </c>
      <c r="C1598" s="3" t="s">
        <v>61</v>
      </c>
      <c r="D1598" s="1" t="s">
        <v>562</v>
      </c>
      <c r="G1598">
        <v>4</v>
      </c>
      <c r="H1598" t="s">
        <v>514</v>
      </c>
      <c r="K1598">
        <v>87.868045785686803</v>
      </c>
      <c r="L1598" t="s">
        <v>550</v>
      </c>
      <c r="M1598" t="s">
        <v>548</v>
      </c>
      <c r="Q1598" t="s">
        <v>468</v>
      </c>
      <c r="R1598" t="s">
        <v>4</v>
      </c>
      <c r="S1598" t="s">
        <v>58</v>
      </c>
    </row>
    <row r="1599" spans="1:19" x14ac:dyDescent="0.3">
      <c r="A1599" s="2" t="s">
        <v>195</v>
      </c>
      <c r="B1599" s="1" t="s">
        <v>424</v>
      </c>
      <c r="C1599" s="3" t="s">
        <v>61</v>
      </c>
      <c r="D1599" s="1" t="s">
        <v>562</v>
      </c>
      <c r="G1599">
        <v>6</v>
      </c>
      <c r="H1599" t="s">
        <v>514</v>
      </c>
      <c r="K1599">
        <v>67.908763218404602</v>
      </c>
      <c r="L1599" t="s">
        <v>550</v>
      </c>
      <c r="M1599" t="s">
        <v>548</v>
      </c>
      <c r="Q1599" t="s">
        <v>468</v>
      </c>
      <c r="R1599" t="s">
        <v>4</v>
      </c>
      <c r="S1599" t="s">
        <v>58</v>
      </c>
    </row>
    <row r="1600" spans="1:19" x14ac:dyDescent="0.3">
      <c r="A1600" s="2" t="s">
        <v>195</v>
      </c>
      <c r="B1600" s="1" t="s">
        <v>424</v>
      </c>
      <c r="C1600" s="3" t="s">
        <v>61</v>
      </c>
      <c r="D1600" s="1" t="s">
        <v>562</v>
      </c>
      <c r="G1600">
        <v>8</v>
      </c>
      <c r="H1600" t="s">
        <v>514</v>
      </c>
      <c r="K1600">
        <v>47.157993401023298</v>
      </c>
      <c r="L1600" t="s">
        <v>550</v>
      </c>
      <c r="M1600" t="s">
        <v>548</v>
      </c>
      <c r="Q1600" t="s">
        <v>468</v>
      </c>
      <c r="R1600" t="s">
        <v>4</v>
      </c>
      <c r="S1600" t="s">
        <v>58</v>
      </c>
    </row>
    <row r="1601" spans="1:19" x14ac:dyDescent="0.3">
      <c r="A1601" s="2" t="s">
        <v>195</v>
      </c>
      <c r="B1601" s="1" t="s">
        <v>424</v>
      </c>
      <c r="C1601" s="3" t="s">
        <v>61</v>
      </c>
      <c r="D1601" s="1" t="s">
        <v>562</v>
      </c>
      <c r="G1601">
        <v>24</v>
      </c>
      <c r="H1601" t="s">
        <v>514</v>
      </c>
      <c r="K1601">
        <v>17.492994917252201</v>
      </c>
      <c r="L1601" t="s">
        <v>550</v>
      </c>
      <c r="M1601" t="s">
        <v>548</v>
      </c>
      <c r="Q1601" t="s">
        <v>468</v>
      </c>
      <c r="R1601" t="s">
        <v>4</v>
      </c>
      <c r="S1601" t="s">
        <v>58</v>
      </c>
    </row>
    <row r="1602" spans="1:19" x14ac:dyDescent="0.3">
      <c r="A1602" s="2" t="s">
        <v>195</v>
      </c>
      <c r="B1602" s="1" t="s">
        <v>424</v>
      </c>
      <c r="C1602" s="3" t="s">
        <v>61</v>
      </c>
      <c r="D1602" s="1" t="s">
        <v>562</v>
      </c>
      <c r="G1602">
        <v>48</v>
      </c>
      <c r="H1602" t="s">
        <v>514</v>
      </c>
      <c r="K1602">
        <v>10.8121593187521</v>
      </c>
      <c r="L1602" t="s">
        <v>550</v>
      </c>
      <c r="M1602" t="s">
        <v>548</v>
      </c>
      <c r="Q1602" t="s">
        <v>468</v>
      </c>
      <c r="R1602" t="s">
        <v>4</v>
      </c>
      <c r="S1602" t="s">
        <v>58</v>
      </c>
    </row>
    <row r="1603" spans="1:19" x14ac:dyDescent="0.3">
      <c r="A1603" s="2" t="s">
        <v>196</v>
      </c>
      <c r="B1603" s="1" t="s">
        <v>425</v>
      </c>
      <c r="C1603" s="3" t="s">
        <v>61</v>
      </c>
      <c r="D1603" s="1" t="s">
        <v>562</v>
      </c>
      <c r="G1603">
        <v>1</v>
      </c>
      <c r="H1603" t="s">
        <v>514</v>
      </c>
      <c r="K1603">
        <v>2.2484332488579999</v>
      </c>
      <c r="L1603" t="s">
        <v>550</v>
      </c>
      <c r="M1603" t="s">
        <v>548</v>
      </c>
      <c r="Q1603" t="s">
        <v>468</v>
      </c>
      <c r="R1603" t="s">
        <v>4</v>
      </c>
      <c r="S1603" t="s">
        <v>58</v>
      </c>
    </row>
    <row r="1604" spans="1:19" x14ac:dyDescent="0.3">
      <c r="A1604" s="2" t="s">
        <v>196</v>
      </c>
      <c r="B1604" s="1" t="s">
        <v>425</v>
      </c>
      <c r="C1604" s="3" t="s">
        <v>61</v>
      </c>
      <c r="D1604" s="1" t="s">
        <v>562</v>
      </c>
      <c r="G1604">
        <v>2</v>
      </c>
      <c r="H1604" t="s">
        <v>514</v>
      </c>
      <c r="K1604">
        <v>72.6540776600893</v>
      </c>
      <c r="L1604" t="s">
        <v>550</v>
      </c>
      <c r="M1604" t="s">
        <v>548</v>
      </c>
      <c r="Q1604" t="s">
        <v>468</v>
      </c>
      <c r="R1604" t="s">
        <v>4</v>
      </c>
      <c r="S1604" t="s">
        <v>58</v>
      </c>
    </row>
    <row r="1605" spans="1:19" x14ac:dyDescent="0.3">
      <c r="A1605" s="2" t="s">
        <v>196</v>
      </c>
      <c r="B1605" s="1" t="s">
        <v>425</v>
      </c>
      <c r="C1605" s="3" t="s">
        <v>61</v>
      </c>
      <c r="D1605" s="1" t="s">
        <v>562</v>
      </c>
      <c r="G1605">
        <v>4</v>
      </c>
      <c r="H1605" t="s">
        <v>514</v>
      </c>
      <c r="K1605">
        <v>156.53807638074699</v>
      </c>
      <c r="L1605" t="s">
        <v>550</v>
      </c>
      <c r="M1605" t="s">
        <v>548</v>
      </c>
      <c r="Q1605" t="s">
        <v>468</v>
      </c>
      <c r="R1605" t="s">
        <v>4</v>
      </c>
      <c r="S1605" t="s">
        <v>58</v>
      </c>
    </row>
    <row r="1606" spans="1:19" x14ac:dyDescent="0.3">
      <c r="A1606" s="2" t="s">
        <v>196</v>
      </c>
      <c r="B1606" s="1" t="s">
        <v>425</v>
      </c>
      <c r="C1606" s="3" t="s">
        <v>61</v>
      </c>
      <c r="D1606" s="1" t="s">
        <v>562</v>
      </c>
      <c r="G1606">
        <v>6</v>
      </c>
      <c r="H1606" t="s">
        <v>514</v>
      </c>
      <c r="K1606">
        <v>113.68940488593</v>
      </c>
      <c r="L1606" t="s">
        <v>550</v>
      </c>
      <c r="M1606" t="s">
        <v>548</v>
      </c>
      <c r="Q1606" t="s">
        <v>468</v>
      </c>
      <c r="R1606" t="s">
        <v>4</v>
      </c>
      <c r="S1606" t="s">
        <v>58</v>
      </c>
    </row>
    <row r="1607" spans="1:19" x14ac:dyDescent="0.3">
      <c r="A1607" s="2" t="s">
        <v>196</v>
      </c>
      <c r="B1607" s="1" t="s">
        <v>425</v>
      </c>
      <c r="C1607" s="3" t="s">
        <v>61</v>
      </c>
      <c r="D1607" s="1" t="s">
        <v>562</v>
      </c>
      <c r="G1607">
        <v>8</v>
      </c>
      <c r="H1607" t="s">
        <v>514</v>
      </c>
      <c r="K1607">
        <v>66.714462889585604</v>
      </c>
      <c r="L1607" t="s">
        <v>550</v>
      </c>
      <c r="M1607" t="s">
        <v>548</v>
      </c>
      <c r="Q1607" t="s">
        <v>468</v>
      </c>
      <c r="R1607" t="s">
        <v>4</v>
      </c>
      <c r="S1607" t="s">
        <v>58</v>
      </c>
    </row>
    <row r="1608" spans="1:19" x14ac:dyDescent="0.3">
      <c r="A1608" s="2" t="s">
        <v>196</v>
      </c>
      <c r="B1608" s="1" t="s">
        <v>425</v>
      </c>
      <c r="C1608" s="3" t="s">
        <v>61</v>
      </c>
      <c r="D1608" s="1" t="s">
        <v>562</v>
      </c>
      <c r="G1608">
        <v>24</v>
      </c>
      <c r="H1608" t="s">
        <v>514</v>
      </c>
      <c r="K1608">
        <v>26.108384218776301</v>
      </c>
      <c r="L1608" t="s">
        <v>550</v>
      </c>
      <c r="M1608" t="s">
        <v>548</v>
      </c>
      <c r="Q1608" t="s">
        <v>468</v>
      </c>
      <c r="R1608" t="s">
        <v>4</v>
      </c>
      <c r="S1608" t="s">
        <v>58</v>
      </c>
    </row>
    <row r="1609" spans="1:19" x14ac:dyDescent="0.3">
      <c r="A1609" s="2" t="s">
        <v>196</v>
      </c>
      <c r="B1609" s="1" t="s">
        <v>425</v>
      </c>
      <c r="C1609" s="3" t="s">
        <v>61</v>
      </c>
      <c r="D1609" s="1" t="s">
        <v>562</v>
      </c>
      <c r="G1609">
        <v>48</v>
      </c>
      <c r="H1609" t="s">
        <v>514</v>
      </c>
      <c r="K1609">
        <v>15.6509244858269</v>
      </c>
      <c r="L1609" t="s">
        <v>550</v>
      </c>
      <c r="M1609" t="s">
        <v>548</v>
      </c>
      <c r="Q1609" t="s">
        <v>468</v>
      </c>
      <c r="R1609" t="s">
        <v>4</v>
      </c>
      <c r="S1609" t="s">
        <v>58</v>
      </c>
    </row>
    <row r="1610" spans="1:19" x14ac:dyDescent="0.3">
      <c r="A1610" s="2" t="s">
        <v>197</v>
      </c>
      <c r="B1610" s="1" t="s">
        <v>426</v>
      </c>
      <c r="C1610" s="3" t="s">
        <v>61</v>
      </c>
      <c r="D1610" s="1" t="s">
        <v>562</v>
      </c>
      <c r="G1610">
        <v>1</v>
      </c>
      <c r="H1610" t="s">
        <v>514</v>
      </c>
      <c r="K1610">
        <v>2.1948509561722598</v>
      </c>
      <c r="L1610" t="s">
        <v>550</v>
      </c>
      <c r="M1610" t="s">
        <v>548</v>
      </c>
      <c r="Q1610" t="s">
        <v>468</v>
      </c>
      <c r="R1610" t="s">
        <v>4</v>
      </c>
      <c r="S1610" t="s">
        <v>58</v>
      </c>
    </row>
    <row r="1611" spans="1:19" x14ac:dyDescent="0.3">
      <c r="A1611" s="2" t="s">
        <v>197</v>
      </c>
      <c r="B1611" s="1" t="s">
        <v>426</v>
      </c>
      <c r="C1611" s="3" t="s">
        <v>61</v>
      </c>
      <c r="D1611" s="1" t="s">
        <v>562</v>
      </c>
      <c r="G1611">
        <v>2</v>
      </c>
      <c r="H1611" t="s">
        <v>514</v>
      </c>
      <c r="K1611">
        <v>116.649943323158</v>
      </c>
      <c r="L1611" t="s">
        <v>550</v>
      </c>
      <c r="M1611" t="s">
        <v>548</v>
      </c>
      <c r="Q1611" t="s">
        <v>468</v>
      </c>
      <c r="R1611" t="s">
        <v>4</v>
      </c>
      <c r="S1611" t="s">
        <v>58</v>
      </c>
    </row>
    <row r="1612" spans="1:19" x14ac:dyDescent="0.3">
      <c r="A1612" s="2" t="s">
        <v>197</v>
      </c>
      <c r="B1612" s="1" t="s">
        <v>426</v>
      </c>
      <c r="C1612" s="3" t="s">
        <v>61</v>
      </c>
      <c r="D1612" s="1" t="s">
        <v>562</v>
      </c>
      <c r="G1612">
        <v>4</v>
      </c>
      <c r="H1612" t="s">
        <v>514</v>
      </c>
      <c r="K1612">
        <v>147.36125994561499</v>
      </c>
      <c r="L1612" t="s">
        <v>550</v>
      </c>
      <c r="M1612" t="s">
        <v>548</v>
      </c>
      <c r="Q1612" t="s">
        <v>468</v>
      </c>
      <c r="R1612" t="s">
        <v>4</v>
      </c>
      <c r="S1612" t="s">
        <v>58</v>
      </c>
    </row>
    <row r="1613" spans="1:19" x14ac:dyDescent="0.3">
      <c r="A1613" s="2" t="s">
        <v>197</v>
      </c>
      <c r="B1613" s="1" t="s">
        <v>426</v>
      </c>
      <c r="C1613" s="3" t="s">
        <v>61</v>
      </c>
      <c r="D1613" s="1" t="s">
        <v>562</v>
      </c>
      <c r="G1613">
        <v>6</v>
      </c>
      <c r="H1613" t="s">
        <v>514</v>
      </c>
      <c r="K1613">
        <v>126.996918872945</v>
      </c>
      <c r="L1613" t="s">
        <v>550</v>
      </c>
      <c r="M1613" t="s">
        <v>548</v>
      </c>
      <c r="Q1613" t="s">
        <v>468</v>
      </c>
      <c r="R1613" t="s">
        <v>4</v>
      </c>
      <c r="S1613" t="s">
        <v>58</v>
      </c>
    </row>
    <row r="1614" spans="1:19" x14ac:dyDescent="0.3">
      <c r="A1614" s="2" t="s">
        <v>197</v>
      </c>
      <c r="B1614" s="1" t="s">
        <v>426</v>
      </c>
      <c r="C1614" s="3" t="s">
        <v>61</v>
      </c>
      <c r="D1614" s="1" t="s">
        <v>562</v>
      </c>
      <c r="G1614">
        <v>8</v>
      </c>
      <c r="H1614" t="s">
        <v>514</v>
      </c>
      <c r="K1614">
        <v>74.664490732772293</v>
      </c>
      <c r="L1614" t="s">
        <v>550</v>
      </c>
      <c r="M1614" t="s">
        <v>548</v>
      </c>
      <c r="Q1614" t="s">
        <v>468</v>
      </c>
      <c r="R1614" t="s">
        <v>4</v>
      </c>
      <c r="S1614" t="s">
        <v>58</v>
      </c>
    </row>
    <row r="1615" spans="1:19" x14ac:dyDescent="0.3">
      <c r="A1615" s="2" t="s">
        <v>197</v>
      </c>
      <c r="B1615" s="1" t="s">
        <v>426</v>
      </c>
      <c r="C1615" s="3" t="s">
        <v>61</v>
      </c>
      <c r="D1615" s="1" t="s">
        <v>562</v>
      </c>
      <c r="G1615">
        <v>24</v>
      </c>
      <c r="H1615" t="s">
        <v>514</v>
      </c>
      <c r="K1615">
        <v>31.246431115603102</v>
      </c>
      <c r="L1615" t="s">
        <v>550</v>
      </c>
      <c r="M1615" t="s">
        <v>548</v>
      </c>
      <c r="Q1615" t="s">
        <v>468</v>
      </c>
      <c r="R1615" t="s">
        <v>4</v>
      </c>
      <c r="S1615" t="s">
        <v>58</v>
      </c>
    </row>
    <row r="1616" spans="1:19" x14ac:dyDescent="0.3">
      <c r="A1616" s="2" t="s">
        <v>197</v>
      </c>
      <c r="B1616" s="1" t="s">
        <v>426</v>
      </c>
      <c r="C1616" s="3" t="s">
        <v>61</v>
      </c>
      <c r="D1616" s="1" t="s">
        <v>562</v>
      </c>
      <c r="G1616">
        <v>48</v>
      </c>
      <c r="H1616" t="s">
        <v>514</v>
      </c>
      <c r="K1616">
        <v>17.236133692099799</v>
      </c>
      <c r="L1616" t="s">
        <v>550</v>
      </c>
      <c r="M1616" t="s">
        <v>548</v>
      </c>
      <c r="Q1616" t="s">
        <v>468</v>
      </c>
      <c r="R1616" t="s">
        <v>4</v>
      </c>
      <c r="S1616" t="s">
        <v>58</v>
      </c>
    </row>
    <row r="1617" spans="1:19" x14ac:dyDescent="0.3">
      <c r="A1617" s="2" t="s">
        <v>198</v>
      </c>
      <c r="B1617" s="1" t="s">
        <v>427</v>
      </c>
      <c r="C1617" s="3" t="s">
        <v>61</v>
      </c>
      <c r="D1617" s="1" t="s">
        <v>562</v>
      </c>
      <c r="G1617">
        <v>1</v>
      </c>
      <c r="H1617" t="s">
        <v>514</v>
      </c>
      <c r="K1617">
        <v>4.1727272492187897</v>
      </c>
      <c r="L1617" t="s">
        <v>550</v>
      </c>
      <c r="M1617" t="s">
        <v>548</v>
      </c>
      <c r="Q1617" t="s">
        <v>468</v>
      </c>
      <c r="R1617" t="s">
        <v>4</v>
      </c>
      <c r="S1617" t="s">
        <v>58</v>
      </c>
    </row>
    <row r="1618" spans="1:19" x14ac:dyDescent="0.3">
      <c r="A1618" s="2" t="s">
        <v>198</v>
      </c>
      <c r="B1618" s="1" t="s">
        <v>427</v>
      </c>
      <c r="C1618" s="3" t="s">
        <v>61</v>
      </c>
      <c r="D1618" s="1" t="s">
        <v>562</v>
      </c>
      <c r="G1618">
        <v>2</v>
      </c>
      <c r="H1618" t="s">
        <v>514</v>
      </c>
      <c r="K1618">
        <v>80.827657710466497</v>
      </c>
      <c r="L1618" t="s">
        <v>550</v>
      </c>
      <c r="M1618" t="s">
        <v>548</v>
      </c>
      <c r="Q1618" t="s">
        <v>468</v>
      </c>
      <c r="R1618" t="s">
        <v>4</v>
      </c>
      <c r="S1618" t="s">
        <v>58</v>
      </c>
    </row>
    <row r="1619" spans="1:19" x14ac:dyDescent="0.3">
      <c r="A1619" s="2" t="s">
        <v>198</v>
      </c>
      <c r="B1619" s="1" t="s">
        <v>427</v>
      </c>
      <c r="C1619" s="3" t="s">
        <v>61</v>
      </c>
      <c r="D1619" s="1" t="s">
        <v>562</v>
      </c>
      <c r="G1619">
        <v>4</v>
      </c>
      <c r="H1619" t="s">
        <v>514</v>
      </c>
      <c r="K1619">
        <v>177.90165672170201</v>
      </c>
      <c r="L1619" t="s">
        <v>550</v>
      </c>
      <c r="M1619" t="s">
        <v>548</v>
      </c>
      <c r="Q1619" t="s">
        <v>468</v>
      </c>
      <c r="R1619" t="s">
        <v>4</v>
      </c>
      <c r="S1619" t="s">
        <v>58</v>
      </c>
    </row>
    <row r="1620" spans="1:19" x14ac:dyDescent="0.3">
      <c r="A1620" s="2" t="s">
        <v>198</v>
      </c>
      <c r="B1620" s="1" t="s">
        <v>427</v>
      </c>
      <c r="C1620" s="3" t="s">
        <v>61</v>
      </c>
      <c r="D1620" s="1" t="s">
        <v>562</v>
      </c>
      <c r="G1620">
        <v>6</v>
      </c>
      <c r="H1620" t="s">
        <v>514</v>
      </c>
      <c r="K1620">
        <v>163.35784387605699</v>
      </c>
      <c r="L1620" t="s">
        <v>550</v>
      </c>
      <c r="M1620" t="s">
        <v>548</v>
      </c>
      <c r="Q1620" t="s">
        <v>468</v>
      </c>
      <c r="R1620" t="s">
        <v>4</v>
      </c>
      <c r="S1620" t="s">
        <v>58</v>
      </c>
    </row>
    <row r="1621" spans="1:19" x14ac:dyDescent="0.3">
      <c r="A1621" s="2" t="s">
        <v>198</v>
      </c>
      <c r="B1621" s="1" t="s">
        <v>427</v>
      </c>
      <c r="C1621" s="3" t="s">
        <v>61</v>
      </c>
      <c r="D1621" s="1" t="s">
        <v>562</v>
      </c>
      <c r="G1621">
        <v>8</v>
      </c>
      <c r="H1621" t="s">
        <v>514</v>
      </c>
      <c r="K1621">
        <v>102.192728153771</v>
      </c>
      <c r="L1621" t="s">
        <v>550</v>
      </c>
      <c r="M1621" t="s">
        <v>548</v>
      </c>
      <c r="Q1621" t="s">
        <v>468</v>
      </c>
      <c r="R1621" t="s">
        <v>4</v>
      </c>
      <c r="S1621" t="s">
        <v>58</v>
      </c>
    </row>
    <row r="1622" spans="1:19" x14ac:dyDescent="0.3">
      <c r="A1622" s="2" t="s">
        <v>198</v>
      </c>
      <c r="B1622" s="1" t="s">
        <v>427</v>
      </c>
      <c r="C1622" s="3" t="s">
        <v>61</v>
      </c>
      <c r="D1622" s="1" t="s">
        <v>562</v>
      </c>
      <c r="G1622">
        <v>24</v>
      </c>
      <c r="H1622" t="s">
        <v>514</v>
      </c>
      <c r="K1622">
        <v>43.553192473232301</v>
      </c>
      <c r="L1622" t="s">
        <v>550</v>
      </c>
      <c r="M1622" t="s">
        <v>548</v>
      </c>
      <c r="Q1622" t="s">
        <v>468</v>
      </c>
      <c r="R1622" t="s">
        <v>4</v>
      </c>
      <c r="S1622" t="s">
        <v>58</v>
      </c>
    </row>
    <row r="1623" spans="1:19" x14ac:dyDescent="0.3">
      <c r="A1623" s="2" t="s">
        <v>198</v>
      </c>
      <c r="B1623" s="1" t="s">
        <v>427</v>
      </c>
      <c r="C1623" s="3" t="s">
        <v>61</v>
      </c>
      <c r="D1623" s="1" t="s">
        <v>562</v>
      </c>
      <c r="G1623">
        <v>48</v>
      </c>
      <c r="H1623" t="s">
        <v>514</v>
      </c>
      <c r="K1623">
        <v>28.432823895319601</v>
      </c>
      <c r="L1623" t="s">
        <v>550</v>
      </c>
      <c r="M1623" t="s">
        <v>548</v>
      </c>
      <c r="Q1623" t="s">
        <v>468</v>
      </c>
      <c r="R1623" t="s">
        <v>4</v>
      </c>
      <c r="S1623" t="s">
        <v>58</v>
      </c>
    </row>
    <row r="1624" spans="1:19" x14ac:dyDescent="0.3">
      <c r="A1624" s="2" t="s">
        <v>199</v>
      </c>
      <c r="B1624" s="1" t="s">
        <v>428</v>
      </c>
      <c r="C1624" s="3" t="s">
        <v>61</v>
      </c>
      <c r="D1624" s="1" t="s">
        <v>562</v>
      </c>
      <c r="G1624">
        <v>1</v>
      </c>
      <c r="H1624" t="s">
        <v>514</v>
      </c>
      <c r="K1624">
        <v>3.3144540173399801</v>
      </c>
      <c r="L1624" t="s">
        <v>550</v>
      </c>
      <c r="M1624" t="s">
        <v>548</v>
      </c>
      <c r="Q1624" t="s">
        <v>468</v>
      </c>
      <c r="R1624" t="s">
        <v>4</v>
      </c>
      <c r="S1624" t="s">
        <v>58</v>
      </c>
    </row>
    <row r="1625" spans="1:19" x14ac:dyDescent="0.3">
      <c r="A1625" s="2" t="s">
        <v>199</v>
      </c>
      <c r="B1625" s="1" t="s">
        <v>428</v>
      </c>
      <c r="C1625" s="3" t="s">
        <v>61</v>
      </c>
      <c r="D1625" s="1" t="s">
        <v>562</v>
      </c>
      <c r="G1625">
        <v>2</v>
      </c>
      <c r="H1625" t="s">
        <v>514</v>
      </c>
      <c r="K1625">
        <v>131.46806735930099</v>
      </c>
      <c r="L1625" t="s">
        <v>550</v>
      </c>
      <c r="M1625" t="s">
        <v>548</v>
      </c>
      <c r="Q1625" t="s">
        <v>468</v>
      </c>
      <c r="R1625" t="s">
        <v>4</v>
      </c>
      <c r="S1625" t="s">
        <v>58</v>
      </c>
    </row>
    <row r="1626" spans="1:19" x14ac:dyDescent="0.3">
      <c r="A1626" s="2" t="s">
        <v>199</v>
      </c>
      <c r="B1626" s="1" t="s">
        <v>428</v>
      </c>
      <c r="C1626" s="3" t="s">
        <v>61</v>
      </c>
      <c r="D1626" s="1" t="s">
        <v>562</v>
      </c>
      <c r="G1626">
        <v>4</v>
      </c>
      <c r="H1626" t="s">
        <v>514</v>
      </c>
      <c r="K1626">
        <v>166.35814307264599</v>
      </c>
      <c r="L1626" t="s">
        <v>550</v>
      </c>
      <c r="M1626" t="s">
        <v>548</v>
      </c>
      <c r="Q1626" t="s">
        <v>468</v>
      </c>
      <c r="R1626" t="s">
        <v>4</v>
      </c>
      <c r="S1626" t="s">
        <v>58</v>
      </c>
    </row>
    <row r="1627" spans="1:19" x14ac:dyDescent="0.3">
      <c r="A1627" s="2" t="s">
        <v>199</v>
      </c>
      <c r="B1627" s="1" t="s">
        <v>428</v>
      </c>
      <c r="C1627" s="3" t="s">
        <v>61</v>
      </c>
      <c r="D1627" s="1" t="s">
        <v>562</v>
      </c>
      <c r="G1627">
        <v>6</v>
      </c>
      <c r="H1627" t="s">
        <v>514</v>
      </c>
      <c r="K1627">
        <v>159.388844146575</v>
      </c>
      <c r="L1627" t="s">
        <v>550</v>
      </c>
      <c r="M1627" t="s">
        <v>548</v>
      </c>
      <c r="Q1627" t="s">
        <v>468</v>
      </c>
      <c r="R1627" t="s">
        <v>4</v>
      </c>
      <c r="S1627" t="s">
        <v>58</v>
      </c>
    </row>
    <row r="1628" spans="1:19" x14ac:dyDescent="0.3">
      <c r="A1628" s="2" t="s">
        <v>199</v>
      </c>
      <c r="B1628" s="1" t="s">
        <v>428</v>
      </c>
      <c r="C1628" s="3" t="s">
        <v>61</v>
      </c>
      <c r="D1628" s="1" t="s">
        <v>562</v>
      </c>
      <c r="G1628">
        <v>8</v>
      </c>
      <c r="H1628" t="s">
        <v>514</v>
      </c>
      <c r="K1628">
        <v>103.895441581372</v>
      </c>
      <c r="L1628" t="s">
        <v>550</v>
      </c>
      <c r="M1628" t="s">
        <v>548</v>
      </c>
      <c r="Q1628" t="s">
        <v>468</v>
      </c>
      <c r="R1628" t="s">
        <v>4</v>
      </c>
      <c r="S1628" t="s">
        <v>58</v>
      </c>
    </row>
    <row r="1629" spans="1:19" x14ac:dyDescent="0.3">
      <c r="A1629" s="2" t="s">
        <v>199</v>
      </c>
      <c r="B1629" s="1" t="s">
        <v>428</v>
      </c>
      <c r="C1629" s="3" t="s">
        <v>61</v>
      </c>
      <c r="D1629" s="1" t="s">
        <v>562</v>
      </c>
      <c r="G1629">
        <v>24</v>
      </c>
      <c r="H1629" t="s">
        <v>514</v>
      </c>
      <c r="K1629">
        <v>48.089019582927598</v>
      </c>
      <c r="L1629" t="s">
        <v>550</v>
      </c>
      <c r="M1629" t="s">
        <v>548</v>
      </c>
      <c r="Q1629" t="s">
        <v>468</v>
      </c>
      <c r="R1629" t="s">
        <v>4</v>
      </c>
      <c r="S1629" t="s">
        <v>58</v>
      </c>
    </row>
    <row r="1630" spans="1:19" x14ac:dyDescent="0.3">
      <c r="A1630" s="2" t="s">
        <v>199</v>
      </c>
      <c r="B1630" s="1" t="s">
        <v>428</v>
      </c>
      <c r="C1630" s="3" t="s">
        <v>61</v>
      </c>
      <c r="D1630" s="1" t="s">
        <v>562</v>
      </c>
      <c r="G1630">
        <v>48</v>
      </c>
      <c r="H1630" t="s">
        <v>514</v>
      </c>
      <c r="K1630">
        <v>28.774793088528899</v>
      </c>
      <c r="L1630" t="s">
        <v>550</v>
      </c>
      <c r="M1630" t="s">
        <v>548</v>
      </c>
      <c r="Q1630" t="s">
        <v>468</v>
      </c>
      <c r="R1630" t="s">
        <v>4</v>
      </c>
      <c r="S1630" t="s">
        <v>58</v>
      </c>
    </row>
    <row r="1631" spans="1:19" ht="14.4" customHeight="1" x14ac:dyDescent="0.3">
      <c r="A1631" s="2" t="s">
        <v>200</v>
      </c>
      <c r="B1631" s="1" t="s">
        <v>429</v>
      </c>
      <c r="C1631" s="8" t="s">
        <v>64</v>
      </c>
      <c r="D1631" s="1" t="s">
        <v>528</v>
      </c>
      <c r="G1631">
        <f>5/60</f>
        <v>8.3333333333333329E-2</v>
      </c>
      <c r="H1631" t="s">
        <v>514</v>
      </c>
      <c r="K1631">
        <v>7.6083370313934608</v>
      </c>
      <c r="L1631" t="s">
        <v>530</v>
      </c>
      <c r="M1631" t="s">
        <v>535</v>
      </c>
      <c r="Q1631" t="s">
        <v>468</v>
      </c>
      <c r="R1631" t="s">
        <v>4</v>
      </c>
      <c r="S1631" s="1" t="s">
        <v>65</v>
      </c>
    </row>
    <row r="1632" spans="1:19" ht="14.4" customHeight="1" x14ac:dyDescent="0.3">
      <c r="A1632" s="2" t="s">
        <v>200</v>
      </c>
      <c r="B1632" s="1" t="s">
        <v>429</v>
      </c>
      <c r="C1632" s="8" t="s">
        <v>64</v>
      </c>
      <c r="D1632" s="1" t="s">
        <v>528</v>
      </c>
      <c r="G1632">
        <v>0.25</v>
      </c>
      <c r="H1632" t="s">
        <v>514</v>
      </c>
      <c r="K1632">
        <v>16.518400274382866</v>
      </c>
      <c r="L1632" t="s">
        <v>530</v>
      </c>
      <c r="M1632" t="s">
        <v>535</v>
      </c>
      <c r="Q1632" t="s">
        <v>468</v>
      </c>
      <c r="R1632" t="s">
        <v>4</v>
      </c>
      <c r="S1632" s="1" t="s">
        <v>65</v>
      </c>
    </row>
    <row r="1633" spans="1:19" ht="14.4" customHeight="1" x14ac:dyDescent="0.3">
      <c r="A1633" s="2" t="s">
        <v>200</v>
      </c>
      <c r="B1633" s="1" t="s">
        <v>429</v>
      </c>
      <c r="C1633" s="8" t="s">
        <v>64</v>
      </c>
      <c r="D1633" s="1" t="s">
        <v>528</v>
      </c>
      <c r="G1633">
        <v>0.5</v>
      </c>
      <c r="H1633" t="s">
        <v>514</v>
      </c>
      <c r="K1633">
        <v>26.002472242997101</v>
      </c>
      <c r="L1633" t="s">
        <v>530</v>
      </c>
      <c r="M1633" t="s">
        <v>535</v>
      </c>
      <c r="Q1633" t="s">
        <v>468</v>
      </c>
      <c r="R1633" t="s">
        <v>4</v>
      </c>
      <c r="S1633" s="1" t="s">
        <v>65</v>
      </c>
    </row>
    <row r="1634" spans="1:19" ht="14.4" customHeight="1" x14ac:dyDescent="0.3">
      <c r="A1634" s="2" t="s">
        <v>200</v>
      </c>
      <c r="B1634" s="1" t="s">
        <v>429</v>
      </c>
      <c r="C1634" s="8" t="s">
        <v>64</v>
      </c>
      <c r="D1634" s="1" t="s">
        <v>528</v>
      </c>
      <c r="G1634">
        <v>0.75</v>
      </c>
      <c r="H1634" t="s">
        <v>514</v>
      </c>
      <c r="K1634">
        <v>15.73615545775835</v>
      </c>
      <c r="L1634" t="s">
        <v>530</v>
      </c>
      <c r="M1634" t="s">
        <v>535</v>
      </c>
      <c r="Q1634" t="s">
        <v>468</v>
      </c>
      <c r="R1634" t="s">
        <v>4</v>
      </c>
      <c r="S1634" s="1" t="s">
        <v>65</v>
      </c>
    </row>
    <row r="1635" spans="1:19" ht="14.4" customHeight="1" x14ac:dyDescent="0.3">
      <c r="A1635" s="2" t="s">
        <v>200</v>
      </c>
      <c r="B1635" s="1" t="s">
        <v>429</v>
      </c>
      <c r="C1635" s="8" t="s">
        <v>64</v>
      </c>
      <c r="D1635" s="1" t="s">
        <v>528</v>
      </c>
      <c r="G1635">
        <v>1</v>
      </c>
      <c r="H1635" t="s">
        <v>514</v>
      </c>
      <c r="K1635">
        <v>10.19655095945385</v>
      </c>
      <c r="L1635" t="s">
        <v>530</v>
      </c>
      <c r="M1635" t="s">
        <v>535</v>
      </c>
      <c r="Q1635" t="s">
        <v>468</v>
      </c>
      <c r="R1635" t="s">
        <v>4</v>
      </c>
      <c r="S1635" s="1" t="s">
        <v>65</v>
      </c>
    </row>
    <row r="1636" spans="1:19" ht="14.4" customHeight="1" x14ac:dyDescent="0.3">
      <c r="A1636" s="2" t="s">
        <v>200</v>
      </c>
      <c r="B1636" s="1" t="s">
        <v>429</v>
      </c>
      <c r="C1636" s="8" t="s">
        <v>64</v>
      </c>
      <c r="D1636" s="1" t="s">
        <v>528</v>
      </c>
      <c r="G1636">
        <v>1.5</v>
      </c>
      <c r="H1636" t="s">
        <v>514</v>
      </c>
      <c r="K1636">
        <v>6.7804822574898553</v>
      </c>
      <c r="L1636" t="s">
        <v>530</v>
      </c>
      <c r="M1636" t="s">
        <v>535</v>
      </c>
      <c r="Q1636" t="s">
        <v>468</v>
      </c>
      <c r="R1636" t="s">
        <v>4</v>
      </c>
      <c r="S1636" s="1" t="s">
        <v>65</v>
      </c>
    </row>
    <row r="1637" spans="1:19" ht="14.4" customHeight="1" x14ac:dyDescent="0.3">
      <c r="A1637" s="2" t="s">
        <v>200</v>
      </c>
      <c r="B1637" s="1" t="s">
        <v>429</v>
      </c>
      <c r="C1637" s="8" t="s">
        <v>64</v>
      </c>
      <c r="D1637" s="1" t="s">
        <v>528</v>
      </c>
      <c r="G1637">
        <v>2</v>
      </c>
      <c r="H1637" t="s">
        <v>514</v>
      </c>
      <c r="K1637">
        <v>4.2541289546340995</v>
      </c>
      <c r="L1637" t="s">
        <v>530</v>
      </c>
      <c r="M1637" t="s">
        <v>535</v>
      </c>
      <c r="Q1637" t="s">
        <v>468</v>
      </c>
      <c r="R1637" t="s">
        <v>4</v>
      </c>
      <c r="S1637" s="1" t="s">
        <v>65</v>
      </c>
    </row>
    <row r="1638" spans="1:19" ht="14.4" customHeight="1" x14ac:dyDescent="0.3">
      <c r="A1638" s="2" t="s">
        <v>200</v>
      </c>
      <c r="B1638" s="1" t="s">
        <v>429</v>
      </c>
      <c r="C1638" s="8" t="s">
        <v>64</v>
      </c>
      <c r="D1638" s="1" t="s">
        <v>528</v>
      </c>
      <c r="G1638">
        <v>2.5</v>
      </c>
      <c r="H1638" t="s">
        <v>514</v>
      </c>
      <c r="K1638">
        <v>2.7480673594870484</v>
      </c>
      <c r="L1638" t="s">
        <v>530</v>
      </c>
      <c r="M1638" t="s">
        <v>535</v>
      </c>
      <c r="Q1638" t="s">
        <v>468</v>
      </c>
      <c r="R1638" t="s">
        <v>4</v>
      </c>
      <c r="S1638" s="1" t="s">
        <v>65</v>
      </c>
    </row>
    <row r="1639" spans="1:19" ht="14.4" customHeight="1" x14ac:dyDescent="0.3">
      <c r="A1639" s="2" t="s">
        <v>200</v>
      </c>
      <c r="B1639" s="1" t="s">
        <v>429</v>
      </c>
      <c r="C1639" s="8" t="s">
        <v>64</v>
      </c>
      <c r="D1639" s="1" t="s">
        <v>528</v>
      </c>
      <c r="G1639">
        <v>3</v>
      </c>
      <c r="H1639" t="s">
        <v>514</v>
      </c>
      <c r="K1639">
        <v>1.9213805076005601</v>
      </c>
      <c r="L1639" t="s">
        <v>530</v>
      </c>
      <c r="M1639" t="s">
        <v>535</v>
      </c>
      <c r="Q1639" t="s">
        <v>468</v>
      </c>
      <c r="R1639" t="s">
        <v>4</v>
      </c>
      <c r="S1639" s="1" t="s">
        <v>65</v>
      </c>
    </row>
    <row r="1640" spans="1:19" ht="14.4" customHeight="1" x14ac:dyDescent="0.3">
      <c r="A1640" s="2" t="s">
        <v>200</v>
      </c>
      <c r="B1640" s="1" t="s">
        <v>429</v>
      </c>
      <c r="C1640" s="8" t="s">
        <v>64</v>
      </c>
      <c r="D1640" s="1" t="s">
        <v>528</v>
      </c>
      <c r="G1640">
        <v>3.5</v>
      </c>
      <c r="H1640" t="s">
        <v>514</v>
      </c>
      <c r="K1640">
        <v>1.2266974882648549</v>
      </c>
      <c r="L1640" t="s">
        <v>530</v>
      </c>
      <c r="M1640" t="s">
        <v>535</v>
      </c>
      <c r="Q1640" t="s">
        <v>468</v>
      </c>
      <c r="R1640" t="s">
        <v>4</v>
      </c>
      <c r="S1640" s="1" t="s">
        <v>65</v>
      </c>
    </row>
    <row r="1641" spans="1:19" ht="14.4" customHeight="1" x14ac:dyDescent="0.3">
      <c r="A1641" s="2" t="s">
        <v>200</v>
      </c>
      <c r="B1641" s="1" t="s">
        <v>429</v>
      </c>
      <c r="C1641" s="8" t="s">
        <v>64</v>
      </c>
      <c r="D1641" s="1" t="s">
        <v>528</v>
      </c>
      <c r="G1641">
        <v>4</v>
      </c>
      <c r="H1641" t="s">
        <v>514</v>
      </c>
      <c r="K1641">
        <v>0.84694096844677047</v>
      </c>
      <c r="L1641" t="s">
        <v>530</v>
      </c>
      <c r="M1641" t="s">
        <v>535</v>
      </c>
      <c r="Q1641" t="s">
        <v>468</v>
      </c>
      <c r="R1641" t="s">
        <v>4</v>
      </c>
      <c r="S1641" s="1" t="s">
        <v>65</v>
      </c>
    </row>
    <row r="1642" spans="1:19" ht="14.4" customHeight="1" x14ac:dyDescent="0.3">
      <c r="A1642" s="2" t="s">
        <v>200</v>
      </c>
      <c r="B1642" s="1" t="s">
        <v>429</v>
      </c>
      <c r="C1642" s="8" t="s">
        <v>64</v>
      </c>
      <c r="D1642" s="1" t="s">
        <v>528</v>
      </c>
      <c r="G1642">
        <v>4.5</v>
      </c>
      <c r="H1642" t="s">
        <v>514</v>
      </c>
      <c r="K1642">
        <v>0.53175641899361825</v>
      </c>
      <c r="L1642" t="s">
        <v>530</v>
      </c>
      <c r="M1642" t="s">
        <v>535</v>
      </c>
      <c r="Q1642" t="s">
        <v>468</v>
      </c>
      <c r="R1642" t="s">
        <v>4</v>
      </c>
      <c r="S1642" s="1" t="s">
        <v>65</v>
      </c>
    </row>
    <row r="1643" spans="1:19" ht="14.4" customHeight="1" x14ac:dyDescent="0.3">
      <c r="A1643" s="2" t="s">
        <v>201</v>
      </c>
      <c r="B1643" s="1" t="s">
        <v>430</v>
      </c>
      <c r="C1643" s="8" t="s">
        <v>66</v>
      </c>
      <c r="D1643" s="1" t="s">
        <v>528</v>
      </c>
      <c r="G1643">
        <v>0.5</v>
      </c>
      <c r="H1643" t="s">
        <v>514</v>
      </c>
      <c r="K1643">
        <v>22.443832671507899</v>
      </c>
      <c r="L1643" t="s">
        <v>530</v>
      </c>
      <c r="M1643" t="s">
        <v>535</v>
      </c>
      <c r="Q1643" t="s">
        <v>468</v>
      </c>
      <c r="R1643" t="s">
        <v>4</v>
      </c>
      <c r="S1643" s="1" t="s">
        <v>65</v>
      </c>
    </row>
    <row r="1644" spans="1:19" ht="14.4" customHeight="1" x14ac:dyDescent="0.3">
      <c r="A1644" s="2" t="s">
        <v>201</v>
      </c>
      <c r="B1644" s="1" t="s">
        <v>430</v>
      </c>
      <c r="C1644" s="8" t="s">
        <v>66</v>
      </c>
      <c r="D1644" s="1" t="s">
        <v>528</v>
      </c>
      <c r="G1644">
        <v>1</v>
      </c>
      <c r="H1644" t="s">
        <v>514</v>
      </c>
      <c r="K1644">
        <v>12.639787128211101</v>
      </c>
      <c r="L1644" t="s">
        <v>530</v>
      </c>
      <c r="M1644" t="s">
        <v>535</v>
      </c>
      <c r="Q1644" t="s">
        <v>468</v>
      </c>
      <c r="R1644" t="s">
        <v>4</v>
      </c>
      <c r="S1644" s="1" t="s">
        <v>65</v>
      </c>
    </row>
    <row r="1645" spans="1:19" ht="14.4" customHeight="1" x14ac:dyDescent="0.3">
      <c r="A1645" s="2" t="s">
        <v>201</v>
      </c>
      <c r="B1645" s="1" t="s">
        <v>430</v>
      </c>
      <c r="C1645" s="8" t="s">
        <v>66</v>
      </c>
      <c r="D1645" s="1" t="s">
        <v>528</v>
      </c>
      <c r="G1645">
        <v>2</v>
      </c>
      <c r="H1645" t="s">
        <v>514</v>
      </c>
      <c r="K1645">
        <v>4.9977488772892702</v>
      </c>
      <c r="L1645" t="s">
        <v>530</v>
      </c>
      <c r="M1645" t="s">
        <v>535</v>
      </c>
      <c r="Q1645" t="s">
        <v>468</v>
      </c>
      <c r="R1645" t="s">
        <v>4</v>
      </c>
      <c r="S1645" s="1" t="s">
        <v>65</v>
      </c>
    </row>
    <row r="1646" spans="1:19" ht="14.4" customHeight="1" x14ac:dyDescent="0.3">
      <c r="A1646" s="2" t="s">
        <v>201</v>
      </c>
      <c r="B1646" s="1" t="s">
        <v>430</v>
      </c>
      <c r="C1646" s="8" t="s">
        <v>66</v>
      </c>
      <c r="D1646" s="1" t="s">
        <v>528</v>
      </c>
      <c r="G1646">
        <v>3</v>
      </c>
      <c r="H1646" t="s">
        <v>514</v>
      </c>
      <c r="K1646">
        <v>2.3576988457594998</v>
      </c>
      <c r="L1646" t="s">
        <v>530</v>
      </c>
      <c r="M1646" t="s">
        <v>535</v>
      </c>
      <c r="Q1646" t="s">
        <v>468</v>
      </c>
      <c r="R1646" t="s">
        <v>4</v>
      </c>
      <c r="S1646" s="1" t="s">
        <v>65</v>
      </c>
    </row>
    <row r="1647" spans="1:19" ht="14.4" customHeight="1" x14ac:dyDescent="0.3">
      <c r="A1647" s="2" t="s">
        <v>201</v>
      </c>
      <c r="B1647" s="1" t="s">
        <v>430</v>
      </c>
      <c r="C1647" s="8" t="s">
        <v>66</v>
      </c>
      <c r="D1647" s="1" t="s">
        <v>528</v>
      </c>
      <c r="G1647">
        <v>4</v>
      </c>
      <c r="H1647" t="s">
        <v>514</v>
      </c>
      <c r="K1647">
        <v>0.99609938804579401</v>
      </c>
      <c r="L1647" t="s">
        <v>530</v>
      </c>
      <c r="M1647" t="s">
        <v>535</v>
      </c>
      <c r="Q1647" t="s">
        <v>468</v>
      </c>
      <c r="R1647" t="s">
        <v>4</v>
      </c>
      <c r="S1647" s="1" t="s">
        <v>65</v>
      </c>
    </row>
    <row r="1648" spans="1:19" ht="14.4" customHeight="1" x14ac:dyDescent="0.3">
      <c r="A1648" s="2" t="s">
        <v>201</v>
      </c>
      <c r="B1648" s="1" t="s">
        <v>430</v>
      </c>
      <c r="C1648" s="8" t="s">
        <v>66</v>
      </c>
      <c r="D1648" s="1" t="s">
        <v>528</v>
      </c>
      <c r="G1648">
        <v>6</v>
      </c>
      <c r="H1648" t="s">
        <v>514</v>
      </c>
      <c r="K1648">
        <v>0.24573104382062599</v>
      </c>
      <c r="L1648" t="s">
        <v>530</v>
      </c>
      <c r="M1648" t="s">
        <v>535</v>
      </c>
      <c r="Q1648" t="s">
        <v>468</v>
      </c>
      <c r="R1648" t="s">
        <v>4</v>
      </c>
      <c r="S1648" s="1" t="s">
        <v>65</v>
      </c>
    </row>
    <row r="1649" spans="1:19" x14ac:dyDescent="0.3">
      <c r="A1649" s="2" t="s">
        <v>202</v>
      </c>
      <c r="B1649" s="1" t="s">
        <v>431</v>
      </c>
      <c r="C1649" s="3" t="s">
        <v>71</v>
      </c>
      <c r="D1649" s="1" t="s">
        <v>529</v>
      </c>
      <c r="G1649">
        <v>1</v>
      </c>
      <c r="H1649" t="s">
        <v>514</v>
      </c>
      <c r="K1649">
        <v>10.4527549532043</v>
      </c>
      <c r="L1649" t="s">
        <v>458</v>
      </c>
      <c r="M1649" t="s">
        <v>535</v>
      </c>
      <c r="Q1649" t="s">
        <v>468</v>
      </c>
      <c r="R1649" t="s">
        <v>4</v>
      </c>
      <c r="S1649" s="1" t="s">
        <v>65</v>
      </c>
    </row>
    <row r="1650" spans="1:19" x14ac:dyDescent="0.3">
      <c r="A1650" s="2" t="s">
        <v>202</v>
      </c>
      <c r="B1650" s="1" t="s">
        <v>431</v>
      </c>
      <c r="C1650" s="3" t="s">
        <v>71</v>
      </c>
      <c r="D1650" s="1" t="s">
        <v>529</v>
      </c>
      <c r="G1650">
        <v>2</v>
      </c>
      <c r="H1650" t="s">
        <v>514</v>
      </c>
      <c r="K1650">
        <v>4.06419333197924</v>
      </c>
      <c r="L1650" t="s">
        <v>458</v>
      </c>
      <c r="M1650" t="s">
        <v>535</v>
      </c>
      <c r="Q1650" t="s">
        <v>468</v>
      </c>
      <c r="R1650" t="s">
        <v>4</v>
      </c>
      <c r="S1650" s="1" t="s">
        <v>65</v>
      </c>
    </row>
    <row r="1651" spans="1:19" x14ac:dyDescent="0.3">
      <c r="A1651" s="2" t="s">
        <v>202</v>
      </c>
      <c r="B1651" s="1" t="s">
        <v>431</v>
      </c>
      <c r="C1651" s="3" t="s">
        <v>71</v>
      </c>
      <c r="D1651" s="1" t="s">
        <v>529</v>
      </c>
      <c r="G1651">
        <v>3</v>
      </c>
      <c r="H1651" t="s">
        <v>514</v>
      </c>
      <c r="K1651">
        <v>2.0011610959230901</v>
      </c>
      <c r="L1651" t="s">
        <v>458</v>
      </c>
      <c r="M1651" t="s">
        <v>535</v>
      </c>
      <c r="Q1651" t="s">
        <v>468</v>
      </c>
      <c r="R1651" t="s">
        <v>4</v>
      </c>
      <c r="S1651" s="1" t="s">
        <v>65</v>
      </c>
    </row>
    <row r="1652" spans="1:19" x14ac:dyDescent="0.3">
      <c r="A1652" s="2" t="s">
        <v>202</v>
      </c>
      <c r="B1652" s="1" t="s">
        <v>431</v>
      </c>
      <c r="C1652" s="3" t="s">
        <v>71</v>
      </c>
      <c r="D1652" s="1" t="s">
        <v>529</v>
      </c>
      <c r="G1652">
        <v>4</v>
      </c>
      <c r="H1652" t="s">
        <v>514</v>
      </c>
      <c r="K1652">
        <v>1.0765923315324499</v>
      </c>
      <c r="L1652" t="s">
        <v>458</v>
      </c>
      <c r="M1652" t="s">
        <v>535</v>
      </c>
      <c r="Q1652" t="s">
        <v>468</v>
      </c>
      <c r="R1652" t="s">
        <v>4</v>
      </c>
      <c r="S1652" s="1" t="s">
        <v>65</v>
      </c>
    </row>
    <row r="1653" spans="1:19" x14ac:dyDescent="0.3">
      <c r="A1653" s="2" t="s">
        <v>202</v>
      </c>
      <c r="B1653" s="1" t="s">
        <v>431</v>
      </c>
      <c r="C1653" s="3" t="s">
        <v>71</v>
      </c>
      <c r="D1653" s="1" t="s">
        <v>529</v>
      </c>
      <c r="G1653">
        <v>6</v>
      </c>
      <c r="H1653" t="s">
        <v>514</v>
      </c>
      <c r="K1653">
        <v>0.47106075419832599</v>
      </c>
      <c r="L1653" t="s">
        <v>458</v>
      </c>
      <c r="M1653" t="s">
        <v>535</v>
      </c>
      <c r="Q1653" t="s">
        <v>468</v>
      </c>
      <c r="R1653" t="s">
        <v>4</v>
      </c>
      <c r="S1653" s="1" t="s">
        <v>65</v>
      </c>
    </row>
    <row r="1654" spans="1:19" x14ac:dyDescent="0.3">
      <c r="A1654" s="2" t="s">
        <v>202</v>
      </c>
      <c r="B1654" s="1" t="s">
        <v>431</v>
      </c>
      <c r="C1654" s="3" t="s">
        <v>71</v>
      </c>
      <c r="D1654" s="1" t="s">
        <v>529</v>
      </c>
      <c r="G1654">
        <v>9</v>
      </c>
      <c r="H1654" t="s">
        <v>514</v>
      </c>
      <c r="K1654">
        <v>0.17522244804127801</v>
      </c>
      <c r="L1654" t="s">
        <v>458</v>
      </c>
      <c r="M1654" t="s">
        <v>535</v>
      </c>
      <c r="Q1654" t="s">
        <v>468</v>
      </c>
      <c r="R1654" t="s">
        <v>4</v>
      </c>
      <c r="S1654" s="1" t="s">
        <v>65</v>
      </c>
    </row>
    <row r="1655" spans="1:19" x14ac:dyDescent="0.3">
      <c r="A1655" s="2" t="s">
        <v>203</v>
      </c>
      <c r="B1655" s="1" t="s">
        <v>435</v>
      </c>
      <c r="C1655" s="3" t="s">
        <v>72</v>
      </c>
      <c r="D1655" s="1" t="s">
        <v>528</v>
      </c>
      <c r="E1655">
        <v>0</v>
      </c>
      <c r="F1655">
        <v>5</v>
      </c>
      <c r="G1655">
        <f t="shared" ref="G1655:G1678" si="46">E1655+F1655</f>
        <v>5</v>
      </c>
      <c r="H1655" t="s">
        <v>456</v>
      </c>
      <c r="K1655">
        <v>20.7108069175247</v>
      </c>
      <c r="L1655" t="s">
        <v>530</v>
      </c>
      <c r="M1655" t="s">
        <v>535</v>
      </c>
      <c r="Q1655" t="s">
        <v>468</v>
      </c>
      <c r="R1655" t="s">
        <v>4</v>
      </c>
      <c r="S1655" s="1" t="s">
        <v>65</v>
      </c>
    </row>
    <row r="1656" spans="1:19" x14ac:dyDescent="0.3">
      <c r="A1656" s="2" t="s">
        <v>203</v>
      </c>
      <c r="B1656" s="1" t="s">
        <v>435</v>
      </c>
      <c r="C1656" s="3" t="s">
        <v>72</v>
      </c>
      <c r="D1656" s="1" t="s">
        <v>528</v>
      </c>
      <c r="E1656">
        <v>5</v>
      </c>
      <c r="F1656">
        <v>5</v>
      </c>
      <c r="G1656">
        <f t="shared" si="46"/>
        <v>10</v>
      </c>
      <c r="H1656" t="s">
        <v>456</v>
      </c>
      <c r="K1656">
        <v>19.087063557997901</v>
      </c>
      <c r="L1656" t="s">
        <v>530</v>
      </c>
      <c r="M1656" t="s">
        <v>535</v>
      </c>
      <c r="Q1656" t="s">
        <v>468</v>
      </c>
      <c r="R1656" t="s">
        <v>4</v>
      </c>
      <c r="S1656" s="1" t="s">
        <v>65</v>
      </c>
    </row>
    <row r="1657" spans="1:19" x14ac:dyDescent="0.3">
      <c r="A1657" s="2" t="s">
        <v>203</v>
      </c>
      <c r="B1657" s="1" t="s">
        <v>435</v>
      </c>
      <c r="C1657" s="3" t="s">
        <v>72</v>
      </c>
      <c r="D1657" s="1" t="s">
        <v>528</v>
      </c>
      <c r="E1657">
        <v>10</v>
      </c>
      <c r="F1657">
        <v>5</v>
      </c>
      <c r="G1657">
        <f t="shared" si="46"/>
        <v>15</v>
      </c>
      <c r="H1657" t="s">
        <v>456</v>
      </c>
      <c r="K1657">
        <v>16.651143647630001</v>
      </c>
      <c r="L1657" t="s">
        <v>530</v>
      </c>
      <c r="M1657" t="s">
        <v>535</v>
      </c>
      <c r="Q1657" t="s">
        <v>468</v>
      </c>
      <c r="R1657" t="s">
        <v>4</v>
      </c>
      <c r="S1657" s="1" t="s">
        <v>65</v>
      </c>
    </row>
    <row r="1658" spans="1:19" x14ac:dyDescent="0.3">
      <c r="A1658" s="2" t="s">
        <v>203</v>
      </c>
      <c r="B1658" s="1" t="s">
        <v>435</v>
      </c>
      <c r="C1658" s="3" t="s">
        <v>72</v>
      </c>
      <c r="D1658" s="1" t="s">
        <v>528</v>
      </c>
      <c r="E1658">
        <v>15</v>
      </c>
      <c r="F1658">
        <v>5</v>
      </c>
      <c r="G1658">
        <f t="shared" si="46"/>
        <v>20</v>
      </c>
      <c r="H1658" t="s">
        <v>456</v>
      </c>
      <c r="K1658">
        <v>12.997568653155801</v>
      </c>
      <c r="L1658" t="s">
        <v>530</v>
      </c>
      <c r="M1658" t="s">
        <v>535</v>
      </c>
      <c r="Q1658" t="s">
        <v>468</v>
      </c>
      <c r="R1658" t="s">
        <v>4</v>
      </c>
      <c r="S1658" s="1" t="s">
        <v>65</v>
      </c>
    </row>
    <row r="1659" spans="1:19" x14ac:dyDescent="0.3">
      <c r="A1659" s="2" t="s">
        <v>203</v>
      </c>
      <c r="B1659" s="1" t="s">
        <v>435</v>
      </c>
      <c r="C1659" s="3" t="s">
        <v>72</v>
      </c>
      <c r="D1659" s="1" t="s">
        <v>528</v>
      </c>
      <c r="E1659">
        <v>30</v>
      </c>
      <c r="F1659">
        <v>5</v>
      </c>
      <c r="G1659">
        <f t="shared" si="46"/>
        <v>35</v>
      </c>
      <c r="H1659" t="s">
        <v>456</v>
      </c>
      <c r="K1659">
        <v>9.3446034008368706</v>
      </c>
      <c r="L1659" t="s">
        <v>530</v>
      </c>
      <c r="M1659" t="s">
        <v>535</v>
      </c>
      <c r="Q1659" t="s">
        <v>468</v>
      </c>
      <c r="R1659" t="s">
        <v>4</v>
      </c>
      <c r="S1659" s="1" t="s">
        <v>65</v>
      </c>
    </row>
    <row r="1660" spans="1:19" x14ac:dyDescent="0.3">
      <c r="A1660" s="2" t="s">
        <v>203</v>
      </c>
      <c r="B1660" s="1" t="s">
        <v>435</v>
      </c>
      <c r="C1660" s="3" t="s">
        <v>72</v>
      </c>
      <c r="D1660" s="1" t="s">
        <v>528</v>
      </c>
      <c r="E1660">
        <v>45</v>
      </c>
      <c r="F1660">
        <v>5</v>
      </c>
      <c r="G1660">
        <f t="shared" si="46"/>
        <v>50</v>
      </c>
      <c r="H1660" t="s">
        <v>456</v>
      </c>
      <c r="K1660">
        <v>7.7223843966982599</v>
      </c>
      <c r="L1660" t="s">
        <v>530</v>
      </c>
      <c r="M1660" t="s">
        <v>535</v>
      </c>
      <c r="Q1660" t="s">
        <v>468</v>
      </c>
      <c r="R1660" t="s">
        <v>4</v>
      </c>
      <c r="S1660" s="1" t="s">
        <v>65</v>
      </c>
    </row>
    <row r="1661" spans="1:19" x14ac:dyDescent="0.3">
      <c r="A1661" s="2" t="s">
        <v>203</v>
      </c>
      <c r="B1661" s="1" t="s">
        <v>435</v>
      </c>
      <c r="C1661" s="3" t="s">
        <v>72</v>
      </c>
      <c r="D1661" s="1" t="s">
        <v>528</v>
      </c>
      <c r="E1661">
        <v>60</v>
      </c>
      <c r="F1661">
        <v>5</v>
      </c>
      <c r="G1661">
        <f t="shared" si="46"/>
        <v>65</v>
      </c>
      <c r="H1661" t="s">
        <v>456</v>
      </c>
      <c r="K1661">
        <v>6.5062536679801601</v>
      </c>
      <c r="L1661" t="s">
        <v>530</v>
      </c>
      <c r="M1661" t="s">
        <v>535</v>
      </c>
      <c r="Q1661" t="s">
        <v>468</v>
      </c>
      <c r="R1661" t="s">
        <v>4</v>
      </c>
      <c r="S1661" s="1" t="s">
        <v>65</v>
      </c>
    </row>
    <row r="1662" spans="1:19" x14ac:dyDescent="0.3">
      <c r="A1662" s="2" t="s">
        <v>203</v>
      </c>
      <c r="B1662" s="1" t="s">
        <v>435</v>
      </c>
      <c r="C1662" s="3" t="s">
        <v>72</v>
      </c>
      <c r="D1662" s="1" t="s">
        <v>528</v>
      </c>
      <c r="E1662">
        <v>90</v>
      </c>
      <c r="F1662">
        <v>5</v>
      </c>
      <c r="G1662">
        <f t="shared" si="46"/>
        <v>95</v>
      </c>
      <c r="H1662" t="s">
        <v>456</v>
      </c>
      <c r="K1662">
        <v>5.4949963034381897</v>
      </c>
      <c r="L1662" t="s">
        <v>530</v>
      </c>
      <c r="M1662" t="s">
        <v>535</v>
      </c>
      <c r="Q1662" t="s">
        <v>468</v>
      </c>
      <c r="R1662" t="s">
        <v>4</v>
      </c>
      <c r="S1662" s="1" t="s">
        <v>65</v>
      </c>
    </row>
    <row r="1663" spans="1:19" x14ac:dyDescent="0.3">
      <c r="A1663" s="2" t="s">
        <v>203</v>
      </c>
      <c r="B1663" s="1" t="s">
        <v>435</v>
      </c>
      <c r="C1663" s="3" t="s">
        <v>72</v>
      </c>
      <c r="D1663" s="1" t="s">
        <v>528</v>
      </c>
      <c r="E1663">
        <v>120</v>
      </c>
      <c r="F1663">
        <v>5</v>
      </c>
      <c r="G1663">
        <f t="shared" si="46"/>
        <v>125</v>
      </c>
      <c r="H1663" t="s">
        <v>456</v>
      </c>
      <c r="K1663">
        <v>4.8904369564720396</v>
      </c>
      <c r="L1663" t="s">
        <v>530</v>
      </c>
      <c r="M1663" t="s">
        <v>535</v>
      </c>
      <c r="Q1663" t="s">
        <v>468</v>
      </c>
      <c r="R1663" t="s">
        <v>4</v>
      </c>
      <c r="S1663" s="1" t="s">
        <v>65</v>
      </c>
    </row>
    <row r="1664" spans="1:19" x14ac:dyDescent="0.3">
      <c r="A1664" s="2" t="s">
        <v>203</v>
      </c>
      <c r="B1664" s="1" t="s">
        <v>435</v>
      </c>
      <c r="C1664" s="3" t="s">
        <v>72</v>
      </c>
      <c r="D1664" s="1" t="s">
        <v>528</v>
      </c>
      <c r="E1664">
        <v>180</v>
      </c>
      <c r="F1664">
        <v>5</v>
      </c>
      <c r="G1664">
        <f t="shared" si="46"/>
        <v>185</v>
      </c>
      <c r="H1664" t="s">
        <v>456</v>
      </c>
      <c r="K1664">
        <v>4.4925802001478701</v>
      </c>
      <c r="L1664" t="s">
        <v>530</v>
      </c>
      <c r="M1664" t="s">
        <v>535</v>
      </c>
      <c r="Q1664" t="s">
        <v>468</v>
      </c>
      <c r="R1664" t="s">
        <v>4</v>
      </c>
      <c r="S1664" s="1" t="s">
        <v>65</v>
      </c>
    </row>
    <row r="1665" spans="1:19" x14ac:dyDescent="0.3">
      <c r="A1665" s="2" t="s">
        <v>203</v>
      </c>
      <c r="B1665" s="1" t="s">
        <v>435</v>
      </c>
      <c r="C1665" s="3" t="s">
        <v>72</v>
      </c>
      <c r="D1665" s="1" t="s">
        <v>528</v>
      </c>
      <c r="E1665">
        <v>360</v>
      </c>
      <c r="F1665">
        <v>5</v>
      </c>
      <c r="G1665">
        <f t="shared" si="46"/>
        <v>365</v>
      </c>
      <c r="H1665" t="s">
        <v>456</v>
      </c>
      <c r="K1665">
        <v>4.3151452329596296</v>
      </c>
      <c r="L1665" t="s">
        <v>530</v>
      </c>
      <c r="M1665" t="s">
        <v>535</v>
      </c>
      <c r="Q1665" t="s">
        <v>468</v>
      </c>
      <c r="R1665" t="s">
        <v>4</v>
      </c>
      <c r="S1665" s="1" t="s">
        <v>65</v>
      </c>
    </row>
    <row r="1666" spans="1:19" x14ac:dyDescent="0.3">
      <c r="A1666" s="2" t="s">
        <v>203</v>
      </c>
      <c r="B1666" s="1" t="s">
        <v>435</v>
      </c>
      <c r="C1666" s="3" t="s">
        <v>72</v>
      </c>
      <c r="D1666" s="1" t="s">
        <v>528</v>
      </c>
      <c r="E1666">
        <v>420</v>
      </c>
      <c r="F1666">
        <v>5</v>
      </c>
      <c r="G1666">
        <f t="shared" si="46"/>
        <v>425</v>
      </c>
      <c r="H1666" t="s">
        <v>456</v>
      </c>
      <c r="K1666">
        <v>4.5264208897662499</v>
      </c>
      <c r="L1666" t="s">
        <v>530</v>
      </c>
      <c r="M1666" t="s">
        <v>535</v>
      </c>
      <c r="Q1666" t="s">
        <v>468</v>
      </c>
      <c r="R1666" t="s">
        <v>4</v>
      </c>
      <c r="S1666" s="1" t="s">
        <v>65</v>
      </c>
    </row>
    <row r="1667" spans="1:19" x14ac:dyDescent="0.3">
      <c r="A1667" s="2" t="s">
        <v>203</v>
      </c>
      <c r="B1667" s="1" t="s">
        <v>435</v>
      </c>
      <c r="C1667" s="3" t="s">
        <v>72</v>
      </c>
      <c r="D1667" s="1" t="s">
        <v>528</v>
      </c>
      <c r="E1667">
        <v>460</v>
      </c>
      <c r="F1667">
        <v>5</v>
      </c>
      <c r="G1667">
        <f t="shared" si="46"/>
        <v>465</v>
      </c>
      <c r="H1667" t="s">
        <v>456</v>
      </c>
      <c r="K1667">
        <v>4.5322134402414598</v>
      </c>
      <c r="L1667" t="s">
        <v>530</v>
      </c>
      <c r="M1667" t="s">
        <v>535</v>
      </c>
      <c r="Q1667" t="s">
        <v>468</v>
      </c>
      <c r="R1667" t="s">
        <v>4</v>
      </c>
      <c r="S1667" s="1" t="s">
        <v>65</v>
      </c>
    </row>
    <row r="1668" spans="1:19" x14ac:dyDescent="0.3">
      <c r="A1668" s="2" t="s">
        <v>203</v>
      </c>
      <c r="B1668" s="1" t="s">
        <v>435</v>
      </c>
      <c r="C1668" s="3" t="s">
        <v>72</v>
      </c>
      <c r="D1668" s="1" t="s">
        <v>528</v>
      </c>
      <c r="E1668">
        <v>480</v>
      </c>
      <c r="F1668">
        <v>5</v>
      </c>
      <c r="G1668">
        <f t="shared" si="46"/>
        <v>485</v>
      </c>
      <c r="H1668" t="s">
        <v>456</v>
      </c>
      <c r="K1668">
        <v>4.5346524088626099</v>
      </c>
      <c r="L1668" t="s">
        <v>530</v>
      </c>
      <c r="M1668" t="s">
        <v>535</v>
      </c>
      <c r="Q1668" t="s">
        <v>468</v>
      </c>
      <c r="R1668" t="s">
        <v>4</v>
      </c>
      <c r="S1668" s="1" t="s">
        <v>65</v>
      </c>
    </row>
    <row r="1669" spans="1:19" x14ac:dyDescent="0.3">
      <c r="A1669" s="2" t="s">
        <v>203</v>
      </c>
      <c r="B1669" s="1" t="s">
        <v>435</v>
      </c>
      <c r="C1669" s="3" t="s">
        <v>72</v>
      </c>
      <c r="D1669" s="1" t="s">
        <v>528</v>
      </c>
      <c r="E1669">
        <v>180</v>
      </c>
      <c r="F1669">
        <f>8*60+5</f>
        <v>485</v>
      </c>
      <c r="G1669">
        <f t="shared" si="46"/>
        <v>665</v>
      </c>
      <c r="H1669" t="s">
        <v>456</v>
      </c>
      <c r="K1669">
        <v>4.7630008460172402</v>
      </c>
      <c r="L1669" t="s">
        <v>530</v>
      </c>
      <c r="M1669" t="s">
        <v>535</v>
      </c>
      <c r="Q1669" t="s">
        <v>468</v>
      </c>
      <c r="R1669" t="s">
        <v>4</v>
      </c>
      <c r="S1669" s="1" t="s">
        <v>65</v>
      </c>
    </row>
    <row r="1670" spans="1:19" x14ac:dyDescent="0.3">
      <c r="A1670" s="2" t="s">
        <v>203</v>
      </c>
      <c r="B1670" s="1" t="s">
        <v>435</v>
      </c>
      <c r="C1670" s="3" t="s">
        <v>72</v>
      </c>
      <c r="D1670" s="1" t="s">
        <v>528</v>
      </c>
      <c r="E1670">
        <v>360</v>
      </c>
      <c r="F1670">
        <f t="shared" ref="F1670:F1673" si="47">8*60+5</f>
        <v>485</v>
      </c>
      <c r="G1670">
        <f t="shared" si="46"/>
        <v>845</v>
      </c>
      <c r="H1670" t="s">
        <v>456</v>
      </c>
      <c r="K1670">
        <v>4.5855658788289997</v>
      </c>
      <c r="L1670" t="s">
        <v>530</v>
      </c>
      <c r="M1670" t="s">
        <v>535</v>
      </c>
      <c r="Q1670" t="s">
        <v>468</v>
      </c>
      <c r="R1670" t="s">
        <v>4</v>
      </c>
      <c r="S1670" s="1" t="s">
        <v>65</v>
      </c>
    </row>
    <row r="1671" spans="1:19" x14ac:dyDescent="0.3">
      <c r="A1671" s="2" t="s">
        <v>203</v>
      </c>
      <c r="B1671" s="1" t="s">
        <v>435</v>
      </c>
      <c r="C1671" s="3" t="s">
        <v>72</v>
      </c>
      <c r="D1671" s="1" t="s">
        <v>528</v>
      </c>
      <c r="E1671">
        <v>420</v>
      </c>
      <c r="F1671">
        <f t="shared" si="47"/>
        <v>485</v>
      </c>
      <c r="G1671">
        <f t="shared" si="46"/>
        <v>905</v>
      </c>
      <c r="H1671" t="s">
        <v>456</v>
      </c>
      <c r="K1671">
        <v>4.5941022690029998</v>
      </c>
      <c r="L1671" t="s">
        <v>530</v>
      </c>
      <c r="M1671" t="s">
        <v>535</v>
      </c>
      <c r="Q1671" t="s">
        <v>468</v>
      </c>
      <c r="R1671" t="s">
        <v>4</v>
      </c>
      <c r="S1671" s="1" t="s">
        <v>65</v>
      </c>
    </row>
    <row r="1672" spans="1:19" x14ac:dyDescent="0.3">
      <c r="A1672" s="2" t="s">
        <v>203</v>
      </c>
      <c r="B1672" s="1" t="s">
        <v>435</v>
      </c>
      <c r="C1672" s="3" t="s">
        <v>72</v>
      </c>
      <c r="D1672" s="1" t="s">
        <v>528</v>
      </c>
      <c r="E1672">
        <v>460</v>
      </c>
      <c r="F1672">
        <f t="shared" si="47"/>
        <v>485</v>
      </c>
      <c r="G1672">
        <f t="shared" si="46"/>
        <v>945</v>
      </c>
      <c r="H1672" t="s">
        <v>456</v>
      </c>
      <c r="K1672">
        <v>4.5995899484005696</v>
      </c>
      <c r="L1672" t="s">
        <v>530</v>
      </c>
      <c r="M1672" t="s">
        <v>535</v>
      </c>
      <c r="Q1672" t="s">
        <v>468</v>
      </c>
      <c r="R1672" t="s">
        <v>4</v>
      </c>
      <c r="S1672" s="1" t="s">
        <v>65</v>
      </c>
    </row>
    <row r="1673" spans="1:19" x14ac:dyDescent="0.3">
      <c r="A1673" s="2" t="s">
        <v>203</v>
      </c>
      <c r="B1673" s="1" t="s">
        <v>435</v>
      </c>
      <c r="C1673" s="3" t="s">
        <v>72</v>
      </c>
      <c r="D1673" s="1" t="s">
        <v>528</v>
      </c>
      <c r="E1673">
        <v>480</v>
      </c>
      <c r="F1673">
        <f t="shared" si="47"/>
        <v>485</v>
      </c>
      <c r="G1673">
        <f t="shared" si="46"/>
        <v>965</v>
      </c>
      <c r="H1673" t="s">
        <v>456</v>
      </c>
      <c r="K1673">
        <v>4.1962455126788401</v>
      </c>
      <c r="L1673" t="s">
        <v>530</v>
      </c>
      <c r="M1673" t="s">
        <v>535</v>
      </c>
      <c r="Q1673" t="s">
        <v>468</v>
      </c>
      <c r="R1673" t="s">
        <v>4</v>
      </c>
      <c r="S1673" s="1" t="s">
        <v>65</v>
      </c>
    </row>
    <row r="1674" spans="1:19" x14ac:dyDescent="0.3">
      <c r="A1674" s="2" t="s">
        <v>203</v>
      </c>
      <c r="B1674" s="1" t="s">
        <v>435</v>
      </c>
      <c r="C1674" s="3" t="s">
        <v>72</v>
      </c>
      <c r="D1674" s="1" t="s">
        <v>528</v>
      </c>
      <c r="E1674">
        <v>180</v>
      </c>
      <c r="F1674">
        <f>16*60+5</f>
        <v>965</v>
      </c>
      <c r="G1674">
        <f t="shared" si="46"/>
        <v>1145</v>
      </c>
      <c r="H1674" t="s">
        <v>456</v>
      </c>
      <c r="K1674">
        <v>4.4245939498334703</v>
      </c>
      <c r="L1674" t="s">
        <v>530</v>
      </c>
      <c r="M1674" t="s">
        <v>535</v>
      </c>
      <c r="Q1674" t="s">
        <v>468</v>
      </c>
      <c r="R1674" t="s">
        <v>4</v>
      </c>
      <c r="S1674" s="1" t="s">
        <v>65</v>
      </c>
    </row>
    <row r="1675" spans="1:19" x14ac:dyDescent="0.3">
      <c r="A1675" s="2" t="s">
        <v>203</v>
      </c>
      <c r="B1675" s="1" t="s">
        <v>435</v>
      </c>
      <c r="C1675" s="3" t="s">
        <v>72</v>
      </c>
      <c r="D1675" s="1" t="s">
        <v>528</v>
      </c>
      <c r="E1675">
        <v>360</v>
      </c>
      <c r="F1675">
        <f t="shared" ref="F1675:F1678" si="48">16*60+5</f>
        <v>965</v>
      </c>
      <c r="G1675">
        <f t="shared" si="46"/>
        <v>1325</v>
      </c>
      <c r="H1675" t="s">
        <v>456</v>
      </c>
      <c r="K1675">
        <v>4.4498982492778598</v>
      </c>
      <c r="L1675" t="s">
        <v>530</v>
      </c>
      <c r="M1675" t="s">
        <v>535</v>
      </c>
      <c r="Q1675" t="s">
        <v>468</v>
      </c>
      <c r="R1675" t="s">
        <v>4</v>
      </c>
      <c r="S1675" s="1" t="s">
        <v>65</v>
      </c>
    </row>
    <row r="1676" spans="1:19" x14ac:dyDescent="0.3">
      <c r="A1676" s="2" t="s">
        <v>203</v>
      </c>
      <c r="B1676" s="1" t="s">
        <v>435</v>
      </c>
      <c r="C1676" s="3" t="s">
        <v>72</v>
      </c>
      <c r="D1676" s="1" t="s">
        <v>528</v>
      </c>
      <c r="E1676">
        <v>420</v>
      </c>
      <c r="F1676">
        <f t="shared" si="48"/>
        <v>965</v>
      </c>
      <c r="G1676">
        <f t="shared" si="46"/>
        <v>1385</v>
      </c>
      <c r="H1676" t="s">
        <v>456</v>
      </c>
      <c r="K1676">
        <v>4.2553905017415996</v>
      </c>
      <c r="L1676" t="s">
        <v>530</v>
      </c>
      <c r="M1676" t="s">
        <v>535</v>
      </c>
      <c r="Q1676" t="s">
        <v>468</v>
      </c>
      <c r="R1676" t="s">
        <v>4</v>
      </c>
      <c r="S1676" s="1" t="s">
        <v>65</v>
      </c>
    </row>
    <row r="1677" spans="1:19" x14ac:dyDescent="0.3">
      <c r="A1677" s="2" t="s">
        <v>203</v>
      </c>
      <c r="B1677" s="1" t="s">
        <v>435</v>
      </c>
      <c r="C1677" s="3" t="s">
        <v>72</v>
      </c>
      <c r="D1677" s="1" t="s">
        <v>528</v>
      </c>
      <c r="E1677">
        <v>460</v>
      </c>
      <c r="F1677">
        <f t="shared" si="48"/>
        <v>965</v>
      </c>
      <c r="G1677">
        <f t="shared" si="46"/>
        <v>1425</v>
      </c>
      <c r="H1677" t="s">
        <v>456</v>
      </c>
      <c r="K1677">
        <v>4.0578340434288798</v>
      </c>
      <c r="L1677" t="s">
        <v>530</v>
      </c>
      <c r="M1677" t="s">
        <v>535</v>
      </c>
      <c r="Q1677" t="s">
        <v>468</v>
      </c>
      <c r="R1677" t="s">
        <v>4</v>
      </c>
      <c r="S1677" s="1" t="s">
        <v>65</v>
      </c>
    </row>
    <row r="1678" spans="1:19" x14ac:dyDescent="0.3">
      <c r="A1678" s="2" t="s">
        <v>203</v>
      </c>
      <c r="B1678" s="1" t="s">
        <v>435</v>
      </c>
      <c r="C1678" s="3" t="s">
        <v>72</v>
      </c>
      <c r="D1678" s="1" t="s">
        <v>528</v>
      </c>
      <c r="E1678">
        <v>480</v>
      </c>
      <c r="F1678">
        <f t="shared" si="48"/>
        <v>965</v>
      </c>
      <c r="G1678">
        <f t="shared" si="46"/>
        <v>1445</v>
      </c>
      <c r="H1678" t="s">
        <v>456</v>
      </c>
      <c r="K1678">
        <v>4.0608827542053003</v>
      </c>
      <c r="L1678" t="s">
        <v>530</v>
      </c>
      <c r="M1678" t="s">
        <v>535</v>
      </c>
      <c r="Q1678" t="s">
        <v>468</v>
      </c>
      <c r="R1678" t="s">
        <v>4</v>
      </c>
      <c r="S1678" s="1" t="s">
        <v>65</v>
      </c>
    </row>
    <row r="1679" spans="1:19" x14ac:dyDescent="0.3">
      <c r="A1679" s="2" t="s">
        <v>204</v>
      </c>
      <c r="B1679" s="1" t="s">
        <v>436</v>
      </c>
      <c r="C1679" s="3" t="s">
        <v>72</v>
      </c>
      <c r="D1679" s="1" t="s">
        <v>528</v>
      </c>
      <c r="E1679">
        <v>0</v>
      </c>
      <c r="F1679">
        <v>5</v>
      </c>
      <c r="G1679">
        <f t="shared" ref="G1679:G1701" si="49">E1679+F1679</f>
        <v>5</v>
      </c>
      <c r="H1679" t="s">
        <v>456</v>
      </c>
      <c r="K1679">
        <v>33.278688524590102</v>
      </c>
      <c r="L1679" t="s">
        <v>530</v>
      </c>
      <c r="M1679" t="s">
        <v>535</v>
      </c>
      <c r="Q1679" t="s">
        <v>468</v>
      </c>
      <c r="R1679" t="s">
        <v>4</v>
      </c>
      <c r="S1679" s="1" t="s">
        <v>65</v>
      </c>
    </row>
    <row r="1680" spans="1:19" x14ac:dyDescent="0.3">
      <c r="A1680" s="2" t="s">
        <v>204</v>
      </c>
      <c r="B1680" s="1" t="s">
        <v>436</v>
      </c>
      <c r="C1680" s="3" t="s">
        <v>72</v>
      </c>
      <c r="D1680" s="1" t="s">
        <v>528</v>
      </c>
      <c r="E1680">
        <v>5</v>
      </c>
      <c r="F1680">
        <v>5</v>
      </c>
      <c r="G1680">
        <f t="shared" si="49"/>
        <v>10</v>
      </c>
      <c r="H1680" t="s">
        <v>456</v>
      </c>
      <c r="K1680">
        <v>27.1590809895423</v>
      </c>
      <c r="L1680" t="s">
        <v>530</v>
      </c>
      <c r="M1680" t="s">
        <v>535</v>
      </c>
      <c r="Q1680" t="s">
        <v>468</v>
      </c>
      <c r="R1680" t="s">
        <v>4</v>
      </c>
      <c r="S1680" s="1" t="s">
        <v>65</v>
      </c>
    </row>
    <row r="1681" spans="1:19" x14ac:dyDescent="0.3">
      <c r="A1681" s="2" t="s">
        <v>204</v>
      </c>
      <c r="B1681" s="1" t="s">
        <v>436</v>
      </c>
      <c r="C1681" s="3" t="s">
        <v>72</v>
      </c>
      <c r="D1681" s="1" t="s">
        <v>528</v>
      </c>
      <c r="E1681">
        <v>15</v>
      </c>
      <c r="F1681">
        <v>5</v>
      </c>
      <c r="G1681">
        <f t="shared" si="49"/>
        <v>20</v>
      </c>
      <c r="H1681" t="s">
        <v>456</v>
      </c>
      <c r="K1681">
        <v>21.805417343179801</v>
      </c>
      <c r="L1681" t="s">
        <v>530</v>
      </c>
      <c r="M1681" t="s">
        <v>535</v>
      </c>
      <c r="Q1681" t="s">
        <v>468</v>
      </c>
      <c r="R1681" t="s">
        <v>4</v>
      </c>
      <c r="S1681" s="1" t="s">
        <v>65</v>
      </c>
    </row>
    <row r="1682" spans="1:19" x14ac:dyDescent="0.3">
      <c r="A1682" s="2" t="s">
        <v>204</v>
      </c>
      <c r="B1682" s="1" t="s">
        <v>436</v>
      </c>
      <c r="C1682" s="3" t="s">
        <v>72</v>
      </c>
      <c r="D1682" s="1" t="s">
        <v>528</v>
      </c>
      <c r="E1682">
        <v>30</v>
      </c>
      <c r="F1682">
        <v>5</v>
      </c>
      <c r="G1682">
        <f t="shared" si="49"/>
        <v>35</v>
      </c>
      <c r="H1682" t="s">
        <v>456</v>
      </c>
      <c r="K1682">
        <v>17.790857033118499</v>
      </c>
      <c r="L1682" t="s">
        <v>530</v>
      </c>
      <c r="M1682" t="s">
        <v>535</v>
      </c>
      <c r="Q1682" t="s">
        <v>468</v>
      </c>
      <c r="R1682" t="s">
        <v>4</v>
      </c>
      <c r="S1682" s="1" t="s">
        <v>65</v>
      </c>
    </row>
    <row r="1683" spans="1:19" x14ac:dyDescent="0.3">
      <c r="A1683" s="2" t="s">
        <v>204</v>
      </c>
      <c r="B1683" s="1" t="s">
        <v>436</v>
      </c>
      <c r="C1683" s="3" t="s">
        <v>72</v>
      </c>
      <c r="D1683" s="1" t="s">
        <v>528</v>
      </c>
      <c r="E1683">
        <v>45</v>
      </c>
      <c r="F1683">
        <v>5</v>
      </c>
      <c r="G1683">
        <f t="shared" si="49"/>
        <v>50</v>
      </c>
      <c r="H1683" t="s">
        <v>456</v>
      </c>
      <c r="K1683">
        <v>14.5413240454616</v>
      </c>
      <c r="L1683" t="s">
        <v>530</v>
      </c>
      <c r="M1683" t="s">
        <v>535</v>
      </c>
      <c r="Q1683" t="s">
        <v>468</v>
      </c>
      <c r="R1683" t="s">
        <v>4</v>
      </c>
      <c r="S1683" s="1" t="s">
        <v>65</v>
      </c>
    </row>
    <row r="1684" spans="1:19" x14ac:dyDescent="0.3">
      <c r="A1684" s="2" t="s">
        <v>204</v>
      </c>
      <c r="B1684" s="1" t="s">
        <v>436</v>
      </c>
      <c r="C1684" s="3" t="s">
        <v>72</v>
      </c>
      <c r="D1684" s="1" t="s">
        <v>528</v>
      </c>
      <c r="E1684">
        <v>60</v>
      </c>
      <c r="F1684">
        <v>5</v>
      </c>
      <c r="G1684">
        <f t="shared" si="49"/>
        <v>65</v>
      </c>
      <c r="H1684" t="s">
        <v>456</v>
      </c>
      <c r="K1684">
        <v>12.630894394106001</v>
      </c>
      <c r="L1684" t="s">
        <v>530</v>
      </c>
      <c r="M1684" t="s">
        <v>535</v>
      </c>
      <c r="Q1684" t="s">
        <v>468</v>
      </c>
      <c r="R1684" t="s">
        <v>4</v>
      </c>
      <c r="S1684" s="1" t="s">
        <v>65</v>
      </c>
    </row>
    <row r="1685" spans="1:19" x14ac:dyDescent="0.3">
      <c r="A1685" s="2" t="s">
        <v>204</v>
      </c>
      <c r="B1685" s="1" t="s">
        <v>436</v>
      </c>
      <c r="C1685" s="3" t="s">
        <v>72</v>
      </c>
      <c r="D1685" s="1" t="s">
        <v>528</v>
      </c>
      <c r="E1685">
        <v>90</v>
      </c>
      <c r="F1685">
        <v>5</v>
      </c>
      <c r="G1685">
        <f t="shared" si="49"/>
        <v>95</v>
      </c>
      <c r="H1685" t="s">
        <v>456</v>
      </c>
      <c r="K1685">
        <v>10.3397842141098</v>
      </c>
      <c r="L1685" t="s">
        <v>530</v>
      </c>
      <c r="M1685" t="s">
        <v>535</v>
      </c>
      <c r="Q1685" t="s">
        <v>468</v>
      </c>
      <c r="R1685" t="s">
        <v>4</v>
      </c>
      <c r="S1685" s="1" t="s">
        <v>65</v>
      </c>
    </row>
    <row r="1686" spans="1:19" x14ac:dyDescent="0.3">
      <c r="A1686" s="2" t="s">
        <v>204</v>
      </c>
      <c r="B1686" s="1" t="s">
        <v>436</v>
      </c>
      <c r="C1686" s="3" t="s">
        <v>72</v>
      </c>
      <c r="D1686" s="1" t="s">
        <v>528</v>
      </c>
      <c r="E1686">
        <v>120</v>
      </c>
      <c r="F1686">
        <v>5</v>
      </c>
      <c r="G1686">
        <f t="shared" si="49"/>
        <v>125</v>
      </c>
      <c r="H1686" t="s">
        <v>456</v>
      </c>
      <c r="K1686">
        <v>8.6224445259169897</v>
      </c>
      <c r="L1686" t="s">
        <v>530</v>
      </c>
      <c r="M1686" t="s">
        <v>535</v>
      </c>
      <c r="Q1686" t="s">
        <v>468</v>
      </c>
      <c r="R1686" t="s">
        <v>4</v>
      </c>
      <c r="S1686" s="1" t="s">
        <v>65</v>
      </c>
    </row>
    <row r="1687" spans="1:19" x14ac:dyDescent="0.3">
      <c r="A1687" s="2" t="s">
        <v>204</v>
      </c>
      <c r="B1687" s="1" t="s">
        <v>436</v>
      </c>
      <c r="C1687" s="3" t="s">
        <v>72</v>
      </c>
      <c r="D1687" s="1" t="s">
        <v>528</v>
      </c>
      <c r="E1687">
        <v>180</v>
      </c>
      <c r="F1687">
        <v>5</v>
      </c>
      <c r="G1687">
        <f t="shared" si="49"/>
        <v>185</v>
      </c>
      <c r="H1687" t="s">
        <v>456</v>
      </c>
      <c r="K1687">
        <v>8.4391312697497902</v>
      </c>
      <c r="L1687" t="s">
        <v>530</v>
      </c>
      <c r="M1687" t="s">
        <v>535</v>
      </c>
      <c r="Q1687" t="s">
        <v>468</v>
      </c>
      <c r="R1687" t="s">
        <v>4</v>
      </c>
      <c r="S1687" s="1" t="s">
        <v>65</v>
      </c>
    </row>
    <row r="1688" spans="1:19" x14ac:dyDescent="0.3">
      <c r="A1688" s="2" t="s">
        <v>204</v>
      </c>
      <c r="B1688" s="1" t="s">
        <v>436</v>
      </c>
      <c r="C1688" s="3" t="s">
        <v>72</v>
      </c>
      <c r="D1688" s="1" t="s">
        <v>528</v>
      </c>
      <c r="E1688">
        <v>360</v>
      </c>
      <c r="F1688">
        <v>5</v>
      </c>
      <c r="G1688">
        <f t="shared" si="49"/>
        <v>365</v>
      </c>
      <c r="H1688" t="s">
        <v>456</v>
      </c>
      <c r="K1688">
        <v>7.5069833621396604</v>
      </c>
      <c r="L1688" t="s">
        <v>530</v>
      </c>
      <c r="M1688" t="s">
        <v>535</v>
      </c>
      <c r="Q1688" t="s">
        <v>468</v>
      </c>
      <c r="R1688" t="s">
        <v>4</v>
      </c>
      <c r="S1688" s="1" t="s">
        <v>65</v>
      </c>
    </row>
    <row r="1689" spans="1:19" x14ac:dyDescent="0.3">
      <c r="A1689" s="2" t="s">
        <v>204</v>
      </c>
      <c r="B1689" s="1" t="s">
        <v>436</v>
      </c>
      <c r="C1689" s="3" t="s">
        <v>72</v>
      </c>
      <c r="D1689" s="1" t="s">
        <v>528</v>
      </c>
      <c r="E1689">
        <v>420</v>
      </c>
      <c r="F1689">
        <v>5</v>
      </c>
      <c r="G1689">
        <f t="shared" si="49"/>
        <v>425</v>
      </c>
      <c r="H1689" t="s">
        <v>456</v>
      </c>
      <c r="K1689">
        <v>7.5149269365735698</v>
      </c>
      <c r="L1689" t="s">
        <v>530</v>
      </c>
      <c r="M1689" t="s">
        <v>535</v>
      </c>
      <c r="Q1689" t="s">
        <v>468</v>
      </c>
      <c r="R1689" t="s">
        <v>4</v>
      </c>
      <c r="S1689" s="1" t="s">
        <v>65</v>
      </c>
    </row>
    <row r="1690" spans="1:19" x14ac:dyDescent="0.3">
      <c r="A1690" s="2" t="s">
        <v>204</v>
      </c>
      <c r="B1690" s="1" t="s">
        <v>436</v>
      </c>
      <c r="C1690" s="3" t="s">
        <v>72</v>
      </c>
      <c r="D1690" s="1" t="s">
        <v>528</v>
      </c>
      <c r="E1690">
        <v>460</v>
      </c>
      <c r="F1690">
        <v>5</v>
      </c>
      <c r="G1690">
        <f t="shared" si="49"/>
        <v>465</v>
      </c>
      <c r="H1690" t="s">
        <v>456</v>
      </c>
      <c r="K1690">
        <v>7.9026344733671801</v>
      </c>
      <c r="L1690" t="s">
        <v>530</v>
      </c>
      <c r="M1690" t="s">
        <v>535</v>
      </c>
      <c r="Q1690" t="s">
        <v>468</v>
      </c>
      <c r="R1690" t="s">
        <v>4</v>
      </c>
      <c r="S1690" s="1" t="s">
        <v>65</v>
      </c>
    </row>
    <row r="1691" spans="1:19" x14ac:dyDescent="0.3">
      <c r="A1691" s="2" t="s">
        <v>204</v>
      </c>
      <c r="B1691" s="1" t="s">
        <v>436</v>
      </c>
      <c r="C1691" s="3" t="s">
        <v>72</v>
      </c>
      <c r="D1691" s="1" t="s">
        <v>528</v>
      </c>
      <c r="E1691">
        <v>480</v>
      </c>
      <c r="F1691">
        <v>5</v>
      </c>
      <c r="G1691">
        <f t="shared" si="49"/>
        <v>485</v>
      </c>
      <c r="H1691" t="s">
        <v>456</v>
      </c>
      <c r="K1691">
        <v>7.9053841722096898</v>
      </c>
      <c r="L1691" t="s">
        <v>530</v>
      </c>
      <c r="M1691" t="s">
        <v>535</v>
      </c>
      <c r="Q1691" t="s">
        <v>468</v>
      </c>
      <c r="R1691" t="s">
        <v>4</v>
      </c>
      <c r="S1691" s="1" t="s">
        <v>65</v>
      </c>
    </row>
    <row r="1692" spans="1:19" x14ac:dyDescent="0.3">
      <c r="A1692" s="2" t="s">
        <v>204</v>
      </c>
      <c r="B1692" s="1" t="s">
        <v>436</v>
      </c>
      <c r="C1692" s="3" t="s">
        <v>72</v>
      </c>
      <c r="D1692" s="1" t="s">
        <v>528</v>
      </c>
      <c r="E1692">
        <v>180</v>
      </c>
      <c r="F1692">
        <f>8*60+5</f>
        <v>485</v>
      </c>
      <c r="G1692">
        <f t="shared" si="49"/>
        <v>665</v>
      </c>
      <c r="H1692" t="s">
        <v>456</v>
      </c>
      <c r="K1692">
        <v>7.9292148955114197</v>
      </c>
      <c r="L1692" t="s">
        <v>530</v>
      </c>
      <c r="M1692" t="s">
        <v>535</v>
      </c>
      <c r="Q1692" t="s">
        <v>468</v>
      </c>
      <c r="R1692" t="s">
        <v>4</v>
      </c>
      <c r="S1692" s="1" t="s">
        <v>65</v>
      </c>
    </row>
    <row r="1693" spans="1:19" x14ac:dyDescent="0.3">
      <c r="A1693" s="2" t="s">
        <v>204</v>
      </c>
      <c r="B1693" s="1" t="s">
        <v>436</v>
      </c>
      <c r="C1693" s="3" t="s">
        <v>72</v>
      </c>
      <c r="D1693" s="1" t="s">
        <v>528</v>
      </c>
      <c r="E1693">
        <v>360</v>
      </c>
      <c r="F1693">
        <f t="shared" ref="F1693:F1696" si="50">8*60+5</f>
        <v>485</v>
      </c>
      <c r="G1693">
        <f t="shared" si="49"/>
        <v>845</v>
      </c>
      <c r="H1693" t="s">
        <v>456</v>
      </c>
      <c r="K1693">
        <v>7.57053195761093</v>
      </c>
      <c r="L1693" t="s">
        <v>530</v>
      </c>
      <c r="M1693" t="s">
        <v>535</v>
      </c>
      <c r="Q1693" t="s">
        <v>468</v>
      </c>
      <c r="R1693" t="s">
        <v>4</v>
      </c>
      <c r="S1693" s="1" t="s">
        <v>65</v>
      </c>
    </row>
    <row r="1694" spans="1:19" x14ac:dyDescent="0.3">
      <c r="A1694" s="2" t="s">
        <v>204</v>
      </c>
      <c r="B1694" s="1" t="s">
        <v>436</v>
      </c>
      <c r="C1694" s="3" t="s">
        <v>72</v>
      </c>
      <c r="D1694" s="1" t="s">
        <v>528</v>
      </c>
      <c r="E1694">
        <v>420</v>
      </c>
      <c r="F1694">
        <f t="shared" si="50"/>
        <v>485</v>
      </c>
      <c r="G1694">
        <f t="shared" si="49"/>
        <v>905</v>
      </c>
      <c r="H1694" t="s">
        <v>456</v>
      </c>
      <c r="K1694">
        <v>7.9612947153406699</v>
      </c>
      <c r="L1694" t="s">
        <v>530</v>
      </c>
      <c r="M1694" t="s">
        <v>535</v>
      </c>
      <c r="Q1694" t="s">
        <v>468</v>
      </c>
      <c r="R1694" t="s">
        <v>4</v>
      </c>
      <c r="S1694" s="1" t="s">
        <v>65</v>
      </c>
    </row>
    <row r="1695" spans="1:19" x14ac:dyDescent="0.3">
      <c r="A1695" s="2" t="s">
        <v>204</v>
      </c>
      <c r="B1695" s="1" t="s">
        <v>436</v>
      </c>
      <c r="C1695" s="3" t="s">
        <v>72</v>
      </c>
      <c r="D1695" s="1" t="s">
        <v>528</v>
      </c>
      <c r="E1695">
        <v>460</v>
      </c>
      <c r="F1695">
        <f t="shared" si="50"/>
        <v>485</v>
      </c>
      <c r="G1695">
        <f t="shared" si="49"/>
        <v>945</v>
      </c>
      <c r="H1695" t="s">
        <v>456</v>
      </c>
      <c r="K1695">
        <v>7.7752317603309899</v>
      </c>
      <c r="L1695" t="s">
        <v>530</v>
      </c>
      <c r="M1695" t="s">
        <v>535</v>
      </c>
      <c r="Q1695" t="s">
        <v>468</v>
      </c>
      <c r="R1695" t="s">
        <v>4</v>
      </c>
      <c r="S1695" s="1" t="s">
        <v>65</v>
      </c>
    </row>
    <row r="1696" spans="1:19" x14ac:dyDescent="0.3">
      <c r="A1696" s="2" t="s">
        <v>204</v>
      </c>
      <c r="B1696" s="1" t="s">
        <v>436</v>
      </c>
      <c r="C1696" s="3" t="s">
        <v>72</v>
      </c>
      <c r="D1696" s="1" t="s">
        <v>528</v>
      </c>
      <c r="E1696">
        <v>480</v>
      </c>
      <c r="F1696">
        <f t="shared" si="50"/>
        <v>485</v>
      </c>
      <c r="G1696">
        <f t="shared" si="49"/>
        <v>965</v>
      </c>
      <c r="H1696" t="s">
        <v>456</v>
      </c>
      <c r="K1696">
        <v>7.5867246285724201</v>
      </c>
      <c r="L1696" t="s">
        <v>530</v>
      </c>
      <c r="M1696" t="s">
        <v>535</v>
      </c>
      <c r="Q1696" t="s">
        <v>468</v>
      </c>
      <c r="R1696" t="s">
        <v>4</v>
      </c>
      <c r="S1696" s="1" t="s">
        <v>65</v>
      </c>
    </row>
    <row r="1697" spans="1:19" x14ac:dyDescent="0.3">
      <c r="A1697" s="2" t="s">
        <v>204</v>
      </c>
      <c r="B1697" s="1" t="s">
        <v>436</v>
      </c>
      <c r="C1697" s="3" t="s">
        <v>72</v>
      </c>
      <c r="D1697" s="1" t="s">
        <v>528</v>
      </c>
      <c r="E1697">
        <v>180</v>
      </c>
      <c r="F1697">
        <f>16*60+5</f>
        <v>965</v>
      </c>
      <c r="G1697">
        <f t="shared" si="49"/>
        <v>1145</v>
      </c>
      <c r="H1697" t="s">
        <v>456</v>
      </c>
      <c r="K1697">
        <v>7.4192985212730402</v>
      </c>
      <c r="L1697" t="s">
        <v>530</v>
      </c>
      <c r="M1697" t="s">
        <v>535</v>
      </c>
      <c r="Q1697" t="s">
        <v>468</v>
      </c>
      <c r="R1697" t="s">
        <v>4</v>
      </c>
      <c r="S1697" s="1" t="s">
        <v>65</v>
      </c>
    </row>
    <row r="1698" spans="1:19" x14ac:dyDescent="0.3">
      <c r="A1698" s="2" t="s">
        <v>204</v>
      </c>
      <c r="B1698" s="1" t="s">
        <v>436</v>
      </c>
      <c r="C1698" s="3" t="s">
        <v>72</v>
      </c>
      <c r="D1698" s="1" t="s">
        <v>528</v>
      </c>
      <c r="E1698">
        <v>360</v>
      </c>
      <c r="F1698">
        <f t="shared" ref="F1698:F1701" si="51">16*60+5</f>
        <v>965</v>
      </c>
      <c r="G1698">
        <f t="shared" si="49"/>
        <v>1325</v>
      </c>
      <c r="H1698" t="s">
        <v>456</v>
      </c>
      <c r="K1698">
        <v>7.2521779360672802</v>
      </c>
      <c r="L1698" t="s">
        <v>530</v>
      </c>
      <c r="M1698" t="s">
        <v>535</v>
      </c>
      <c r="Q1698" t="s">
        <v>468</v>
      </c>
      <c r="R1698" t="s">
        <v>4</v>
      </c>
      <c r="S1698" s="1" t="s">
        <v>65</v>
      </c>
    </row>
    <row r="1699" spans="1:19" x14ac:dyDescent="0.3">
      <c r="A1699" s="2" t="s">
        <v>204</v>
      </c>
      <c r="B1699" s="1" t="s">
        <v>436</v>
      </c>
      <c r="C1699" s="3" t="s">
        <v>72</v>
      </c>
      <c r="D1699" s="1" t="s">
        <v>528</v>
      </c>
      <c r="E1699">
        <v>420</v>
      </c>
      <c r="F1699">
        <f t="shared" si="51"/>
        <v>965</v>
      </c>
      <c r="G1699">
        <f t="shared" si="49"/>
        <v>1385</v>
      </c>
      <c r="H1699" t="s">
        <v>456</v>
      </c>
      <c r="K1699">
        <v>7.2601215105011896</v>
      </c>
      <c r="L1699" t="s">
        <v>530</v>
      </c>
      <c r="M1699" t="s">
        <v>535</v>
      </c>
      <c r="Q1699" t="s">
        <v>468</v>
      </c>
      <c r="R1699" t="s">
        <v>4</v>
      </c>
      <c r="S1699" s="1" t="s">
        <v>65</v>
      </c>
    </row>
    <row r="1700" spans="1:19" x14ac:dyDescent="0.3">
      <c r="A1700" s="2" t="s">
        <v>204</v>
      </c>
      <c r="B1700" s="1" t="s">
        <v>436</v>
      </c>
      <c r="C1700" s="3" t="s">
        <v>72</v>
      </c>
      <c r="D1700" s="1" t="s">
        <v>528</v>
      </c>
      <c r="E1700">
        <v>460</v>
      </c>
      <c r="F1700">
        <f t="shared" si="51"/>
        <v>965</v>
      </c>
      <c r="G1700">
        <f t="shared" si="49"/>
        <v>1425</v>
      </c>
      <c r="H1700" t="s">
        <v>456</v>
      </c>
      <c r="K1700">
        <v>6.6915448942893301</v>
      </c>
      <c r="L1700" t="s">
        <v>530</v>
      </c>
      <c r="M1700" t="s">
        <v>535</v>
      </c>
      <c r="Q1700" t="s">
        <v>468</v>
      </c>
      <c r="R1700" t="s">
        <v>4</v>
      </c>
      <c r="S1700" s="1" t="s">
        <v>65</v>
      </c>
    </row>
    <row r="1701" spans="1:19" x14ac:dyDescent="0.3">
      <c r="A1701" s="2" t="s">
        <v>204</v>
      </c>
      <c r="B1701" s="1" t="s">
        <v>436</v>
      </c>
      <c r="C1701" s="3" t="s">
        <v>72</v>
      </c>
      <c r="D1701" s="1" t="s">
        <v>528</v>
      </c>
      <c r="E1701">
        <v>480</v>
      </c>
      <c r="F1701">
        <f t="shared" si="51"/>
        <v>965</v>
      </c>
      <c r="G1701">
        <f t="shared" si="49"/>
        <v>1445</v>
      </c>
      <c r="H1701" t="s">
        <v>456</v>
      </c>
      <c r="K1701">
        <v>7.0765027322404102</v>
      </c>
      <c r="L1701" t="s">
        <v>530</v>
      </c>
      <c r="M1701" t="s">
        <v>535</v>
      </c>
      <c r="Q1701" t="s">
        <v>468</v>
      </c>
      <c r="R1701" t="s">
        <v>4</v>
      </c>
      <c r="S1701" s="1" t="s">
        <v>65</v>
      </c>
    </row>
    <row r="1702" spans="1:19" x14ac:dyDescent="0.3">
      <c r="A1702" s="2" t="s">
        <v>205</v>
      </c>
      <c r="B1702" s="1" t="s">
        <v>432</v>
      </c>
      <c r="C1702" s="3" t="s">
        <v>72</v>
      </c>
      <c r="D1702" s="1" t="s">
        <v>528</v>
      </c>
      <c r="E1702">
        <v>7.5</v>
      </c>
      <c r="F1702">
        <v>0</v>
      </c>
      <c r="G1702">
        <f>(F1702+E1702)</f>
        <v>7.5</v>
      </c>
      <c r="H1702" t="s">
        <v>456</v>
      </c>
      <c r="K1702">
        <v>11.574735333795701</v>
      </c>
      <c r="L1702" t="s">
        <v>530</v>
      </c>
      <c r="M1702" t="s">
        <v>535</v>
      </c>
      <c r="Q1702" t="s">
        <v>468</v>
      </c>
      <c r="R1702" t="s">
        <v>4</v>
      </c>
      <c r="S1702" s="1" t="s">
        <v>65</v>
      </c>
    </row>
    <row r="1703" spans="1:19" x14ac:dyDescent="0.3">
      <c r="A1703" s="2" t="s">
        <v>205</v>
      </c>
      <c r="B1703" s="1" t="s">
        <v>432</v>
      </c>
      <c r="C1703" s="3" t="s">
        <v>72</v>
      </c>
      <c r="D1703" s="1" t="s">
        <v>528</v>
      </c>
      <c r="E1703">
        <v>15</v>
      </c>
      <c r="F1703">
        <v>0</v>
      </c>
      <c r="G1703">
        <f t="shared" ref="G1703:G1740" si="52">(F1703+E1703)</f>
        <v>15</v>
      </c>
      <c r="H1703" t="s">
        <v>456</v>
      </c>
      <c r="K1703">
        <v>20.9159851527785</v>
      </c>
      <c r="L1703" t="s">
        <v>530</v>
      </c>
      <c r="M1703" t="s">
        <v>535</v>
      </c>
      <c r="Q1703" t="s">
        <v>468</v>
      </c>
      <c r="R1703" t="s">
        <v>4</v>
      </c>
      <c r="S1703" s="1" t="s">
        <v>65</v>
      </c>
    </row>
    <row r="1704" spans="1:19" x14ac:dyDescent="0.3">
      <c r="A1704" s="2" t="s">
        <v>205</v>
      </c>
      <c r="B1704" s="1" t="s">
        <v>432</v>
      </c>
      <c r="C1704" s="3" t="s">
        <v>72</v>
      </c>
      <c r="D1704" s="1" t="s">
        <v>528</v>
      </c>
      <c r="E1704">
        <v>22.5</v>
      </c>
      <c r="F1704">
        <v>0</v>
      </c>
      <c r="G1704">
        <f t="shared" si="52"/>
        <v>22.5</v>
      </c>
      <c r="H1704" t="s">
        <v>456</v>
      </c>
      <c r="K1704">
        <v>25.3838707956373</v>
      </c>
      <c r="L1704" t="s">
        <v>530</v>
      </c>
      <c r="M1704" t="s">
        <v>535</v>
      </c>
      <c r="Q1704" t="s">
        <v>468</v>
      </c>
      <c r="R1704" t="s">
        <v>4</v>
      </c>
      <c r="S1704" s="1" t="s">
        <v>65</v>
      </c>
    </row>
    <row r="1705" spans="1:19" x14ac:dyDescent="0.3">
      <c r="A1705" s="2" t="s">
        <v>205</v>
      </c>
      <c r="B1705" s="1" t="s">
        <v>432</v>
      </c>
      <c r="C1705" s="3" t="s">
        <v>72</v>
      </c>
      <c r="D1705" s="1" t="s">
        <v>528</v>
      </c>
      <c r="E1705">
        <v>30</v>
      </c>
      <c r="F1705">
        <v>0</v>
      </c>
      <c r="G1705">
        <f t="shared" si="52"/>
        <v>30</v>
      </c>
      <c r="H1705" t="s">
        <v>456</v>
      </c>
      <c r="K1705">
        <v>31.070326135835298</v>
      </c>
      <c r="L1705" t="s">
        <v>530</v>
      </c>
      <c r="M1705" t="s">
        <v>535</v>
      </c>
      <c r="Q1705" t="s">
        <v>468</v>
      </c>
      <c r="R1705" t="s">
        <v>4</v>
      </c>
      <c r="S1705" s="1" t="s">
        <v>65</v>
      </c>
    </row>
    <row r="1706" spans="1:19" x14ac:dyDescent="0.3">
      <c r="A1706" s="2" t="s">
        <v>205</v>
      </c>
      <c r="B1706" s="1" t="s">
        <v>432</v>
      </c>
      <c r="C1706" s="3" t="s">
        <v>72</v>
      </c>
      <c r="D1706" s="1" t="s">
        <v>528</v>
      </c>
      <c r="E1706">
        <v>35</v>
      </c>
      <c r="F1706">
        <v>0</v>
      </c>
      <c r="G1706">
        <f t="shared" si="52"/>
        <v>35</v>
      </c>
      <c r="H1706" t="s">
        <v>456</v>
      </c>
      <c r="K1706">
        <v>26.603964848364701</v>
      </c>
      <c r="L1706" t="s">
        <v>530</v>
      </c>
      <c r="M1706" t="s">
        <v>535</v>
      </c>
      <c r="Q1706" t="s">
        <v>468</v>
      </c>
      <c r="R1706" t="s">
        <v>4</v>
      </c>
      <c r="S1706" s="1" t="s">
        <v>65</v>
      </c>
    </row>
    <row r="1707" spans="1:19" x14ac:dyDescent="0.3">
      <c r="A1707" s="2" t="s">
        <v>205</v>
      </c>
      <c r="B1707" s="1" t="s">
        <v>432</v>
      </c>
      <c r="C1707" s="3" t="s">
        <v>72</v>
      </c>
      <c r="D1707" s="1" t="s">
        <v>528</v>
      </c>
      <c r="E1707">
        <v>40</v>
      </c>
      <c r="F1707">
        <v>0</v>
      </c>
      <c r="G1707">
        <f t="shared" si="52"/>
        <v>40</v>
      </c>
      <c r="H1707" t="s">
        <v>456</v>
      </c>
      <c r="K1707">
        <v>21.528776018841</v>
      </c>
      <c r="L1707" t="s">
        <v>530</v>
      </c>
      <c r="M1707" t="s">
        <v>535</v>
      </c>
      <c r="Q1707" t="s">
        <v>468</v>
      </c>
      <c r="R1707" t="s">
        <v>4</v>
      </c>
      <c r="S1707" s="1" t="s">
        <v>65</v>
      </c>
    </row>
    <row r="1708" spans="1:19" x14ac:dyDescent="0.3">
      <c r="A1708" s="2" t="s">
        <v>205</v>
      </c>
      <c r="B1708" s="1" t="s">
        <v>432</v>
      </c>
      <c r="C1708" s="3" t="s">
        <v>72</v>
      </c>
      <c r="D1708" s="1" t="s">
        <v>528</v>
      </c>
      <c r="E1708">
        <v>45</v>
      </c>
      <c r="F1708">
        <v>0</v>
      </c>
      <c r="G1708">
        <f t="shared" si="52"/>
        <v>45</v>
      </c>
      <c r="H1708" t="s">
        <v>456</v>
      </c>
      <c r="K1708">
        <v>19.0928561084731</v>
      </c>
      <c r="L1708" t="s">
        <v>530</v>
      </c>
      <c r="M1708" t="s">
        <v>535</v>
      </c>
      <c r="Q1708" t="s">
        <v>468</v>
      </c>
      <c r="R1708" t="s">
        <v>4</v>
      </c>
      <c r="S1708" s="1" t="s">
        <v>65</v>
      </c>
    </row>
    <row r="1709" spans="1:19" x14ac:dyDescent="0.3">
      <c r="A1709" s="2" t="s">
        <v>205</v>
      </c>
      <c r="B1709" s="1" t="s">
        <v>432</v>
      </c>
      <c r="C1709" s="3" t="s">
        <v>72</v>
      </c>
      <c r="D1709" s="1" t="s">
        <v>528</v>
      </c>
      <c r="E1709">
        <v>60</v>
      </c>
      <c r="F1709">
        <v>0</v>
      </c>
      <c r="G1709">
        <f t="shared" si="52"/>
        <v>60</v>
      </c>
      <c r="H1709" t="s">
        <v>456</v>
      </c>
      <c r="K1709">
        <v>14.4249750386805</v>
      </c>
      <c r="L1709" t="s">
        <v>530</v>
      </c>
      <c r="M1709" t="s">
        <v>535</v>
      </c>
      <c r="Q1709" t="s">
        <v>468</v>
      </c>
      <c r="R1709" t="s">
        <v>4</v>
      </c>
      <c r="S1709" s="1" t="s">
        <v>65</v>
      </c>
    </row>
    <row r="1710" spans="1:19" x14ac:dyDescent="0.3">
      <c r="A1710" s="2" t="s">
        <v>205</v>
      </c>
      <c r="B1710" s="1" t="s">
        <v>432</v>
      </c>
      <c r="C1710" s="3" t="s">
        <v>72</v>
      </c>
      <c r="D1710" s="1" t="s">
        <v>528</v>
      </c>
      <c r="E1710">
        <v>75</v>
      </c>
      <c r="F1710">
        <v>0</v>
      </c>
      <c r="G1710">
        <f t="shared" si="52"/>
        <v>75</v>
      </c>
      <c r="H1710" t="s">
        <v>456</v>
      </c>
      <c r="K1710">
        <v>11.584186337202601</v>
      </c>
      <c r="L1710" t="s">
        <v>530</v>
      </c>
      <c r="M1710" t="s">
        <v>535</v>
      </c>
      <c r="Q1710" t="s">
        <v>468</v>
      </c>
      <c r="R1710" t="s">
        <v>4</v>
      </c>
      <c r="S1710" s="1" t="s">
        <v>65</v>
      </c>
    </row>
    <row r="1711" spans="1:19" x14ac:dyDescent="0.3">
      <c r="A1711" s="2" t="s">
        <v>205</v>
      </c>
      <c r="B1711" s="1" t="s">
        <v>432</v>
      </c>
      <c r="C1711" s="3" t="s">
        <v>72</v>
      </c>
      <c r="D1711" s="1" t="s">
        <v>528</v>
      </c>
      <c r="E1711">
        <v>90</v>
      </c>
      <c r="F1711">
        <v>0</v>
      </c>
      <c r="G1711">
        <f t="shared" si="52"/>
        <v>90</v>
      </c>
      <c r="H1711" t="s">
        <v>456</v>
      </c>
      <c r="K1711">
        <v>8.5406583690921902</v>
      </c>
      <c r="L1711" t="s">
        <v>530</v>
      </c>
      <c r="M1711" t="s">
        <v>535</v>
      </c>
      <c r="Q1711" t="s">
        <v>468</v>
      </c>
      <c r="R1711" t="s">
        <v>4</v>
      </c>
      <c r="S1711" s="1" t="s">
        <v>65</v>
      </c>
    </row>
    <row r="1712" spans="1:19" x14ac:dyDescent="0.3">
      <c r="A1712" s="2" t="s">
        <v>205</v>
      </c>
      <c r="B1712" s="1" t="s">
        <v>432</v>
      </c>
      <c r="C1712" s="3" t="s">
        <v>72</v>
      </c>
      <c r="D1712" s="1" t="s">
        <v>528</v>
      </c>
      <c r="E1712">
        <v>120</v>
      </c>
      <c r="F1712">
        <v>0</v>
      </c>
      <c r="G1712">
        <f t="shared" si="52"/>
        <v>120</v>
      </c>
      <c r="H1712" t="s">
        <v>456</v>
      </c>
      <c r="K1712">
        <v>4.4843486810515101</v>
      </c>
      <c r="L1712" t="s">
        <v>530</v>
      </c>
      <c r="M1712" t="s">
        <v>535</v>
      </c>
      <c r="Q1712" t="s">
        <v>468</v>
      </c>
      <c r="R1712" t="s">
        <v>4</v>
      </c>
      <c r="S1712" s="1" t="s">
        <v>65</v>
      </c>
    </row>
    <row r="1713" spans="1:19" x14ac:dyDescent="0.3">
      <c r="A1713" s="2" t="s">
        <v>205</v>
      </c>
      <c r="B1713" s="1" t="s">
        <v>432</v>
      </c>
      <c r="C1713" s="3" t="s">
        <v>72</v>
      </c>
      <c r="D1713" s="1" t="s">
        <v>528</v>
      </c>
      <c r="E1713">
        <v>150</v>
      </c>
      <c r="F1713">
        <v>0</v>
      </c>
      <c r="G1713">
        <f t="shared" si="52"/>
        <v>150</v>
      </c>
      <c r="H1713" t="s">
        <v>456</v>
      </c>
      <c r="K1713">
        <v>3.4733961875871699</v>
      </c>
      <c r="L1713" t="s">
        <v>530</v>
      </c>
      <c r="M1713" t="s">
        <v>535</v>
      </c>
      <c r="Q1713" t="s">
        <v>468</v>
      </c>
      <c r="R1713" t="s">
        <v>4</v>
      </c>
      <c r="S1713" s="1" t="s">
        <v>65</v>
      </c>
    </row>
    <row r="1714" spans="1:19" x14ac:dyDescent="0.3">
      <c r="A1714" s="2" t="s">
        <v>205</v>
      </c>
      <c r="B1714" s="1" t="s">
        <v>432</v>
      </c>
      <c r="C1714" s="3" t="s">
        <v>72</v>
      </c>
      <c r="D1714" s="1" t="s">
        <v>528</v>
      </c>
      <c r="E1714">
        <v>180</v>
      </c>
      <c r="F1714">
        <v>0</v>
      </c>
      <c r="G1714">
        <f t="shared" si="52"/>
        <v>180</v>
      </c>
      <c r="H1714" t="s">
        <v>456</v>
      </c>
      <c r="K1714">
        <v>1.8530064099144099</v>
      </c>
      <c r="L1714" t="s">
        <v>530</v>
      </c>
      <c r="M1714" t="s">
        <v>535</v>
      </c>
      <c r="Q1714" t="s">
        <v>468</v>
      </c>
      <c r="R1714" t="s">
        <v>4</v>
      </c>
      <c r="S1714" s="1" t="s">
        <v>65</v>
      </c>
    </row>
    <row r="1715" spans="1:19" x14ac:dyDescent="0.3">
      <c r="A1715" s="2" t="s">
        <v>205</v>
      </c>
      <c r="B1715" s="1" t="s">
        <v>432</v>
      </c>
      <c r="C1715" s="3" t="s">
        <v>72</v>
      </c>
      <c r="D1715" s="1" t="s">
        <v>528</v>
      </c>
      <c r="E1715">
        <v>240</v>
      </c>
      <c r="F1715">
        <v>0</v>
      </c>
      <c r="G1715">
        <f t="shared" si="52"/>
        <v>240</v>
      </c>
      <c r="H1715" t="s">
        <v>456</v>
      </c>
      <c r="K1715">
        <v>0.84632211153710502</v>
      </c>
      <c r="L1715" t="s">
        <v>530</v>
      </c>
      <c r="M1715" t="s">
        <v>535</v>
      </c>
      <c r="Q1715" t="s">
        <v>468</v>
      </c>
      <c r="R1715" t="s">
        <v>4</v>
      </c>
      <c r="S1715" s="1" t="s">
        <v>65</v>
      </c>
    </row>
    <row r="1716" spans="1:19" x14ac:dyDescent="0.3">
      <c r="A1716" s="2" t="s">
        <v>205</v>
      </c>
      <c r="B1716" s="1" t="s">
        <v>432</v>
      </c>
      <c r="C1716" s="3" t="s">
        <v>72</v>
      </c>
      <c r="D1716" s="1" t="s">
        <v>528</v>
      </c>
      <c r="E1716">
        <v>360</v>
      </c>
      <c r="F1716">
        <v>0</v>
      </c>
      <c r="G1716">
        <f t="shared" si="52"/>
        <v>360</v>
      </c>
      <c r="H1716" t="s">
        <v>456</v>
      </c>
      <c r="K1716">
        <v>5.0913469966417303E-2</v>
      </c>
      <c r="L1716" t="s">
        <v>530</v>
      </c>
      <c r="M1716" t="s">
        <v>535</v>
      </c>
      <c r="Q1716" t="s">
        <v>468</v>
      </c>
      <c r="R1716" t="s">
        <v>4</v>
      </c>
      <c r="S1716" s="1" t="s">
        <v>65</v>
      </c>
    </row>
    <row r="1717" spans="1:19" x14ac:dyDescent="0.3">
      <c r="A1717" s="2" t="s">
        <v>205</v>
      </c>
      <c r="B1717" s="1" t="s">
        <v>432</v>
      </c>
      <c r="C1717" s="3" t="s">
        <v>72</v>
      </c>
      <c r="D1717" s="1" t="s">
        <v>528</v>
      </c>
      <c r="E1717">
        <v>470</v>
      </c>
      <c r="F1717">
        <v>0</v>
      </c>
      <c r="G1717">
        <f t="shared" si="52"/>
        <v>470</v>
      </c>
      <c r="H1717" t="s">
        <v>456</v>
      </c>
      <c r="K1717">
        <v>6.6461894926220497E-2</v>
      </c>
      <c r="L1717" t="s">
        <v>530</v>
      </c>
      <c r="M1717" t="s">
        <v>535</v>
      </c>
      <c r="Q1717" t="s">
        <v>468</v>
      </c>
      <c r="R1717" t="s">
        <v>4</v>
      </c>
      <c r="S1717" s="1" t="s">
        <v>65</v>
      </c>
    </row>
    <row r="1718" spans="1:19" x14ac:dyDescent="0.3">
      <c r="A1718" s="2" t="s">
        <v>205</v>
      </c>
      <c r="B1718" s="1" t="s">
        <v>432</v>
      </c>
      <c r="C1718" s="3" t="s">
        <v>72</v>
      </c>
      <c r="D1718" s="1" t="s">
        <v>528</v>
      </c>
      <c r="E1718">
        <v>480</v>
      </c>
      <c r="F1718">
        <v>0</v>
      </c>
      <c r="G1718">
        <f t="shared" si="52"/>
        <v>480</v>
      </c>
      <c r="H1718" t="s">
        <v>456</v>
      </c>
      <c r="K1718">
        <v>6.7986250314433505E-2</v>
      </c>
      <c r="L1718" t="s">
        <v>530</v>
      </c>
      <c r="M1718" t="s">
        <v>535</v>
      </c>
      <c r="Q1718" t="s">
        <v>468</v>
      </c>
      <c r="R1718" t="s">
        <v>4</v>
      </c>
      <c r="S1718" s="1" t="s">
        <v>65</v>
      </c>
    </row>
    <row r="1719" spans="1:19" x14ac:dyDescent="0.3">
      <c r="A1719" s="2" t="s">
        <v>205</v>
      </c>
      <c r="B1719" s="1" t="s">
        <v>432</v>
      </c>
      <c r="C1719" s="3" t="s">
        <v>72</v>
      </c>
      <c r="D1719" s="1" t="s">
        <v>528</v>
      </c>
      <c r="E1719">
        <v>30</v>
      </c>
      <c r="F1719">
        <v>480</v>
      </c>
      <c r="G1719">
        <f t="shared" si="52"/>
        <v>510</v>
      </c>
      <c r="H1719" t="s">
        <v>456</v>
      </c>
      <c r="K1719">
        <v>34.183364709648401</v>
      </c>
      <c r="L1719" t="s">
        <v>530</v>
      </c>
      <c r="M1719" t="s">
        <v>535</v>
      </c>
      <c r="Q1719" t="s">
        <v>468</v>
      </c>
      <c r="R1719" t="s">
        <v>4</v>
      </c>
      <c r="S1719" s="1" t="s">
        <v>65</v>
      </c>
    </row>
    <row r="1720" spans="1:19" x14ac:dyDescent="0.3">
      <c r="A1720" s="2" t="s">
        <v>205</v>
      </c>
      <c r="B1720" s="1" t="s">
        <v>432</v>
      </c>
      <c r="C1720" s="3" t="s">
        <v>72</v>
      </c>
      <c r="D1720" s="1" t="s">
        <v>528</v>
      </c>
      <c r="E1720">
        <v>60</v>
      </c>
      <c r="F1720">
        <v>480</v>
      </c>
      <c r="G1720">
        <f t="shared" si="52"/>
        <v>540</v>
      </c>
      <c r="H1720" t="s">
        <v>456</v>
      </c>
      <c r="K1720">
        <v>15.7106163731012</v>
      </c>
      <c r="L1720" t="s">
        <v>530</v>
      </c>
      <c r="M1720" t="s">
        <v>535</v>
      </c>
      <c r="Q1720" t="s">
        <v>468</v>
      </c>
      <c r="R1720" t="s">
        <v>4</v>
      </c>
      <c r="S1720" s="1" t="s">
        <v>65</v>
      </c>
    </row>
    <row r="1721" spans="1:19" x14ac:dyDescent="0.3">
      <c r="A1721" s="2" t="s">
        <v>205</v>
      </c>
      <c r="B1721" s="1" t="s">
        <v>432</v>
      </c>
      <c r="C1721" s="3" t="s">
        <v>72</v>
      </c>
      <c r="D1721" s="1" t="s">
        <v>528</v>
      </c>
      <c r="E1721">
        <v>120</v>
      </c>
      <c r="F1721">
        <v>480</v>
      </c>
      <c r="G1721">
        <f t="shared" si="52"/>
        <v>600</v>
      </c>
      <c r="H1721" t="s">
        <v>456</v>
      </c>
      <c r="K1721">
        <v>5.5666410066843</v>
      </c>
      <c r="L1721" t="s">
        <v>530</v>
      </c>
      <c r="M1721" t="s">
        <v>535</v>
      </c>
      <c r="Q1721" t="s">
        <v>468</v>
      </c>
      <c r="R1721" t="s">
        <v>4</v>
      </c>
      <c r="S1721" s="1" t="s">
        <v>65</v>
      </c>
    </row>
    <row r="1722" spans="1:19" x14ac:dyDescent="0.3">
      <c r="A1722" s="2" t="s">
        <v>205</v>
      </c>
      <c r="B1722" s="1" t="s">
        <v>432</v>
      </c>
      <c r="C1722" s="3" t="s">
        <v>72</v>
      </c>
      <c r="D1722" s="1" t="s">
        <v>528</v>
      </c>
      <c r="E1722">
        <v>180</v>
      </c>
      <c r="F1722">
        <v>480</v>
      </c>
      <c r="G1722">
        <f t="shared" si="52"/>
        <v>660</v>
      </c>
      <c r="H1722" t="s">
        <v>456</v>
      </c>
      <c r="K1722">
        <v>2.7325594689145798</v>
      </c>
      <c r="L1722" t="s">
        <v>530</v>
      </c>
      <c r="M1722" t="s">
        <v>535</v>
      </c>
      <c r="Q1722" t="s">
        <v>468</v>
      </c>
      <c r="R1722" t="s">
        <v>4</v>
      </c>
      <c r="S1722" s="1" t="s">
        <v>65</v>
      </c>
    </row>
    <row r="1723" spans="1:19" x14ac:dyDescent="0.3">
      <c r="A1723" s="2" t="s">
        <v>205</v>
      </c>
      <c r="B1723" s="1" t="s">
        <v>432</v>
      </c>
      <c r="C1723" s="3" t="s">
        <v>72</v>
      </c>
      <c r="D1723" s="1" t="s">
        <v>528</v>
      </c>
      <c r="E1723">
        <v>360</v>
      </c>
      <c r="F1723">
        <v>480</v>
      </c>
      <c r="G1723">
        <f t="shared" si="52"/>
        <v>840</v>
      </c>
      <c r="H1723" t="s">
        <v>456</v>
      </c>
      <c r="K1723">
        <v>0.32163898691342702</v>
      </c>
      <c r="L1723" t="s">
        <v>530</v>
      </c>
      <c r="M1723" t="s">
        <v>535</v>
      </c>
      <c r="Q1723" t="s">
        <v>468</v>
      </c>
      <c r="R1723" t="s">
        <v>4</v>
      </c>
      <c r="S1723" s="1" t="s">
        <v>65</v>
      </c>
    </row>
    <row r="1724" spans="1:19" x14ac:dyDescent="0.3">
      <c r="A1724" s="2" t="s">
        <v>205</v>
      </c>
      <c r="B1724" s="1" t="s">
        <v>432</v>
      </c>
      <c r="C1724" s="3" t="s">
        <v>72</v>
      </c>
      <c r="D1724" s="1" t="s">
        <v>528</v>
      </c>
      <c r="E1724">
        <v>7.5</v>
      </c>
      <c r="F1724">
        <v>960</v>
      </c>
      <c r="G1724">
        <f t="shared" si="52"/>
        <v>967.5</v>
      </c>
      <c r="H1724" t="s">
        <v>456</v>
      </c>
      <c r="K1724">
        <v>14.1463228737147</v>
      </c>
      <c r="L1724" t="s">
        <v>530</v>
      </c>
      <c r="M1724" t="s">
        <v>535</v>
      </c>
      <c r="Q1724" t="s">
        <v>468</v>
      </c>
      <c r="R1724" t="s">
        <v>4</v>
      </c>
      <c r="S1724" s="1" t="s">
        <v>65</v>
      </c>
    </row>
    <row r="1725" spans="1:19" x14ac:dyDescent="0.3">
      <c r="A1725" s="2" t="s">
        <v>205</v>
      </c>
      <c r="B1725" s="1" t="s">
        <v>432</v>
      </c>
      <c r="C1725" s="3" t="s">
        <v>72</v>
      </c>
      <c r="D1725" s="1" t="s">
        <v>528</v>
      </c>
      <c r="E1725">
        <v>15</v>
      </c>
      <c r="F1725">
        <v>960</v>
      </c>
      <c r="G1725">
        <f t="shared" si="52"/>
        <v>975</v>
      </c>
      <c r="H1725" t="s">
        <v>456</v>
      </c>
      <c r="K1725">
        <v>22.472352004146199</v>
      </c>
      <c r="L1725" t="s">
        <v>530</v>
      </c>
      <c r="M1725" t="s">
        <v>535</v>
      </c>
      <c r="Q1725" t="s">
        <v>468</v>
      </c>
      <c r="R1725" t="s">
        <v>4</v>
      </c>
      <c r="S1725" s="1" t="s">
        <v>65</v>
      </c>
    </row>
    <row r="1726" spans="1:19" x14ac:dyDescent="0.3">
      <c r="A1726" s="2" t="s">
        <v>205</v>
      </c>
      <c r="B1726" s="1" t="s">
        <v>432</v>
      </c>
      <c r="C1726" s="3" t="s">
        <v>72</v>
      </c>
      <c r="D1726" s="1" t="s">
        <v>528</v>
      </c>
      <c r="E1726">
        <v>22.5</v>
      </c>
      <c r="F1726">
        <v>960</v>
      </c>
      <c r="G1726">
        <f t="shared" si="52"/>
        <v>982.5</v>
      </c>
      <c r="H1726" t="s">
        <v>456</v>
      </c>
      <c r="K1726">
        <v>30.7980762635001</v>
      </c>
      <c r="L1726" t="s">
        <v>530</v>
      </c>
      <c r="M1726" t="s">
        <v>535</v>
      </c>
      <c r="Q1726" t="s">
        <v>468</v>
      </c>
      <c r="R1726" t="s">
        <v>4</v>
      </c>
      <c r="S1726" s="1" t="s">
        <v>65</v>
      </c>
    </row>
    <row r="1727" spans="1:19" x14ac:dyDescent="0.3">
      <c r="A1727" s="2" t="s">
        <v>205</v>
      </c>
      <c r="B1727" s="1" t="s">
        <v>432</v>
      </c>
      <c r="C1727" s="3" t="s">
        <v>72</v>
      </c>
      <c r="D1727" s="1" t="s">
        <v>528</v>
      </c>
      <c r="E1727">
        <v>30</v>
      </c>
      <c r="F1727">
        <v>960</v>
      </c>
      <c r="G1727">
        <f t="shared" si="52"/>
        <v>990</v>
      </c>
      <c r="H1727" t="s">
        <v>456</v>
      </c>
      <c r="K1727">
        <v>31.205384023231201</v>
      </c>
      <c r="L1727" t="s">
        <v>530</v>
      </c>
      <c r="M1727" t="s">
        <v>535</v>
      </c>
      <c r="Q1727" t="s">
        <v>468</v>
      </c>
      <c r="R1727" t="s">
        <v>4</v>
      </c>
      <c r="S1727" s="1" t="s">
        <v>65</v>
      </c>
    </row>
    <row r="1728" spans="1:19" x14ac:dyDescent="0.3">
      <c r="A1728" s="2" t="s">
        <v>205</v>
      </c>
      <c r="B1728" s="1" t="s">
        <v>432</v>
      </c>
      <c r="C1728" s="3" t="s">
        <v>72</v>
      </c>
      <c r="D1728" s="1" t="s">
        <v>528</v>
      </c>
      <c r="E1728">
        <v>35</v>
      </c>
      <c r="F1728">
        <v>960</v>
      </c>
      <c r="G1728">
        <f t="shared" si="52"/>
        <v>995</v>
      </c>
      <c r="H1728" t="s">
        <v>456</v>
      </c>
      <c r="K1728">
        <v>26.9420668734709</v>
      </c>
      <c r="L1728" t="s">
        <v>530</v>
      </c>
      <c r="M1728" t="s">
        <v>535</v>
      </c>
      <c r="Q1728" t="s">
        <v>468</v>
      </c>
      <c r="R1728" t="s">
        <v>4</v>
      </c>
      <c r="S1728" s="1" t="s">
        <v>65</v>
      </c>
    </row>
    <row r="1729" spans="1:19" x14ac:dyDescent="0.3">
      <c r="A1729" s="2" t="s">
        <v>205</v>
      </c>
      <c r="B1729" s="1" t="s">
        <v>432</v>
      </c>
      <c r="C1729" s="3" t="s">
        <v>72</v>
      </c>
      <c r="D1729" s="1" t="s">
        <v>528</v>
      </c>
      <c r="E1729">
        <v>40</v>
      </c>
      <c r="F1729">
        <v>960</v>
      </c>
      <c r="G1729">
        <f t="shared" si="52"/>
        <v>1000</v>
      </c>
      <c r="H1729" t="s">
        <v>456</v>
      </c>
      <c r="K1729">
        <v>23.694275283339501</v>
      </c>
      <c r="L1729" t="s">
        <v>530</v>
      </c>
      <c r="M1729" t="s">
        <v>535</v>
      </c>
      <c r="Q1729" t="s">
        <v>468</v>
      </c>
      <c r="R1729" t="s">
        <v>4</v>
      </c>
      <c r="S1729" s="1" t="s">
        <v>65</v>
      </c>
    </row>
    <row r="1730" spans="1:19" x14ac:dyDescent="0.3">
      <c r="A1730" s="2" t="s">
        <v>205</v>
      </c>
      <c r="B1730" s="1" t="s">
        <v>432</v>
      </c>
      <c r="C1730" s="3" t="s">
        <v>72</v>
      </c>
      <c r="D1730" s="1" t="s">
        <v>528</v>
      </c>
      <c r="E1730">
        <v>45</v>
      </c>
      <c r="F1730">
        <v>960</v>
      </c>
      <c r="G1730">
        <f t="shared" si="52"/>
        <v>1005</v>
      </c>
      <c r="H1730" t="s">
        <v>456</v>
      </c>
      <c r="K1730">
        <v>21.664443648392101</v>
      </c>
      <c r="L1730" t="s">
        <v>530</v>
      </c>
      <c r="M1730" t="s">
        <v>535</v>
      </c>
      <c r="Q1730" t="s">
        <v>468</v>
      </c>
      <c r="R1730" t="s">
        <v>4</v>
      </c>
      <c r="S1730" s="1" t="s">
        <v>65</v>
      </c>
    </row>
    <row r="1731" spans="1:19" x14ac:dyDescent="0.3">
      <c r="A1731" s="2" t="s">
        <v>205</v>
      </c>
      <c r="B1731" s="1" t="s">
        <v>432</v>
      </c>
      <c r="C1731" s="3" t="s">
        <v>72</v>
      </c>
      <c r="D1731" s="1" t="s">
        <v>528</v>
      </c>
      <c r="E1731">
        <v>60</v>
      </c>
      <c r="F1731">
        <v>960</v>
      </c>
      <c r="G1731">
        <f t="shared" si="52"/>
        <v>1020</v>
      </c>
      <c r="H1731" t="s">
        <v>456</v>
      </c>
      <c r="K1731">
        <v>14.7630770637866</v>
      </c>
      <c r="L1731" t="s">
        <v>530</v>
      </c>
      <c r="M1731" t="s">
        <v>535</v>
      </c>
      <c r="Q1731" t="s">
        <v>468</v>
      </c>
      <c r="R1731" t="s">
        <v>4</v>
      </c>
      <c r="S1731" s="1" t="s">
        <v>65</v>
      </c>
    </row>
    <row r="1732" spans="1:19" x14ac:dyDescent="0.3">
      <c r="A1732" s="2" t="s">
        <v>205</v>
      </c>
      <c r="B1732" s="1" t="s">
        <v>432</v>
      </c>
      <c r="C1732" s="3" t="s">
        <v>72</v>
      </c>
      <c r="D1732" s="1" t="s">
        <v>528</v>
      </c>
      <c r="E1732">
        <v>75</v>
      </c>
      <c r="F1732">
        <v>960</v>
      </c>
      <c r="G1732">
        <f t="shared" si="52"/>
        <v>1035</v>
      </c>
      <c r="H1732" t="s">
        <v>456</v>
      </c>
      <c r="K1732">
        <v>11.3134608202556</v>
      </c>
      <c r="L1732" t="s">
        <v>530</v>
      </c>
      <c r="M1732" t="s">
        <v>535</v>
      </c>
      <c r="Q1732" t="s">
        <v>468</v>
      </c>
      <c r="R1732" t="s">
        <v>4</v>
      </c>
      <c r="S1732" s="1" t="s">
        <v>65</v>
      </c>
    </row>
    <row r="1733" spans="1:19" x14ac:dyDescent="0.3">
      <c r="A1733" s="2" t="s">
        <v>205</v>
      </c>
      <c r="B1733" s="1" t="s">
        <v>432</v>
      </c>
      <c r="C1733" s="3" t="s">
        <v>72</v>
      </c>
      <c r="D1733" s="1" t="s">
        <v>528</v>
      </c>
      <c r="E1733">
        <v>90</v>
      </c>
      <c r="F1733">
        <v>960</v>
      </c>
      <c r="G1733">
        <f t="shared" si="52"/>
        <v>1050</v>
      </c>
      <c r="H1733" t="s">
        <v>456</v>
      </c>
      <c r="K1733">
        <v>8.0668887144348904</v>
      </c>
      <c r="L1733" t="s">
        <v>530</v>
      </c>
      <c r="M1733" t="s">
        <v>535</v>
      </c>
      <c r="Q1733" t="s">
        <v>468</v>
      </c>
      <c r="R1733" t="s">
        <v>4</v>
      </c>
      <c r="S1733" s="1" t="s">
        <v>65</v>
      </c>
    </row>
    <row r="1734" spans="1:19" x14ac:dyDescent="0.3">
      <c r="A1734" s="2" t="s">
        <v>205</v>
      </c>
      <c r="B1734" s="1" t="s">
        <v>432</v>
      </c>
      <c r="C1734" s="3" t="s">
        <v>72</v>
      </c>
      <c r="D1734" s="1" t="s">
        <v>528</v>
      </c>
      <c r="E1734">
        <v>120</v>
      </c>
      <c r="F1734">
        <v>960</v>
      </c>
      <c r="G1734">
        <f t="shared" si="52"/>
        <v>1080</v>
      </c>
      <c r="H1734" t="s">
        <v>456</v>
      </c>
      <c r="K1734">
        <v>5.4315831192884101</v>
      </c>
      <c r="L1734" t="s">
        <v>530</v>
      </c>
      <c r="M1734" t="s">
        <v>535</v>
      </c>
      <c r="Q1734" t="s">
        <v>468</v>
      </c>
      <c r="R1734" t="s">
        <v>4</v>
      </c>
      <c r="S1734" s="1" t="s">
        <v>65</v>
      </c>
    </row>
    <row r="1735" spans="1:19" x14ac:dyDescent="0.3">
      <c r="A1735" s="2" t="s">
        <v>205</v>
      </c>
      <c r="B1735" s="1" t="s">
        <v>432</v>
      </c>
      <c r="C1735" s="3" t="s">
        <v>72</v>
      </c>
      <c r="D1735" s="1" t="s">
        <v>528</v>
      </c>
      <c r="E1735">
        <v>150</v>
      </c>
      <c r="F1735">
        <v>960</v>
      </c>
      <c r="G1735">
        <f t="shared" si="52"/>
        <v>1110</v>
      </c>
      <c r="H1735" t="s">
        <v>456</v>
      </c>
      <c r="K1735">
        <v>3.6081492039053802</v>
      </c>
      <c r="L1735" t="s">
        <v>530</v>
      </c>
      <c r="M1735" t="s">
        <v>535</v>
      </c>
      <c r="Q1735" t="s">
        <v>468</v>
      </c>
      <c r="R1735" t="s">
        <v>4</v>
      </c>
      <c r="S1735" s="1" t="s">
        <v>65</v>
      </c>
    </row>
    <row r="1736" spans="1:19" x14ac:dyDescent="0.3">
      <c r="A1736" s="2" t="s">
        <v>205</v>
      </c>
      <c r="B1736" s="1" t="s">
        <v>432</v>
      </c>
      <c r="C1736" s="3" t="s">
        <v>72</v>
      </c>
      <c r="D1736" s="1" t="s">
        <v>528</v>
      </c>
      <c r="E1736">
        <v>180</v>
      </c>
      <c r="F1736">
        <v>960</v>
      </c>
      <c r="G1736">
        <f t="shared" si="52"/>
        <v>1140</v>
      </c>
      <c r="H1736" t="s">
        <v>456</v>
      </c>
      <c r="K1736">
        <v>2.3941525727308299</v>
      </c>
      <c r="L1736" t="s">
        <v>530</v>
      </c>
      <c r="M1736" t="s">
        <v>535</v>
      </c>
      <c r="Q1736" t="s">
        <v>468</v>
      </c>
      <c r="R1736" t="s">
        <v>4</v>
      </c>
      <c r="S1736" s="1" t="s">
        <v>65</v>
      </c>
    </row>
    <row r="1737" spans="1:19" x14ac:dyDescent="0.3">
      <c r="A1737" s="2" t="s">
        <v>205</v>
      </c>
      <c r="B1737" s="1" t="s">
        <v>432</v>
      </c>
      <c r="C1737" s="3" t="s">
        <v>72</v>
      </c>
      <c r="D1737" s="1" t="s">
        <v>528</v>
      </c>
      <c r="E1737">
        <v>240</v>
      </c>
      <c r="F1737">
        <v>960</v>
      </c>
      <c r="G1737">
        <f t="shared" si="52"/>
        <v>1200</v>
      </c>
      <c r="H1737" t="s">
        <v>456</v>
      </c>
      <c r="K1737">
        <v>1.1841192655655699</v>
      </c>
      <c r="L1737" t="s">
        <v>530</v>
      </c>
      <c r="M1737" t="s">
        <v>535</v>
      </c>
      <c r="Q1737" t="s">
        <v>468</v>
      </c>
      <c r="R1737" t="s">
        <v>4</v>
      </c>
      <c r="S1737" s="1" t="s">
        <v>65</v>
      </c>
    </row>
    <row r="1738" spans="1:19" x14ac:dyDescent="0.3">
      <c r="A1738" s="2" t="s">
        <v>205</v>
      </c>
      <c r="B1738" s="1" t="s">
        <v>432</v>
      </c>
      <c r="C1738" s="3" t="s">
        <v>72</v>
      </c>
      <c r="D1738" s="1" t="s">
        <v>528</v>
      </c>
      <c r="E1738">
        <v>360</v>
      </c>
      <c r="F1738">
        <v>960</v>
      </c>
      <c r="G1738">
        <f t="shared" si="52"/>
        <v>1320</v>
      </c>
      <c r="H1738" t="s">
        <v>456</v>
      </c>
      <c r="K1738">
        <v>0.38901549507254102</v>
      </c>
      <c r="L1738" t="s">
        <v>530</v>
      </c>
      <c r="M1738" t="s">
        <v>535</v>
      </c>
      <c r="Q1738" t="s">
        <v>468</v>
      </c>
      <c r="R1738" t="s">
        <v>4</v>
      </c>
      <c r="S1738" s="1" t="s">
        <v>65</v>
      </c>
    </row>
    <row r="1739" spans="1:19" x14ac:dyDescent="0.3">
      <c r="A1739" s="2" t="s">
        <v>205</v>
      </c>
      <c r="B1739" s="1" t="s">
        <v>432</v>
      </c>
      <c r="C1739" s="3" t="s">
        <v>72</v>
      </c>
      <c r="D1739" s="1" t="s">
        <v>528</v>
      </c>
      <c r="E1739">
        <v>470</v>
      </c>
      <c r="F1739">
        <v>960</v>
      </c>
      <c r="G1739">
        <f t="shared" si="52"/>
        <v>1430</v>
      </c>
      <c r="H1739" t="s">
        <v>456</v>
      </c>
      <c r="K1739">
        <v>0.20151978232206599</v>
      </c>
      <c r="L1739" t="s">
        <v>530</v>
      </c>
      <c r="M1739" t="s">
        <v>535</v>
      </c>
      <c r="Q1739" t="s">
        <v>468</v>
      </c>
      <c r="R1739" t="s">
        <v>4</v>
      </c>
      <c r="S1739" s="1" t="s">
        <v>65</v>
      </c>
    </row>
    <row r="1740" spans="1:19" x14ac:dyDescent="0.3">
      <c r="A1740" s="2" t="s">
        <v>205</v>
      </c>
      <c r="B1740" s="1" t="s">
        <v>432</v>
      </c>
      <c r="C1740" s="3" t="s">
        <v>72</v>
      </c>
      <c r="D1740" s="1" t="s">
        <v>528</v>
      </c>
      <c r="E1740">
        <v>480</v>
      </c>
      <c r="F1740">
        <v>960</v>
      </c>
      <c r="G1740">
        <f t="shared" si="52"/>
        <v>1440</v>
      </c>
      <c r="H1740" t="s">
        <v>456</v>
      </c>
      <c r="K1740">
        <v>0.20304413771027799</v>
      </c>
      <c r="L1740" t="s">
        <v>530</v>
      </c>
      <c r="M1740" t="s">
        <v>535</v>
      </c>
      <c r="Q1740" t="s">
        <v>468</v>
      </c>
      <c r="R1740" t="s">
        <v>4</v>
      </c>
      <c r="S1740" s="1" t="s">
        <v>65</v>
      </c>
    </row>
    <row r="1741" spans="1:19" x14ac:dyDescent="0.3">
      <c r="A1741" s="2" t="s">
        <v>206</v>
      </c>
      <c r="B1741" s="1" t="s">
        <v>433</v>
      </c>
      <c r="C1741" s="3" t="s">
        <v>72</v>
      </c>
      <c r="D1741" s="1" t="s">
        <v>528</v>
      </c>
      <c r="E1741">
        <v>7.5</v>
      </c>
      <c r="F1741">
        <v>0</v>
      </c>
      <c r="G1741">
        <f t="shared" ref="G1741:G1780" si="53">(F1741+E1741)</f>
        <v>7.5</v>
      </c>
      <c r="H1741" t="s">
        <v>456</v>
      </c>
      <c r="K1741">
        <v>19.509113287592299</v>
      </c>
      <c r="L1741" t="s">
        <v>530</v>
      </c>
      <c r="M1741" t="s">
        <v>535</v>
      </c>
      <c r="Q1741" t="s">
        <v>468</v>
      </c>
      <c r="R1741" t="s">
        <v>4</v>
      </c>
      <c r="S1741" s="1" t="s">
        <v>65</v>
      </c>
    </row>
    <row r="1742" spans="1:19" x14ac:dyDescent="0.3">
      <c r="A1742" s="2" t="s">
        <v>206</v>
      </c>
      <c r="B1742" s="1" t="s">
        <v>433</v>
      </c>
      <c r="C1742" s="3" t="s">
        <v>72</v>
      </c>
      <c r="D1742" s="1" t="s">
        <v>528</v>
      </c>
      <c r="E1742">
        <v>15</v>
      </c>
      <c r="F1742">
        <v>0</v>
      </c>
      <c r="G1742">
        <f t="shared" si="53"/>
        <v>15</v>
      </c>
      <c r="H1742" t="s">
        <v>456</v>
      </c>
      <c r="K1742">
        <v>31.177002042633401</v>
      </c>
      <c r="L1742" t="s">
        <v>530</v>
      </c>
      <c r="M1742" t="s">
        <v>535</v>
      </c>
      <c r="Q1742" t="s">
        <v>468</v>
      </c>
      <c r="R1742" t="s">
        <v>4</v>
      </c>
      <c r="S1742" s="1" t="s">
        <v>65</v>
      </c>
    </row>
    <row r="1743" spans="1:19" x14ac:dyDescent="0.3">
      <c r="A1743" s="2" t="s">
        <v>206</v>
      </c>
      <c r="B1743" s="1" t="s">
        <v>433</v>
      </c>
      <c r="C1743" s="3" t="s">
        <v>72</v>
      </c>
      <c r="D1743" s="1" t="s">
        <v>528</v>
      </c>
      <c r="E1743">
        <v>22.5</v>
      </c>
      <c r="F1743">
        <v>0</v>
      </c>
      <c r="G1743">
        <f t="shared" si="53"/>
        <v>22.5</v>
      </c>
      <c r="H1743" t="s">
        <v>456</v>
      </c>
      <c r="K1743">
        <v>43.227098936783001</v>
      </c>
      <c r="L1743" t="s">
        <v>530</v>
      </c>
      <c r="M1743" t="s">
        <v>535</v>
      </c>
      <c r="Q1743" t="s">
        <v>468</v>
      </c>
      <c r="R1743" t="s">
        <v>4</v>
      </c>
      <c r="S1743" s="1" t="s">
        <v>65</v>
      </c>
    </row>
    <row r="1744" spans="1:19" x14ac:dyDescent="0.3">
      <c r="A1744" s="2" t="s">
        <v>206</v>
      </c>
      <c r="B1744" s="1" t="s">
        <v>433</v>
      </c>
      <c r="C1744" s="3" t="s">
        <v>72</v>
      </c>
      <c r="D1744" s="1" t="s">
        <v>528</v>
      </c>
      <c r="E1744">
        <v>30</v>
      </c>
      <c r="F1744">
        <v>0</v>
      </c>
      <c r="G1744">
        <f t="shared" si="53"/>
        <v>30</v>
      </c>
      <c r="H1744" t="s">
        <v>456</v>
      </c>
      <c r="K1744">
        <v>56.042223153337098</v>
      </c>
      <c r="L1744" t="s">
        <v>530</v>
      </c>
      <c r="M1744" t="s">
        <v>535</v>
      </c>
      <c r="Q1744" t="s">
        <v>468</v>
      </c>
      <c r="R1744" t="s">
        <v>4</v>
      </c>
      <c r="S1744" s="1" t="s">
        <v>65</v>
      </c>
    </row>
    <row r="1745" spans="1:19" x14ac:dyDescent="0.3">
      <c r="A1745" s="2" t="s">
        <v>206</v>
      </c>
      <c r="B1745" s="1" t="s">
        <v>433</v>
      </c>
      <c r="C1745" s="3" t="s">
        <v>72</v>
      </c>
      <c r="D1745" s="1" t="s">
        <v>528</v>
      </c>
      <c r="E1745">
        <v>35</v>
      </c>
      <c r="F1745">
        <v>0</v>
      </c>
      <c r="G1745">
        <f t="shared" si="53"/>
        <v>35</v>
      </c>
      <c r="H1745" t="s">
        <v>456</v>
      </c>
      <c r="K1745">
        <v>48.775074634682802</v>
      </c>
      <c r="L1745" t="s">
        <v>530</v>
      </c>
      <c r="M1745" t="s">
        <v>535</v>
      </c>
      <c r="Q1745" t="s">
        <v>468</v>
      </c>
      <c r="R1745" t="s">
        <v>4</v>
      </c>
      <c r="S1745" s="1" t="s">
        <v>65</v>
      </c>
    </row>
    <row r="1746" spans="1:19" x14ac:dyDescent="0.3">
      <c r="A1746" s="2" t="s">
        <v>206</v>
      </c>
      <c r="B1746" s="1" t="s">
        <v>433</v>
      </c>
      <c r="C1746" s="3" t="s">
        <v>72</v>
      </c>
      <c r="D1746" s="1" t="s">
        <v>528</v>
      </c>
      <c r="E1746">
        <v>40</v>
      </c>
      <c r="F1746">
        <v>0</v>
      </c>
      <c r="G1746">
        <f t="shared" si="53"/>
        <v>40</v>
      </c>
      <c r="H1746" t="s">
        <v>456</v>
      </c>
      <c r="K1746">
        <v>40.934155624225198</v>
      </c>
      <c r="L1746" t="s">
        <v>530</v>
      </c>
      <c r="M1746" t="s">
        <v>535</v>
      </c>
      <c r="Q1746" t="s">
        <v>468</v>
      </c>
      <c r="R1746" t="s">
        <v>4</v>
      </c>
      <c r="S1746" s="1" t="s">
        <v>65</v>
      </c>
    </row>
    <row r="1747" spans="1:19" x14ac:dyDescent="0.3">
      <c r="A1747" s="2" t="s">
        <v>206</v>
      </c>
      <c r="B1747" s="1" t="s">
        <v>433</v>
      </c>
      <c r="C1747" s="3" t="s">
        <v>72</v>
      </c>
      <c r="D1747" s="1" t="s">
        <v>528</v>
      </c>
      <c r="E1747">
        <v>45</v>
      </c>
      <c r="F1747">
        <v>0</v>
      </c>
      <c r="G1747">
        <f t="shared" si="53"/>
        <v>45</v>
      </c>
      <c r="H1747" t="s">
        <v>456</v>
      </c>
      <c r="K1747">
        <v>34.814853611271097</v>
      </c>
      <c r="L1747" t="s">
        <v>530</v>
      </c>
      <c r="M1747" t="s">
        <v>535</v>
      </c>
      <c r="Q1747" t="s">
        <v>468</v>
      </c>
      <c r="R1747" t="s">
        <v>4</v>
      </c>
      <c r="S1747" s="1" t="s">
        <v>65</v>
      </c>
    </row>
    <row r="1748" spans="1:19" x14ac:dyDescent="0.3">
      <c r="A1748" s="2" t="s">
        <v>206</v>
      </c>
      <c r="B1748" s="1" t="s">
        <v>433</v>
      </c>
      <c r="C1748" s="3" t="s">
        <v>72</v>
      </c>
      <c r="D1748" s="1" t="s">
        <v>528</v>
      </c>
      <c r="E1748">
        <v>60</v>
      </c>
      <c r="F1748">
        <v>0</v>
      </c>
      <c r="G1748">
        <f t="shared" si="53"/>
        <v>60</v>
      </c>
      <c r="H1748" t="s">
        <v>456</v>
      </c>
      <c r="K1748">
        <v>26.975156689187902</v>
      </c>
      <c r="L1748" t="s">
        <v>530</v>
      </c>
      <c r="M1748" t="s">
        <v>535</v>
      </c>
      <c r="Q1748" t="s">
        <v>468</v>
      </c>
      <c r="R1748" t="s">
        <v>4</v>
      </c>
      <c r="S1748" s="1" t="s">
        <v>65</v>
      </c>
    </row>
    <row r="1749" spans="1:19" x14ac:dyDescent="0.3">
      <c r="A1749" s="2" t="s">
        <v>206</v>
      </c>
      <c r="B1749" s="1" t="s">
        <v>433</v>
      </c>
      <c r="C1749" s="3" t="s">
        <v>72</v>
      </c>
      <c r="D1749" s="1" t="s">
        <v>528</v>
      </c>
      <c r="E1749">
        <v>75</v>
      </c>
      <c r="F1749">
        <v>0</v>
      </c>
      <c r="G1749">
        <f t="shared" si="53"/>
        <v>75</v>
      </c>
      <c r="H1749" t="s">
        <v>456</v>
      </c>
      <c r="K1749">
        <v>19.9007926116028</v>
      </c>
      <c r="L1749" t="s">
        <v>530</v>
      </c>
      <c r="M1749" t="s">
        <v>535</v>
      </c>
      <c r="Q1749" t="s">
        <v>468</v>
      </c>
      <c r="R1749" t="s">
        <v>4</v>
      </c>
      <c r="S1749" s="1" t="s">
        <v>65</v>
      </c>
    </row>
    <row r="1750" spans="1:19" x14ac:dyDescent="0.3">
      <c r="A1750" s="2" t="s">
        <v>206</v>
      </c>
      <c r="B1750" s="1" t="s">
        <v>433</v>
      </c>
      <c r="C1750" s="3" t="s">
        <v>72</v>
      </c>
      <c r="D1750" s="1" t="s">
        <v>528</v>
      </c>
      <c r="E1750">
        <v>90</v>
      </c>
      <c r="F1750">
        <v>0</v>
      </c>
      <c r="G1750">
        <f t="shared" si="53"/>
        <v>90</v>
      </c>
      <c r="H1750" t="s">
        <v>456</v>
      </c>
      <c r="K1750">
        <v>15.312461809738201</v>
      </c>
      <c r="L1750" t="s">
        <v>530</v>
      </c>
      <c r="M1750" t="s">
        <v>535</v>
      </c>
      <c r="Q1750" t="s">
        <v>468</v>
      </c>
      <c r="R1750" t="s">
        <v>4</v>
      </c>
      <c r="S1750" s="1" t="s">
        <v>65</v>
      </c>
    </row>
    <row r="1751" spans="1:19" x14ac:dyDescent="0.3">
      <c r="A1751" s="2" t="s">
        <v>206</v>
      </c>
      <c r="B1751" s="1" t="s">
        <v>433</v>
      </c>
      <c r="C1751" s="3" t="s">
        <v>72</v>
      </c>
      <c r="D1751" s="1" t="s">
        <v>528</v>
      </c>
      <c r="E1751">
        <v>120</v>
      </c>
      <c r="F1751">
        <v>0</v>
      </c>
      <c r="G1751">
        <f t="shared" si="53"/>
        <v>120</v>
      </c>
      <c r="H1751" t="s">
        <v>456</v>
      </c>
      <c r="K1751">
        <v>9.0049581871191702</v>
      </c>
      <c r="L1751" t="s">
        <v>530</v>
      </c>
      <c r="M1751" t="s">
        <v>535</v>
      </c>
      <c r="Q1751" t="s">
        <v>468</v>
      </c>
      <c r="R1751" t="s">
        <v>4</v>
      </c>
      <c r="S1751" s="1" t="s">
        <v>65</v>
      </c>
    </row>
    <row r="1752" spans="1:19" x14ac:dyDescent="0.3">
      <c r="A1752" s="2" t="s">
        <v>206</v>
      </c>
      <c r="B1752" s="1" t="s">
        <v>433</v>
      </c>
      <c r="C1752" s="3" t="s">
        <v>72</v>
      </c>
      <c r="D1752" s="1" t="s">
        <v>528</v>
      </c>
      <c r="E1752">
        <v>150</v>
      </c>
      <c r="F1752">
        <v>0</v>
      </c>
      <c r="G1752">
        <f t="shared" si="53"/>
        <v>150</v>
      </c>
      <c r="H1752" t="s">
        <v>456</v>
      </c>
      <c r="K1752">
        <v>5.7575638541175298</v>
      </c>
      <c r="L1752" t="s">
        <v>530</v>
      </c>
      <c r="M1752" t="s">
        <v>535</v>
      </c>
      <c r="Q1752" t="s">
        <v>468</v>
      </c>
      <c r="R1752" t="s">
        <v>4</v>
      </c>
      <c r="S1752" s="1" t="s">
        <v>65</v>
      </c>
    </row>
    <row r="1753" spans="1:19" x14ac:dyDescent="0.3">
      <c r="A1753" s="2" t="s">
        <v>206</v>
      </c>
      <c r="B1753" s="1" t="s">
        <v>433</v>
      </c>
      <c r="C1753" s="3" t="s">
        <v>72</v>
      </c>
      <c r="D1753" s="1" t="s">
        <v>528</v>
      </c>
      <c r="E1753">
        <v>180</v>
      </c>
      <c r="F1753">
        <v>0</v>
      </c>
      <c r="G1753">
        <f t="shared" si="53"/>
        <v>180</v>
      </c>
      <c r="H1753" t="s">
        <v>456</v>
      </c>
      <c r="K1753">
        <v>3.6577105047224698</v>
      </c>
      <c r="L1753" t="s">
        <v>530</v>
      </c>
      <c r="M1753" t="s">
        <v>535</v>
      </c>
      <c r="Q1753" t="s">
        <v>468</v>
      </c>
      <c r="R1753" t="s">
        <v>4</v>
      </c>
      <c r="S1753" s="1" t="s">
        <v>65</v>
      </c>
    </row>
    <row r="1754" spans="1:19" x14ac:dyDescent="0.3">
      <c r="A1754" s="2" t="s">
        <v>206</v>
      </c>
      <c r="B1754" s="1" t="s">
        <v>433</v>
      </c>
      <c r="C1754" s="3" t="s">
        <v>72</v>
      </c>
      <c r="D1754" s="1" t="s">
        <v>528</v>
      </c>
      <c r="E1754">
        <v>240</v>
      </c>
      <c r="F1754">
        <v>0</v>
      </c>
      <c r="G1754">
        <f t="shared" si="53"/>
        <v>240</v>
      </c>
      <c r="H1754" t="s">
        <v>456</v>
      </c>
      <c r="K1754">
        <v>1.3705721119432599</v>
      </c>
      <c r="L1754" t="s">
        <v>530</v>
      </c>
      <c r="M1754" t="s">
        <v>535</v>
      </c>
      <c r="Q1754" t="s">
        <v>468</v>
      </c>
      <c r="R1754" t="s">
        <v>4</v>
      </c>
      <c r="S1754" s="1" t="s">
        <v>65</v>
      </c>
    </row>
    <row r="1755" spans="1:19" x14ac:dyDescent="0.3">
      <c r="A1755" s="2" t="s">
        <v>206</v>
      </c>
      <c r="B1755" s="1" t="s">
        <v>433</v>
      </c>
      <c r="C1755" s="3" t="s">
        <v>72</v>
      </c>
      <c r="D1755" s="1" t="s">
        <v>528</v>
      </c>
      <c r="E1755">
        <v>360</v>
      </c>
      <c r="F1755">
        <v>0</v>
      </c>
      <c r="G1755">
        <f t="shared" si="53"/>
        <v>360</v>
      </c>
      <c r="H1755" t="s">
        <v>456</v>
      </c>
      <c r="K1755">
        <v>0.239223799298144</v>
      </c>
      <c r="L1755" t="s">
        <v>530</v>
      </c>
      <c r="M1755" t="s">
        <v>535</v>
      </c>
      <c r="Q1755" t="s">
        <v>468</v>
      </c>
      <c r="R1755" t="s">
        <v>4</v>
      </c>
      <c r="S1755" s="1" t="s">
        <v>65</v>
      </c>
    </row>
    <row r="1756" spans="1:19" x14ac:dyDescent="0.3">
      <c r="A1756" s="2" t="s">
        <v>206</v>
      </c>
      <c r="B1756" s="1" t="s">
        <v>433</v>
      </c>
      <c r="C1756" s="3" t="s">
        <v>72</v>
      </c>
      <c r="D1756" s="1" t="s">
        <v>528</v>
      </c>
      <c r="E1756">
        <v>470</v>
      </c>
      <c r="F1756">
        <v>0</v>
      </c>
      <c r="G1756">
        <f t="shared" si="53"/>
        <v>470</v>
      </c>
      <c r="H1756" t="s">
        <v>456</v>
      </c>
      <c r="K1756">
        <v>0.25358333769790398</v>
      </c>
      <c r="L1756" t="s">
        <v>530</v>
      </c>
      <c r="M1756" t="s">
        <v>535</v>
      </c>
      <c r="Q1756" t="s">
        <v>468</v>
      </c>
      <c r="R1756" t="s">
        <v>4</v>
      </c>
      <c r="S1756" s="1" t="s">
        <v>65</v>
      </c>
    </row>
    <row r="1757" spans="1:19" x14ac:dyDescent="0.3">
      <c r="A1757" s="2" t="s">
        <v>206</v>
      </c>
      <c r="B1757" s="1" t="s">
        <v>433</v>
      </c>
      <c r="C1757" s="3" t="s">
        <v>72</v>
      </c>
      <c r="D1757" s="1" t="s">
        <v>528</v>
      </c>
      <c r="E1757">
        <v>480</v>
      </c>
      <c r="F1757">
        <v>0</v>
      </c>
      <c r="G1757">
        <f t="shared" si="53"/>
        <v>480</v>
      </c>
      <c r="H1757" t="s">
        <v>456</v>
      </c>
      <c r="K1757">
        <v>0.25541647025957498</v>
      </c>
      <c r="L1757" t="s">
        <v>530</v>
      </c>
      <c r="M1757" t="s">
        <v>535</v>
      </c>
      <c r="Q1757" t="s">
        <v>468</v>
      </c>
      <c r="R1757" t="s">
        <v>4</v>
      </c>
      <c r="S1757" s="1" t="s">
        <v>65</v>
      </c>
    </row>
    <row r="1758" spans="1:19" x14ac:dyDescent="0.3">
      <c r="A1758" s="2" t="s">
        <v>206</v>
      </c>
      <c r="B1758" s="1" t="s">
        <v>433</v>
      </c>
      <c r="C1758" s="3" t="s">
        <v>72</v>
      </c>
      <c r="D1758" s="1" t="s">
        <v>528</v>
      </c>
      <c r="E1758">
        <v>30</v>
      </c>
      <c r="F1758">
        <v>480</v>
      </c>
      <c r="G1758">
        <f t="shared" si="53"/>
        <v>510</v>
      </c>
      <c r="H1758" t="s">
        <v>456</v>
      </c>
      <c r="K1758">
        <v>51.3246565058747</v>
      </c>
      <c r="L1758" t="s">
        <v>530</v>
      </c>
      <c r="M1758" t="s">
        <v>535</v>
      </c>
      <c r="Q1758" t="s">
        <v>468</v>
      </c>
      <c r="R1758" t="s">
        <v>4</v>
      </c>
      <c r="S1758" s="1" t="s">
        <v>65</v>
      </c>
    </row>
    <row r="1759" spans="1:19" x14ac:dyDescent="0.3">
      <c r="A1759" s="2" t="s">
        <v>206</v>
      </c>
      <c r="B1759" s="1" t="s">
        <v>433</v>
      </c>
      <c r="C1759" s="3" t="s">
        <v>72</v>
      </c>
      <c r="D1759" s="1" t="s">
        <v>528</v>
      </c>
      <c r="E1759">
        <v>60</v>
      </c>
      <c r="F1759">
        <v>480</v>
      </c>
      <c r="G1759">
        <f t="shared" si="53"/>
        <v>540</v>
      </c>
      <c r="H1759" t="s">
        <v>456</v>
      </c>
      <c r="K1759">
        <v>25.891469823146299</v>
      </c>
      <c r="L1759" t="s">
        <v>530</v>
      </c>
      <c r="M1759" t="s">
        <v>535</v>
      </c>
      <c r="Q1759" t="s">
        <v>468</v>
      </c>
      <c r="R1759" t="s">
        <v>4</v>
      </c>
      <c r="S1759" s="1" t="s">
        <v>65</v>
      </c>
    </row>
    <row r="1760" spans="1:19" x14ac:dyDescent="0.3">
      <c r="A1760" s="2" t="s">
        <v>206</v>
      </c>
      <c r="B1760" s="1" t="s">
        <v>433</v>
      </c>
      <c r="C1760" s="3" t="s">
        <v>72</v>
      </c>
      <c r="D1760" s="1" t="s">
        <v>528</v>
      </c>
      <c r="E1760">
        <v>120</v>
      </c>
      <c r="F1760">
        <v>480</v>
      </c>
      <c r="G1760">
        <f t="shared" si="53"/>
        <v>600</v>
      </c>
      <c r="H1760" t="s">
        <v>456</v>
      </c>
      <c r="K1760">
        <v>9.2600691352851605</v>
      </c>
      <c r="L1760" t="s">
        <v>530</v>
      </c>
      <c r="M1760" t="s">
        <v>535</v>
      </c>
      <c r="Q1760" t="s">
        <v>468</v>
      </c>
      <c r="R1760" t="s">
        <v>4</v>
      </c>
      <c r="S1760" s="1" t="s">
        <v>65</v>
      </c>
    </row>
    <row r="1761" spans="1:19" x14ac:dyDescent="0.3">
      <c r="A1761" s="2" t="s">
        <v>206</v>
      </c>
      <c r="B1761" s="1" t="s">
        <v>433</v>
      </c>
      <c r="C1761" s="3" t="s">
        <v>72</v>
      </c>
      <c r="D1761" s="1" t="s">
        <v>528</v>
      </c>
      <c r="E1761">
        <v>180</v>
      </c>
      <c r="F1761">
        <v>480</v>
      </c>
      <c r="G1761">
        <f t="shared" si="53"/>
        <v>660</v>
      </c>
      <c r="H1761" t="s">
        <v>456</v>
      </c>
      <c r="K1761">
        <v>4.4865919446917202</v>
      </c>
      <c r="L1761" t="s">
        <v>530</v>
      </c>
      <c r="M1761" t="s">
        <v>535</v>
      </c>
      <c r="Q1761" t="s">
        <v>468</v>
      </c>
      <c r="R1761" t="s">
        <v>4</v>
      </c>
      <c r="S1761" s="1" t="s">
        <v>65</v>
      </c>
    </row>
    <row r="1762" spans="1:19" x14ac:dyDescent="0.3">
      <c r="A1762" s="2" t="s">
        <v>206</v>
      </c>
      <c r="B1762" s="1" t="s">
        <v>433</v>
      </c>
      <c r="C1762" s="3" t="s">
        <v>72</v>
      </c>
      <c r="D1762" s="1" t="s">
        <v>528</v>
      </c>
      <c r="E1762">
        <v>360</v>
      </c>
      <c r="F1762">
        <v>480</v>
      </c>
      <c r="G1762">
        <f t="shared" si="53"/>
        <v>840</v>
      </c>
      <c r="H1762" t="s">
        <v>456</v>
      </c>
      <c r="K1762">
        <v>0.30277239476941897</v>
      </c>
      <c r="L1762" t="s">
        <v>530</v>
      </c>
      <c r="M1762" t="s">
        <v>535</v>
      </c>
      <c r="Q1762" t="s">
        <v>468</v>
      </c>
      <c r="R1762" t="s">
        <v>4</v>
      </c>
      <c r="S1762" s="1" t="s">
        <v>65</v>
      </c>
    </row>
    <row r="1763" spans="1:19" x14ac:dyDescent="0.3">
      <c r="A1763" s="2" t="s">
        <v>206</v>
      </c>
      <c r="B1763" s="1" t="s">
        <v>433</v>
      </c>
      <c r="C1763" s="3" t="s">
        <v>72</v>
      </c>
      <c r="D1763" s="1" t="s">
        <v>528</v>
      </c>
      <c r="E1763">
        <v>480</v>
      </c>
      <c r="F1763">
        <v>480</v>
      </c>
      <c r="G1763">
        <f t="shared" si="53"/>
        <v>960</v>
      </c>
      <c r="H1763" t="s">
        <v>456</v>
      </c>
      <c r="K1763">
        <v>0.12770823512980201</v>
      </c>
      <c r="L1763" t="s">
        <v>530</v>
      </c>
      <c r="M1763" t="s">
        <v>535</v>
      </c>
      <c r="Q1763" t="s">
        <v>468</v>
      </c>
      <c r="R1763" t="s">
        <v>4</v>
      </c>
      <c r="S1763" s="1" t="s">
        <v>65</v>
      </c>
    </row>
    <row r="1764" spans="1:19" x14ac:dyDescent="0.3">
      <c r="A1764" s="2" t="s">
        <v>206</v>
      </c>
      <c r="B1764" s="1" t="s">
        <v>433</v>
      </c>
      <c r="C1764" s="3" t="s">
        <v>72</v>
      </c>
      <c r="D1764" s="1" t="s">
        <v>528</v>
      </c>
      <c r="E1764">
        <v>7.5</v>
      </c>
      <c r="F1764">
        <v>960</v>
      </c>
      <c r="G1764">
        <f t="shared" si="53"/>
        <v>967.5</v>
      </c>
      <c r="H1764" t="s">
        <v>456</v>
      </c>
      <c r="K1764">
        <v>24.992012779552599</v>
      </c>
      <c r="L1764" t="s">
        <v>530</v>
      </c>
      <c r="M1764" t="s">
        <v>535</v>
      </c>
      <c r="Q1764" t="s">
        <v>468</v>
      </c>
      <c r="R1764" t="s">
        <v>4</v>
      </c>
      <c r="S1764" s="1" t="s">
        <v>65</v>
      </c>
    </row>
    <row r="1765" spans="1:19" x14ac:dyDescent="0.3">
      <c r="A1765" s="2" t="s">
        <v>206</v>
      </c>
      <c r="B1765" s="1" t="s">
        <v>433</v>
      </c>
      <c r="C1765" s="3" t="s">
        <v>72</v>
      </c>
      <c r="D1765" s="1" t="s">
        <v>528</v>
      </c>
      <c r="E1765">
        <v>15</v>
      </c>
      <c r="F1765">
        <v>960</v>
      </c>
      <c r="G1765">
        <f t="shared" si="53"/>
        <v>975</v>
      </c>
      <c r="H1765" t="s">
        <v>456</v>
      </c>
      <c r="K1765">
        <v>36.659596012500202</v>
      </c>
      <c r="L1765" t="s">
        <v>530</v>
      </c>
      <c r="M1765" t="s">
        <v>535</v>
      </c>
      <c r="Q1765" t="s">
        <v>468</v>
      </c>
      <c r="R1765" t="s">
        <v>4</v>
      </c>
      <c r="S1765" s="1" t="s">
        <v>65</v>
      </c>
    </row>
    <row r="1766" spans="1:19" x14ac:dyDescent="0.3">
      <c r="A1766" s="2" t="s">
        <v>206</v>
      </c>
      <c r="B1766" s="1" t="s">
        <v>433</v>
      </c>
      <c r="C1766" s="3" t="s">
        <v>72</v>
      </c>
      <c r="D1766" s="1" t="s">
        <v>528</v>
      </c>
      <c r="E1766">
        <v>22.5</v>
      </c>
      <c r="F1766">
        <v>960</v>
      </c>
      <c r="G1766">
        <f t="shared" si="53"/>
        <v>982.5</v>
      </c>
      <c r="H1766" t="s">
        <v>456</v>
      </c>
      <c r="K1766">
        <v>47.371200614535802</v>
      </c>
      <c r="L1766" t="s">
        <v>530</v>
      </c>
      <c r="M1766" t="s">
        <v>535</v>
      </c>
      <c r="Q1766" t="s">
        <v>468</v>
      </c>
      <c r="R1766" t="s">
        <v>4</v>
      </c>
      <c r="S1766" s="1" t="s">
        <v>65</v>
      </c>
    </row>
    <row r="1767" spans="1:19" x14ac:dyDescent="0.3">
      <c r="A1767" s="2" t="s">
        <v>206</v>
      </c>
      <c r="B1767" s="1" t="s">
        <v>433</v>
      </c>
      <c r="C1767" s="3" t="s">
        <v>72</v>
      </c>
      <c r="D1767" s="1" t="s">
        <v>528</v>
      </c>
      <c r="E1767">
        <v>30</v>
      </c>
      <c r="F1767">
        <v>960</v>
      </c>
      <c r="G1767">
        <f t="shared" si="53"/>
        <v>990</v>
      </c>
      <c r="H1767" t="s">
        <v>456</v>
      </c>
      <c r="K1767">
        <v>56.552445049669103</v>
      </c>
      <c r="L1767" t="s">
        <v>530</v>
      </c>
      <c r="M1767" t="s">
        <v>535</v>
      </c>
      <c r="Q1767" t="s">
        <v>468</v>
      </c>
      <c r="R1767" t="s">
        <v>4</v>
      </c>
      <c r="S1767" s="1" t="s">
        <v>65</v>
      </c>
    </row>
    <row r="1768" spans="1:19" x14ac:dyDescent="0.3">
      <c r="A1768" s="2" t="s">
        <v>206</v>
      </c>
      <c r="B1768" s="1" t="s">
        <v>433</v>
      </c>
      <c r="C1768" s="3" t="s">
        <v>72</v>
      </c>
      <c r="D1768" s="1" t="s">
        <v>528</v>
      </c>
      <c r="E1768">
        <v>40</v>
      </c>
      <c r="F1768">
        <v>960</v>
      </c>
      <c r="G1768">
        <f t="shared" si="53"/>
        <v>1000</v>
      </c>
      <c r="H1768" t="s">
        <v>456</v>
      </c>
      <c r="K1768">
        <v>39.340552383945202</v>
      </c>
      <c r="L1768" t="s">
        <v>530</v>
      </c>
      <c r="M1768" t="s">
        <v>535</v>
      </c>
      <c r="Q1768" t="s">
        <v>468</v>
      </c>
      <c r="R1768" t="s">
        <v>4</v>
      </c>
      <c r="S1768" s="1" t="s">
        <v>65</v>
      </c>
    </row>
    <row r="1769" spans="1:19" x14ac:dyDescent="0.3">
      <c r="A1769" s="2" t="s">
        <v>206</v>
      </c>
      <c r="B1769" s="1" t="s">
        <v>433</v>
      </c>
      <c r="C1769" s="3" t="s">
        <v>72</v>
      </c>
      <c r="D1769" s="1" t="s">
        <v>528</v>
      </c>
      <c r="E1769">
        <v>45</v>
      </c>
      <c r="F1769">
        <v>960</v>
      </c>
      <c r="G1769">
        <f t="shared" si="53"/>
        <v>1005</v>
      </c>
      <c r="H1769" t="s">
        <v>456</v>
      </c>
      <c r="K1769">
        <v>30.161141081373501</v>
      </c>
      <c r="L1769" t="s">
        <v>530</v>
      </c>
      <c r="M1769" t="s">
        <v>535</v>
      </c>
      <c r="Q1769" t="s">
        <v>468</v>
      </c>
      <c r="R1769" t="s">
        <v>4</v>
      </c>
      <c r="S1769" s="1" t="s">
        <v>65</v>
      </c>
    </row>
    <row r="1770" spans="1:19" x14ac:dyDescent="0.3">
      <c r="A1770" s="2" t="s">
        <v>206</v>
      </c>
      <c r="B1770" s="1" t="s">
        <v>433</v>
      </c>
      <c r="C1770" s="3" t="s">
        <v>72</v>
      </c>
      <c r="D1770" s="1" t="s">
        <v>528</v>
      </c>
      <c r="E1770">
        <v>60</v>
      </c>
      <c r="F1770">
        <v>960</v>
      </c>
      <c r="G1770">
        <f t="shared" si="53"/>
        <v>1020</v>
      </c>
      <c r="H1770" t="s">
        <v>456</v>
      </c>
      <c r="K1770">
        <v>24.234012465301301</v>
      </c>
      <c r="L1770" t="s">
        <v>530</v>
      </c>
      <c r="M1770" t="s">
        <v>535</v>
      </c>
      <c r="Q1770" t="s">
        <v>468</v>
      </c>
      <c r="R1770" t="s">
        <v>4</v>
      </c>
      <c r="S1770" s="1" t="s">
        <v>65</v>
      </c>
    </row>
    <row r="1771" spans="1:19" x14ac:dyDescent="0.3">
      <c r="A1771" s="2" t="s">
        <v>206</v>
      </c>
      <c r="B1771" s="1" t="s">
        <v>433</v>
      </c>
      <c r="C1771" s="3" t="s">
        <v>72</v>
      </c>
      <c r="D1771" s="1" t="s">
        <v>528</v>
      </c>
      <c r="E1771">
        <v>75</v>
      </c>
      <c r="F1771">
        <v>960</v>
      </c>
      <c r="G1771">
        <f t="shared" si="53"/>
        <v>1035</v>
      </c>
      <c r="H1771" t="s">
        <v>456</v>
      </c>
      <c r="K1771">
        <v>17.159342865622602</v>
      </c>
      <c r="L1771" t="s">
        <v>530</v>
      </c>
      <c r="M1771" t="s">
        <v>535</v>
      </c>
      <c r="Q1771" t="s">
        <v>468</v>
      </c>
      <c r="R1771" t="s">
        <v>4</v>
      </c>
      <c r="S1771" s="1" t="s">
        <v>65</v>
      </c>
    </row>
    <row r="1772" spans="1:19" x14ac:dyDescent="0.3">
      <c r="A1772" s="2" t="s">
        <v>206</v>
      </c>
      <c r="B1772" s="1" t="s">
        <v>433</v>
      </c>
      <c r="C1772" s="3" t="s">
        <v>72</v>
      </c>
      <c r="D1772" s="1" t="s">
        <v>528</v>
      </c>
      <c r="E1772">
        <v>90</v>
      </c>
      <c r="F1772">
        <v>960</v>
      </c>
      <c r="G1772">
        <f t="shared" si="53"/>
        <v>1050</v>
      </c>
      <c r="H1772" t="s">
        <v>456</v>
      </c>
      <c r="K1772">
        <v>12.762574416452701</v>
      </c>
      <c r="L1772" t="s">
        <v>530</v>
      </c>
      <c r="M1772" t="s">
        <v>535</v>
      </c>
      <c r="Q1772" t="s">
        <v>468</v>
      </c>
      <c r="R1772" t="s">
        <v>4</v>
      </c>
      <c r="S1772" s="1" t="s">
        <v>65</v>
      </c>
    </row>
    <row r="1773" spans="1:19" x14ac:dyDescent="0.3">
      <c r="A1773" s="2" t="s">
        <v>206</v>
      </c>
      <c r="B1773" s="1" t="s">
        <v>433</v>
      </c>
      <c r="C1773" s="3" t="s">
        <v>72</v>
      </c>
      <c r="D1773" s="1" t="s">
        <v>528</v>
      </c>
      <c r="E1773">
        <v>120</v>
      </c>
      <c r="F1773">
        <v>960</v>
      </c>
      <c r="G1773">
        <f t="shared" si="53"/>
        <v>1080</v>
      </c>
      <c r="H1773" t="s">
        <v>456</v>
      </c>
      <c r="K1773">
        <v>8.7504582831404001</v>
      </c>
      <c r="L1773" t="s">
        <v>530</v>
      </c>
      <c r="M1773" t="s">
        <v>535</v>
      </c>
      <c r="Q1773" t="s">
        <v>468</v>
      </c>
      <c r="R1773" t="s">
        <v>4</v>
      </c>
      <c r="S1773" s="1" t="s">
        <v>65</v>
      </c>
    </row>
    <row r="1774" spans="1:19" x14ac:dyDescent="0.3">
      <c r="A1774" s="2" t="s">
        <v>206</v>
      </c>
      <c r="B1774" s="1" t="s">
        <v>433</v>
      </c>
      <c r="C1774" s="3" t="s">
        <v>72</v>
      </c>
      <c r="D1774" s="1" t="s">
        <v>528</v>
      </c>
      <c r="E1774">
        <v>150</v>
      </c>
      <c r="F1774">
        <v>960</v>
      </c>
      <c r="G1774">
        <f t="shared" si="53"/>
        <v>1110</v>
      </c>
      <c r="H1774" t="s">
        <v>456</v>
      </c>
      <c r="K1774">
        <v>5.88527208924733</v>
      </c>
      <c r="L1774" t="s">
        <v>530</v>
      </c>
      <c r="M1774" t="s">
        <v>535</v>
      </c>
      <c r="Q1774" t="s">
        <v>468</v>
      </c>
      <c r="R1774" t="s">
        <v>4</v>
      </c>
      <c r="S1774" s="1" t="s">
        <v>65</v>
      </c>
    </row>
    <row r="1775" spans="1:19" x14ac:dyDescent="0.3">
      <c r="A1775" s="2" t="s">
        <v>206</v>
      </c>
      <c r="B1775" s="1" t="s">
        <v>433</v>
      </c>
      <c r="C1775" s="3" t="s">
        <v>72</v>
      </c>
      <c r="D1775" s="1" t="s">
        <v>528</v>
      </c>
      <c r="E1775">
        <v>180</v>
      </c>
      <c r="F1775">
        <v>960</v>
      </c>
      <c r="G1775">
        <f t="shared" si="53"/>
        <v>1140</v>
      </c>
      <c r="H1775" t="s">
        <v>456</v>
      </c>
      <c r="K1775">
        <v>3.7854187398522701</v>
      </c>
      <c r="L1775" t="s">
        <v>530</v>
      </c>
      <c r="M1775" t="s">
        <v>535</v>
      </c>
      <c r="Q1775" t="s">
        <v>468</v>
      </c>
      <c r="R1775" t="s">
        <v>4</v>
      </c>
      <c r="S1775" s="1" t="s">
        <v>65</v>
      </c>
    </row>
    <row r="1776" spans="1:19" x14ac:dyDescent="0.3">
      <c r="A1776" s="2" t="s">
        <v>206</v>
      </c>
      <c r="B1776" s="1" t="s">
        <v>433</v>
      </c>
      <c r="C1776" s="3" t="s">
        <v>72</v>
      </c>
      <c r="D1776" s="1" t="s">
        <v>528</v>
      </c>
      <c r="E1776">
        <v>240</v>
      </c>
      <c r="F1776">
        <v>960</v>
      </c>
      <c r="G1776">
        <f t="shared" si="53"/>
        <v>1200</v>
      </c>
      <c r="H1776" t="s">
        <v>456</v>
      </c>
      <c r="K1776">
        <v>1.6895371776741599</v>
      </c>
      <c r="L1776" t="s">
        <v>530</v>
      </c>
      <c r="M1776" t="s">
        <v>535</v>
      </c>
      <c r="Q1776" t="s">
        <v>468</v>
      </c>
      <c r="R1776" t="s">
        <v>4</v>
      </c>
      <c r="S1776" s="1" t="s">
        <v>65</v>
      </c>
    </row>
    <row r="1777" spans="1:19" x14ac:dyDescent="0.3">
      <c r="A1777" s="2" t="s">
        <v>206</v>
      </c>
      <c r="B1777" s="1" t="s">
        <v>433</v>
      </c>
      <c r="C1777" s="3" t="s">
        <v>72</v>
      </c>
      <c r="D1777" s="1" t="s">
        <v>528</v>
      </c>
      <c r="E1777">
        <v>360</v>
      </c>
      <c r="F1777">
        <v>960</v>
      </c>
      <c r="G1777">
        <f t="shared" si="53"/>
        <v>1320</v>
      </c>
      <c r="H1777" t="s">
        <v>456</v>
      </c>
      <c r="K1777">
        <v>0.36662651233433502</v>
      </c>
      <c r="L1777" t="s">
        <v>530</v>
      </c>
      <c r="M1777" t="s">
        <v>535</v>
      </c>
      <c r="Q1777" t="s">
        <v>468</v>
      </c>
      <c r="R1777" t="s">
        <v>4</v>
      </c>
      <c r="S1777" s="1" t="s">
        <v>65</v>
      </c>
    </row>
    <row r="1778" spans="1:19" x14ac:dyDescent="0.3">
      <c r="A1778" s="2" t="s">
        <v>206</v>
      </c>
      <c r="B1778" s="1" t="s">
        <v>433</v>
      </c>
      <c r="C1778" s="3" t="s">
        <v>72</v>
      </c>
      <c r="D1778" s="1" t="s">
        <v>528</v>
      </c>
      <c r="E1778">
        <v>470</v>
      </c>
      <c r="F1778">
        <v>960</v>
      </c>
      <c r="G1778">
        <f t="shared" si="53"/>
        <v>1430</v>
      </c>
      <c r="H1778" t="s">
        <v>456</v>
      </c>
      <c r="K1778">
        <v>0.190034742226629</v>
      </c>
      <c r="L1778" t="s">
        <v>530</v>
      </c>
      <c r="M1778" t="s">
        <v>535</v>
      </c>
      <c r="Q1778" t="s">
        <v>468</v>
      </c>
      <c r="R1778" t="s">
        <v>4</v>
      </c>
      <c r="S1778" s="1" t="s">
        <v>65</v>
      </c>
    </row>
    <row r="1779" spans="1:19" x14ac:dyDescent="0.3">
      <c r="A1779" s="2" t="s">
        <v>206</v>
      </c>
      <c r="B1779" s="1" t="s">
        <v>433</v>
      </c>
      <c r="C1779" s="3" t="s">
        <v>72</v>
      </c>
      <c r="D1779" s="1" t="s">
        <v>528</v>
      </c>
      <c r="E1779">
        <v>480</v>
      </c>
      <c r="F1779">
        <v>960</v>
      </c>
      <c r="G1779">
        <f t="shared" si="53"/>
        <v>1440</v>
      </c>
      <c r="H1779" t="s">
        <v>456</v>
      </c>
      <c r="K1779">
        <v>0.19125683060107601</v>
      </c>
      <c r="L1779" t="s">
        <v>530</v>
      </c>
      <c r="M1779" t="s">
        <v>535</v>
      </c>
      <c r="Q1779" t="s">
        <v>468</v>
      </c>
      <c r="R1779" t="s">
        <v>4</v>
      </c>
      <c r="S1779" s="1" t="s">
        <v>65</v>
      </c>
    </row>
    <row r="1780" spans="1:19" x14ac:dyDescent="0.3">
      <c r="A1780" s="2" t="s">
        <v>207</v>
      </c>
      <c r="B1780" s="1" t="s">
        <v>434</v>
      </c>
      <c r="C1780" s="3" t="s">
        <v>67</v>
      </c>
      <c r="D1780" s="1" t="s">
        <v>528</v>
      </c>
      <c r="E1780">
        <v>0.25</v>
      </c>
      <c r="F1780">
        <v>0</v>
      </c>
      <c r="G1780">
        <f t="shared" si="53"/>
        <v>0.25</v>
      </c>
      <c r="H1780" t="s">
        <v>514</v>
      </c>
      <c r="K1780">
        <v>31.035965210582301</v>
      </c>
      <c r="L1780" t="s">
        <v>458</v>
      </c>
      <c r="M1780" t="s">
        <v>535</v>
      </c>
      <c r="Q1780" t="s">
        <v>468</v>
      </c>
      <c r="R1780" t="s">
        <v>4</v>
      </c>
      <c r="S1780" s="1" t="s">
        <v>65</v>
      </c>
    </row>
    <row r="1781" spans="1:19" x14ac:dyDescent="0.3">
      <c r="A1781" s="2" t="s">
        <v>207</v>
      </c>
      <c r="B1781" s="1" t="s">
        <v>434</v>
      </c>
      <c r="C1781" s="3" t="s">
        <v>67</v>
      </c>
      <c r="D1781" s="1" t="s">
        <v>528</v>
      </c>
      <c r="E1781">
        <v>0.5</v>
      </c>
      <c r="F1781">
        <v>1</v>
      </c>
      <c r="G1781">
        <f t="shared" ref="G1781:G1792" si="54">(F1781+E1781)</f>
        <v>1.5</v>
      </c>
      <c r="H1781" t="s">
        <v>514</v>
      </c>
      <c r="K1781">
        <v>56.984900408955099</v>
      </c>
      <c r="L1781" t="s">
        <v>458</v>
      </c>
      <c r="M1781" t="s">
        <v>535</v>
      </c>
      <c r="Q1781" t="s">
        <v>468</v>
      </c>
      <c r="R1781" t="s">
        <v>4</v>
      </c>
      <c r="S1781" s="1" t="s">
        <v>65</v>
      </c>
    </row>
    <row r="1782" spans="1:19" x14ac:dyDescent="0.3">
      <c r="A1782" s="2" t="s">
        <v>207</v>
      </c>
      <c r="B1782" s="1" t="s">
        <v>434</v>
      </c>
      <c r="C1782" s="3" t="s">
        <v>67</v>
      </c>
      <c r="D1782" s="1" t="s">
        <v>528</v>
      </c>
      <c r="E1782">
        <v>0.68300000000000005</v>
      </c>
      <c r="F1782">
        <v>2</v>
      </c>
      <c r="G1782">
        <f t="shared" si="54"/>
        <v>2.6829999999999998</v>
      </c>
      <c r="H1782" t="s">
        <v>514</v>
      </c>
      <c r="K1782">
        <v>47.236233999113999</v>
      </c>
      <c r="L1782" t="s">
        <v>458</v>
      </c>
      <c r="M1782" t="s">
        <v>535</v>
      </c>
      <c r="Q1782" t="s">
        <v>468</v>
      </c>
      <c r="R1782" t="s">
        <v>4</v>
      </c>
      <c r="S1782" s="1" t="s">
        <v>65</v>
      </c>
    </row>
    <row r="1783" spans="1:19" x14ac:dyDescent="0.3">
      <c r="A1783" s="2" t="s">
        <v>207</v>
      </c>
      <c r="B1783" s="1" t="s">
        <v>434</v>
      </c>
      <c r="C1783" s="3" t="s">
        <v>67</v>
      </c>
      <c r="D1783" s="1" t="s">
        <v>528</v>
      </c>
      <c r="E1783">
        <v>0.75</v>
      </c>
      <c r="F1783">
        <v>3</v>
      </c>
      <c r="G1783">
        <f t="shared" si="54"/>
        <v>3.75</v>
      </c>
      <c r="H1783" t="s">
        <v>514</v>
      </c>
      <c r="K1783">
        <v>36.073905552578701</v>
      </c>
      <c r="L1783" t="s">
        <v>458</v>
      </c>
      <c r="M1783" t="s">
        <v>535</v>
      </c>
      <c r="Q1783" t="s">
        <v>468</v>
      </c>
      <c r="R1783" t="s">
        <v>4</v>
      </c>
      <c r="S1783" s="1" t="s">
        <v>65</v>
      </c>
    </row>
    <row r="1784" spans="1:19" x14ac:dyDescent="0.3">
      <c r="A1784" s="2" t="s">
        <v>207</v>
      </c>
      <c r="B1784" s="1" t="s">
        <v>434</v>
      </c>
      <c r="C1784" s="3" t="s">
        <v>67</v>
      </c>
      <c r="D1784" s="1" t="s">
        <v>528</v>
      </c>
      <c r="E1784">
        <v>1</v>
      </c>
      <c r="F1784">
        <v>4</v>
      </c>
      <c r="G1784">
        <f t="shared" si="54"/>
        <v>5</v>
      </c>
      <c r="H1784" t="s">
        <v>514</v>
      </c>
      <c r="K1784">
        <v>25.854294530492101</v>
      </c>
      <c r="L1784" t="s">
        <v>458</v>
      </c>
      <c r="M1784" t="s">
        <v>535</v>
      </c>
      <c r="Q1784" t="s">
        <v>468</v>
      </c>
      <c r="R1784" t="s">
        <v>4</v>
      </c>
      <c r="S1784" s="1" t="s">
        <v>65</v>
      </c>
    </row>
    <row r="1785" spans="1:19" x14ac:dyDescent="0.3">
      <c r="A1785" s="2" t="s">
        <v>207</v>
      </c>
      <c r="B1785" s="1" t="s">
        <v>434</v>
      </c>
      <c r="C1785" s="3" t="s">
        <v>67</v>
      </c>
      <c r="D1785" s="1" t="s">
        <v>528</v>
      </c>
      <c r="E1785">
        <v>1.5</v>
      </c>
      <c r="F1785">
        <v>5</v>
      </c>
      <c r="G1785">
        <f t="shared" si="54"/>
        <v>6.5</v>
      </c>
      <c r="H1785" t="s">
        <v>514</v>
      </c>
      <c r="K1785">
        <v>16.011439198202002</v>
      </c>
      <c r="L1785" t="s">
        <v>458</v>
      </c>
      <c r="M1785" t="s">
        <v>535</v>
      </c>
      <c r="Q1785" t="s">
        <v>468</v>
      </c>
      <c r="R1785" t="s">
        <v>4</v>
      </c>
      <c r="S1785" s="1" t="s">
        <v>65</v>
      </c>
    </row>
    <row r="1786" spans="1:19" x14ac:dyDescent="0.3">
      <c r="A1786" s="2" t="s">
        <v>207</v>
      </c>
      <c r="B1786" s="1" t="s">
        <v>434</v>
      </c>
      <c r="C1786" s="3" t="s">
        <v>67</v>
      </c>
      <c r="D1786" s="1" t="s">
        <v>528</v>
      </c>
      <c r="E1786">
        <v>2</v>
      </c>
      <c r="F1786">
        <v>6</v>
      </c>
      <c r="G1786">
        <f t="shared" si="54"/>
        <v>8</v>
      </c>
      <c r="H1786" t="s">
        <v>514</v>
      </c>
      <c r="K1786">
        <v>11.1597685557572</v>
      </c>
      <c r="L1786" t="s">
        <v>458</v>
      </c>
      <c r="M1786" t="s">
        <v>535</v>
      </c>
      <c r="Q1786" t="s">
        <v>468</v>
      </c>
      <c r="R1786" t="s">
        <v>4</v>
      </c>
      <c r="S1786" s="1" t="s">
        <v>65</v>
      </c>
    </row>
    <row r="1787" spans="1:19" x14ac:dyDescent="0.3">
      <c r="A1787" s="2" t="s">
        <v>207</v>
      </c>
      <c r="B1787" s="1" t="s">
        <v>434</v>
      </c>
      <c r="C1787" s="3" t="s">
        <v>67</v>
      </c>
      <c r="D1787" s="1" t="s">
        <v>528</v>
      </c>
      <c r="E1787">
        <v>2.5</v>
      </c>
      <c r="F1787">
        <v>7</v>
      </c>
      <c r="G1787">
        <f t="shared" si="54"/>
        <v>9.5</v>
      </c>
      <c r="H1787" t="s">
        <v>514</v>
      </c>
      <c r="K1787">
        <v>6.8740596479648204</v>
      </c>
      <c r="L1787" t="s">
        <v>458</v>
      </c>
      <c r="M1787" t="s">
        <v>535</v>
      </c>
      <c r="Q1787" t="s">
        <v>468</v>
      </c>
      <c r="R1787" t="s">
        <v>4</v>
      </c>
      <c r="S1787" s="1" t="s">
        <v>65</v>
      </c>
    </row>
    <row r="1788" spans="1:19" x14ac:dyDescent="0.3">
      <c r="A1788" s="2" t="s">
        <v>207</v>
      </c>
      <c r="B1788" s="1" t="s">
        <v>434</v>
      </c>
      <c r="C1788" s="3" t="s">
        <v>67</v>
      </c>
      <c r="D1788" s="1" t="s">
        <v>528</v>
      </c>
      <c r="E1788">
        <v>3</v>
      </c>
      <c r="F1788">
        <v>8</v>
      </c>
      <c r="G1788">
        <f t="shared" si="54"/>
        <v>11</v>
      </c>
      <c r="H1788" t="s">
        <v>514</v>
      </c>
      <c r="K1788">
        <v>4.2829231442987599</v>
      </c>
      <c r="L1788" t="s">
        <v>458</v>
      </c>
      <c r="M1788" t="s">
        <v>535</v>
      </c>
      <c r="Q1788" t="s">
        <v>468</v>
      </c>
      <c r="R1788" t="s">
        <v>4</v>
      </c>
      <c r="S1788" s="1" t="s">
        <v>65</v>
      </c>
    </row>
    <row r="1789" spans="1:19" x14ac:dyDescent="0.3">
      <c r="A1789" s="2" t="s">
        <v>207</v>
      </c>
      <c r="B1789" s="1" t="s">
        <v>434</v>
      </c>
      <c r="C1789" s="3" t="s">
        <v>67</v>
      </c>
      <c r="D1789" s="1" t="s">
        <v>528</v>
      </c>
      <c r="E1789">
        <v>3.5</v>
      </c>
      <c r="F1789">
        <v>9</v>
      </c>
      <c r="G1789">
        <f t="shared" si="54"/>
        <v>12.5</v>
      </c>
      <c r="H1789" t="s">
        <v>514</v>
      </c>
      <c r="K1789">
        <v>3.2938265222252401</v>
      </c>
      <c r="L1789" t="s">
        <v>458</v>
      </c>
      <c r="M1789" t="s">
        <v>535</v>
      </c>
      <c r="Q1789" t="s">
        <v>468</v>
      </c>
      <c r="R1789" t="s">
        <v>4</v>
      </c>
      <c r="S1789" s="1" t="s">
        <v>65</v>
      </c>
    </row>
    <row r="1790" spans="1:19" x14ac:dyDescent="0.3">
      <c r="A1790" s="2" t="s">
        <v>207</v>
      </c>
      <c r="B1790" s="1" t="s">
        <v>434</v>
      </c>
      <c r="C1790" s="3" t="s">
        <v>67</v>
      </c>
      <c r="D1790" s="1" t="s">
        <v>528</v>
      </c>
      <c r="E1790">
        <v>4</v>
      </c>
      <c r="F1790">
        <v>10</v>
      </c>
      <c r="G1790">
        <f t="shared" si="54"/>
        <v>14</v>
      </c>
      <c r="H1790" t="s">
        <v>514</v>
      </c>
      <c r="K1790">
        <v>2.2105409777026002</v>
      </c>
      <c r="L1790" t="s">
        <v>458</v>
      </c>
      <c r="M1790" t="s">
        <v>535</v>
      </c>
      <c r="Q1790" t="s">
        <v>468</v>
      </c>
      <c r="R1790" t="s">
        <v>4</v>
      </c>
      <c r="S1790" s="1" t="s">
        <v>65</v>
      </c>
    </row>
    <row r="1791" spans="1:19" x14ac:dyDescent="0.3">
      <c r="A1791" s="2" t="s">
        <v>207</v>
      </c>
      <c r="B1791" s="1" t="s">
        <v>434</v>
      </c>
      <c r="C1791" s="3" t="s">
        <v>67</v>
      </c>
      <c r="D1791" s="1" t="s">
        <v>528</v>
      </c>
      <c r="E1791">
        <v>5</v>
      </c>
      <c r="F1791">
        <v>11</v>
      </c>
      <c r="G1791">
        <f t="shared" si="54"/>
        <v>16</v>
      </c>
      <c r="H1791" t="s">
        <v>514</v>
      </c>
      <c r="K1791">
        <v>1.5056675228915799</v>
      </c>
      <c r="L1791" t="s">
        <v>458</v>
      </c>
      <c r="M1791" t="s">
        <v>535</v>
      </c>
      <c r="Q1791" t="s">
        <v>468</v>
      </c>
      <c r="R1791" t="s">
        <v>4</v>
      </c>
      <c r="S1791" s="1" t="s">
        <v>65</v>
      </c>
    </row>
    <row r="1792" spans="1:19" x14ac:dyDescent="0.3">
      <c r="A1792" s="2" t="s">
        <v>207</v>
      </c>
      <c r="B1792" s="1" t="s">
        <v>434</v>
      </c>
      <c r="C1792" s="3" t="s">
        <v>67</v>
      </c>
      <c r="D1792" s="1" t="s">
        <v>528</v>
      </c>
      <c r="E1792">
        <v>6</v>
      </c>
      <c r="F1792">
        <v>12</v>
      </c>
      <c r="G1792">
        <f t="shared" si="54"/>
        <v>18</v>
      </c>
      <c r="H1792" t="s">
        <v>514</v>
      </c>
      <c r="K1792">
        <v>1.27008228041093</v>
      </c>
      <c r="L1792" t="s">
        <v>458</v>
      </c>
      <c r="M1792" t="s">
        <v>535</v>
      </c>
      <c r="Q1792" t="s">
        <v>468</v>
      </c>
      <c r="R1792" t="s">
        <v>4</v>
      </c>
      <c r="S1792" s="1" t="s">
        <v>65</v>
      </c>
    </row>
    <row r="1793" spans="1:19" x14ac:dyDescent="0.3">
      <c r="A1793" s="2" t="s">
        <v>207</v>
      </c>
      <c r="B1793" s="1" t="s">
        <v>434</v>
      </c>
      <c r="C1793" s="3" t="s">
        <v>67</v>
      </c>
      <c r="D1793" s="1" t="s">
        <v>528</v>
      </c>
      <c r="E1793">
        <v>0</v>
      </c>
      <c r="F1793">
        <f>2*24</f>
        <v>48</v>
      </c>
      <c r="G1793">
        <f t="shared" ref="G1793:G1806" si="55">(F1793+E1793)</f>
        <v>48</v>
      </c>
      <c r="H1793" t="s">
        <v>514</v>
      </c>
      <c r="K1793">
        <v>0.81208584013330598</v>
      </c>
      <c r="L1793" t="s">
        <v>458</v>
      </c>
      <c r="M1793" t="s">
        <v>535</v>
      </c>
      <c r="Q1793" t="s">
        <v>468</v>
      </c>
      <c r="R1793" t="s">
        <v>4</v>
      </c>
      <c r="S1793" s="1" t="s">
        <v>65</v>
      </c>
    </row>
    <row r="1794" spans="1:19" x14ac:dyDescent="0.3">
      <c r="A1794" s="2" t="s">
        <v>207</v>
      </c>
      <c r="B1794" s="1" t="s">
        <v>434</v>
      </c>
      <c r="C1794" s="3" t="s">
        <v>67</v>
      </c>
      <c r="D1794" s="1" t="s">
        <v>528</v>
      </c>
      <c r="E1794">
        <v>0.25</v>
      </c>
      <c r="F1794">
        <f t="shared" ref="F1794:F1806" si="56">2*24</f>
        <v>48</v>
      </c>
      <c r="G1794">
        <f t="shared" si="55"/>
        <v>48.25</v>
      </c>
      <c r="H1794" t="s">
        <v>514</v>
      </c>
      <c r="K1794">
        <v>36.828640499456199</v>
      </c>
      <c r="L1794" t="s">
        <v>458</v>
      </c>
      <c r="M1794" t="s">
        <v>535</v>
      </c>
      <c r="Q1794" t="s">
        <v>468</v>
      </c>
      <c r="R1794" t="s">
        <v>4</v>
      </c>
      <c r="S1794" s="1" t="s">
        <v>65</v>
      </c>
    </row>
    <row r="1795" spans="1:19" x14ac:dyDescent="0.3">
      <c r="A1795" s="2" t="s">
        <v>207</v>
      </c>
      <c r="B1795" s="1" t="s">
        <v>434</v>
      </c>
      <c r="C1795" s="3" t="s">
        <v>67</v>
      </c>
      <c r="D1795" s="1" t="s">
        <v>528</v>
      </c>
      <c r="E1795">
        <v>0.5</v>
      </c>
      <c r="F1795">
        <f t="shared" si="56"/>
        <v>48</v>
      </c>
      <c r="G1795">
        <f t="shared" si="55"/>
        <v>48.5</v>
      </c>
      <c r="H1795" t="s">
        <v>514</v>
      </c>
      <c r="K1795">
        <v>50.036183978907601</v>
      </c>
      <c r="L1795" t="s">
        <v>458</v>
      </c>
      <c r="M1795" t="s">
        <v>535</v>
      </c>
      <c r="Q1795" t="s">
        <v>468</v>
      </c>
      <c r="R1795" t="s">
        <v>4</v>
      </c>
      <c r="S1795" s="1" t="s">
        <v>65</v>
      </c>
    </row>
    <row r="1796" spans="1:19" x14ac:dyDescent="0.3">
      <c r="A1796" s="2" t="s">
        <v>207</v>
      </c>
      <c r="B1796" s="1" t="s">
        <v>434</v>
      </c>
      <c r="C1796" s="3" t="s">
        <v>67</v>
      </c>
      <c r="D1796" s="1" t="s">
        <v>528</v>
      </c>
      <c r="E1796">
        <v>0.68300000000000005</v>
      </c>
      <c r="F1796">
        <f t="shared" si="56"/>
        <v>48</v>
      </c>
      <c r="G1796">
        <f t="shared" si="55"/>
        <v>48.683</v>
      </c>
      <c r="H1796" t="s">
        <v>514</v>
      </c>
      <c r="K1796">
        <v>46.361260845414201</v>
      </c>
      <c r="L1796" t="s">
        <v>458</v>
      </c>
      <c r="M1796" t="s">
        <v>535</v>
      </c>
      <c r="Q1796" t="s">
        <v>468</v>
      </c>
      <c r="R1796" t="s">
        <v>4</v>
      </c>
      <c r="S1796" s="1" t="s">
        <v>65</v>
      </c>
    </row>
    <row r="1797" spans="1:19" x14ac:dyDescent="0.3">
      <c r="A1797" s="2" t="s">
        <v>207</v>
      </c>
      <c r="B1797" s="1" t="s">
        <v>434</v>
      </c>
      <c r="C1797" s="3" t="s">
        <v>67</v>
      </c>
      <c r="D1797" s="1" t="s">
        <v>528</v>
      </c>
      <c r="E1797">
        <v>0.75</v>
      </c>
      <c r="F1797">
        <f t="shared" si="56"/>
        <v>48</v>
      </c>
      <c r="G1797">
        <f t="shared" si="55"/>
        <v>48.75</v>
      </c>
      <c r="H1797" t="s">
        <v>514</v>
      </c>
      <c r="K1797">
        <v>36.274341060405703</v>
      </c>
      <c r="L1797" t="s">
        <v>458</v>
      </c>
      <c r="M1797" t="s">
        <v>535</v>
      </c>
      <c r="Q1797" t="s">
        <v>468</v>
      </c>
      <c r="R1797" t="s">
        <v>4</v>
      </c>
      <c r="S1797" s="1" t="s">
        <v>65</v>
      </c>
    </row>
    <row r="1798" spans="1:19" x14ac:dyDescent="0.3">
      <c r="A1798" s="2" t="s">
        <v>207</v>
      </c>
      <c r="B1798" s="1" t="s">
        <v>434</v>
      </c>
      <c r="C1798" s="3" t="s">
        <v>67</v>
      </c>
      <c r="D1798" s="1" t="s">
        <v>528</v>
      </c>
      <c r="E1798">
        <v>1</v>
      </c>
      <c r="F1798">
        <f t="shared" si="56"/>
        <v>48</v>
      </c>
      <c r="G1798">
        <f t="shared" si="55"/>
        <v>49</v>
      </c>
      <c r="H1798" t="s">
        <v>514</v>
      </c>
      <c r="K1798">
        <v>27.404180912070998</v>
      </c>
      <c r="L1798" t="s">
        <v>458</v>
      </c>
      <c r="M1798" t="s">
        <v>535</v>
      </c>
      <c r="Q1798" t="s">
        <v>468</v>
      </c>
      <c r="R1798" t="s">
        <v>4</v>
      </c>
      <c r="S1798" s="1" t="s">
        <v>65</v>
      </c>
    </row>
    <row r="1799" spans="1:19" x14ac:dyDescent="0.3">
      <c r="A1799" s="2" t="s">
        <v>207</v>
      </c>
      <c r="B1799" s="1" t="s">
        <v>434</v>
      </c>
      <c r="C1799" s="3" t="s">
        <v>67</v>
      </c>
      <c r="D1799" s="1" t="s">
        <v>528</v>
      </c>
      <c r="E1799">
        <v>1.5</v>
      </c>
      <c r="F1799">
        <f t="shared" si="56"/>
        <v>48</v>
      </c>
      <c r="G1799">
        <f t="shared" si="55"/>
        <v>49.5</v>
      </c>
      <c r="H1799" t="s">
        <v>514</v>
      </c>
      <c r="K1799">
        <v>16.992192084118901</v>
      </c>
      <c r="L1799" t="s">
        <v>458</v>
      </c>
      <c r="M1799" t="s">
        <v>535</v>
      </c>
      <c r="Q1799" t="s">
        <v>468</v>
      </c>
      <c r="R1799" t="s">
        <v>4</v>
      </c>
      <c r="S1799" s="1" t="s">
        <v>65</v>
      </c>
    </row>
    <row r="1800" spans="1:19" x14ac:dyDescent="0.3">
      <c r="A1800" s="2" t="s">
        <v>207</v>
      </c>
      <c r="B1800" s="1" t="s">
        <v>434</v>
      </c>
      <c r="C1800" s="3" t="s">
        <v>67</v>
      </c>
      <c r="D1800" s="1" t="s">
        <v>528</v>
      </c>
      <c r="E1800">
        <v>2</v>
      </c>
      <c r="F1800">
        <f t="shared" si="56"/>
        <v>48</v>
      </c>
      <c r="G1800">
        <f t="shared" si="55"/>
        <v>50</v>
      </c>
      <c r="H1800" t="s">
        <v>514</v>
      </c>
      <c r="K1800">
        <v>11.207645185770501</v>
      </c>
      <c r="L1800" t="s">
        <v>458</v>
      </c>
      <c r="M1800" t="s">
        <v>535</v>
      </c>
      <c r="Q1800" t="s">
        <v>468</v>
      </c>
      <c r="R1800" t="s">
        <v>4</v>
      </c>
      <c r="S1800" s="1" t="s">
        <v>65</v>
      </c>
    </row>
    <row r="1801" spans="1:19" x14ac:dyDescent="0.3">
      <c r="A1801" s="2" t="s">
        <v>207</v>
      </c>
      <c r="B1801" s="1" t="s">
        <v>434</v>
      </c>
      <c r="C1801" s="3" t="s">
        <v>67</v>
      </c>
      <c r="D1801" s="1" t="s">
        <v>528</v>
      </c>
      <c r="E1801">
        <v>2.5</v>
      </c>
      <c r="F1801">
        <f t="shared" si="56"/>
        <v>48</v>
      </c>
      <c r="G1801">
        <f t="shared" si="55"/>
        <v>50.5</v>
      </c>
      <c r="H1801" t="s">
        <v>514</v>
      </c>
      <c r="K1801">
        <v>7.6954521628240196</v>
      </c>
      <c r="L1801" t="s">
        <v>458</v>
      </c>
      <c r="M1801" t="s">
        <v>535</v>
      </c>
      <c r="Q1801" t="s">
        <v>468</v>
      </c>
      <c r="R1801" t="s">
        <v>4</v>
      </c>
      <c r="S1801" s="1" t="s">
        <v>65</v>
      </c>
    </row>
    <row r="1802" spans="1:19" x14ac:dyDescent="0.3">
      <c r="A1802" s="2" t="s">
        <v>207</v>
      </c>
      <c r="B1802" s="1" t="s">
        <v>434</v>
      </c>
      <c r="C1802" s="3" t="s">
        <v>67</v>
      </c>
      <c r="D1802" s="1" t="s">
        <v>528</v>
      </c>
      <c r="E1802">
        <v>3</v>
      </c>
      <c r="F1802">
        <f t="shared" si="56"/>
        <v>48</v>
      </c>
      <c r="G1802">
        <f t="shared" si="55"/>
        <v>51</v>
      </c>
      <c r="H1802" t="s">
        <v>514</v>
      </c>
      <c r="K1802">
        <v>5.4811882427495098</v>
      </c>
      <c r="L1802" t="s">
        <v>458</v>
      </c>
      <c r="M1802" t="s">
        <v>535</v>
      </c>
      <c r="Q1802" t="s">
        <v>468</v>
      </c>
      <c r="R1802" t="s">
        <v>4</v>
      </c>
      <c r="S1802" s="1" t="s">
        <v>65</v>
      </c>
    </row>
    <row r="1803" spans="1:19" x14ac:dyDescent="0.3">
      <c r="A1803" s="2" t="s">
        <v>207</v>
      </c>
      <c r="B1803" s="1" t="s">
        <v>434</v>
      </c>
      <c r="C1803" s="3" t="s">
        <v>67</v>
      </c>
      <c r="D1803" s="1" t="s">
        <v>528</v>
      </c>
      <c r="E1803">
        <v>3.5</v>
      </c>
      <c r="F1803">
        <f t="shared" si="56"/>
        <v>48</v>
      </c>
      <c r="G1803">
        <f t="shared" si="55"/>
        <v>51.5</v>
      </c>
      <c r="H1803" t="s">
        <v>514</v>
      </c>
      <c r="K1803">
        <v>3.7547234761655299</v>
      </c>
      <c r="L1803" t="s">
        <v>458</v>
      </c>
      <c r="M1803" t="s">
        <v>535</v>
      </c>
      <c r="Q1803" t="s">
        <v>468</v>
      </c>
      <c r="R1803" t="s">
        <v>4</v>
      </c>
      <c r="S1803" s="1" t="s">
        <v>65</v>
      </c>
    </row>
    <row r="1804" spans="1:19" x14ac:dyDescent="0.3">
      <c r="A1804" s="2" t="s">
        <v>207</v>
      </c>
      <c r="B1804" s="1" t="s">
        <v>434</v>
      </c>
      <c r="C1804" s="3" t="s">
        <v>67</v>
      </c>
      <c r="D1804" s="1" t="s">
        <v>528</v>
      </c>
      <c r="E1804">
        <v>4</v>
      </c>
      <c r="F1804">
        <f t="shared" si="56"/>
        <v>48</v>
      </c>
      <c r="G1804">
        <f t="shared" si="55"/>
        <v>52</v>
      </c>
      <c r="H1804" t="s">
        <v>514</v>
      </c>
      <c r="K1804">
        <v>2.8395621934141499</v>
      </c>
      <c r="L1804" t="s">
        <v>458</v>
      </c>
      <c r="M1804" t="s">
        <v>535</v>
      </c>
      <c r="Q1804" t="s">
        <v>468</v>
      </c>
      <c r="R1804" t="s">
        <v>4</v>
      </c>
      <c r="S1804" s="1" t="s">
        <v>65</v>
      </c>
    </row>
    <row r="1805" spans="1:19" x14ac:dyDescent="0.3">
      <c r="A1805" s="2" t="s">
        <v>207</v>
      </c>
      <c r="B1805" s="1" t="s">
        <v>434</v>
      </c>
      <c r="C1805" s="3" t="s">
        <v>67</v>
      </c>
      <c r="D1805" s="1" t="s">
        <v>528</v>
      </c>
      <c r="E1805">
        <v>5</v>
      </c>
      <c r="F1805">
        <f t="shared" si="56"/>
        <v>48</v>
      </c>
      <c r="G1805">
        <f t="shared" si="55"/>
        <v>53</v>
      </c>
      <c r="H1805" t="s">
        <v>514</v>
      </c>
      <c r="K1805">
        <v>1.60011422401991</v>
      </c>
      <c r="L1805" t="s">
        <v>458</v>
      </c>
      <c r="M1805" t="s">
        <v>535</v>
      </c>
      <c r="Q1805" t="s">
        <v>468</v>
      </c>
      <c r="R1805" t="s">
        <v>4</v>
      </c>
      <c r="S1805" s="1" t="s">
        <v>65</v>
      </c>
    </row>
    <row r="1806" spans="1:19" x14ac:dyDescent="0.3">
      <c r="A1806" s="2" t="s">
        <v>207</v>
      </c>
      <c r="B1806" s="1" t="s">
        <v>434</v>
      </c>
      <c r="C1806" s="3" t="s">
        <v>67</v>
      </c>
      <c r="D1806" s="1" t="s">
        <v>528</v>
      </c>
      <c r="E1806">
        <v>6</v>
      </c>
      <c r="F1806">
        <f t="shared" si="56"/>
        <v>48</v>
      </c>
      <c r="G1806">
        <f t="shared" si="55"/>
        <v>54</v>
      </c>
      <c r="H1806" t="s">
        <v>514</v>
      </c>
      <c r="K1806">
        <v>0.928070161713066</v>
      </c>
      <c r="L1806" t="s">
        <v>458</v>
      </c>
      <c r="M1806" t="s">
        <v>535</v>
      </c>
      <c r="Q1806" t="s">
        <v>468</v>
      </c>
      <c r="R1806" t="s">
        <v>4</v>
      </c>
      <c r="S1806" s="1" t="s">
        <v>65</v>
      </c>
    </row>
    <row r="1807" spans="1:19" x14ac:dyDescent="0.3">
      <c r="A1807" s="2" t="s">
        <v>208</v>
      </c>
      <c r="B1807" s="1" t="s">
        <v>437</v>
      </c>
      <c r="C1807" s="3" t="s">
        <v>77</v>
      </c>
      <c r="D1807" s="1" t="s">
        <v>528</v>
      </c>
      <c r="E1807" s="22"/>
      <c r="G1807" s="22">
        <v>0.25</v>
      </c>
      <c r="H1807" t="s">
        <v>514</v>
      </c>
      <c r="K1807" s="22">
        <v>1.8934517203107599</v>
      </c>
      <c r="L1807" t="s">
        <v>458</v>
      </c>
      <c r="M1807" t="s">
        <v>535</v>
      </c>
      <c r="Q1807" t="s">
        <v>468</v>
      </c>
      <c r="R1807" t="s">
        <v>4</v>
      </c>
      <c r="S1807" s="1" t="s">
        <v>78</v>
      </c>
    </row>
    <row r="1808" spans="1:19" x14ac:dyDescent="0.3">
      <c r="A1808" s="2" t="s">
        <v>208</v>
      </c>
      <c r="B1808" s="1" t="s">
        <v>437</v>
      </c>
      <c r="C1808" s="3" t="s">
        <v>77</v>
      </c>
      <c r="D1808" s="1" t="s">
        <v>528</v>
      </c>
      <c r="E1808" s="22"/>
      <c r="G1808" s="22">
        <v>0.5</v>
      </c>
      <c r="H1808" t="s">
        <v>514</v>
      </c>
      <c r="K1808" s="22">
        <v>2.78524752651539</v>
      </c>
      <c r="L1808" t="s">
        <v>458</v>
      </c>
      <c r="M1808" t="s">
        <v>535</v>
      </c>
      <c r="Q1808" t="s">
        <v>468</v>
      </c>
      <c r="R1808" t="s">
        <v>4</v>
      </c>
      <c r="S1808" s="1" t="s">
        <v>78</v>
      </c>
    </row>
    <row r="1809" spans="1:19" x14ac:dyDescent="0.3">
      <c r="A1809" s="2" t="s">
        <v>208</v>
      </c>
      <c r="B1809" s="1" t="s">
        <v>437</v>
      </c>
      <c r="C1809" s="3" t="s">
        <v>77</v>
      </c>
      <c r="D1809" s="1" t="s">
        <v>528</v>
      </c>
      <c r="E1809" s="22"/>
      <c r="G1809" s="22">
        <v>1</v>
      </c>
      <c r="H1809" t="s">
        <v>514</v>
      </c>
      <c r="K1809" s="22">
        <v>1.7559930439737099</v>
      </c>
      <c r="L1809" t="s">
        <v>458</v>
      </c>
      <c r="M1809" t="s">
        <v>535</v>
      </c>
      <c r="Q1809" t="s">
        <v>468</v>
      </c>
      <c r="R1809" t="s">
        <v>4</v>
      </c>
      <c r="S1809" s="1" t="s">
        <v>78</v>
      </c>
    </row>
    <row r="1810" spans="1:19" x14ac:dyDescent="0.3">
      <c r="A1810" s="2" t="s">
        <v>208</v>
      </c>
      <c r="B1810" s="1" t="s">
        <v>437</v>
      </c>
      <c r="C1810" s="3" t="s">
        <v>77</v>
      </c>
      <c r="D1810" s="1" t="s">
        <v>528</v>
      </c>
      <c r="E1810" s="22"/>
      <c r="G1810" s="22">
        <v>1.5</v>
      </c>
      <c r="H1810" t="s">
        <v>514</v>
      </c>
      <c r="K1810" s="22">
        <v>1.45399941835275</v>
      </c>
      <c r="L1810" t="s">
        <v>458</v>
      </c>
      <c r="M1810" t="s">
        <v>535</v>
      </c>
      <c r="Q1810" t="s">
        <v>468</v>
      </c>
      <c r="R1810" t="s">
        <v>4</v>
      </c>
      <c r="S1810" s="1" t="s">
        <v>78</v>
      </c>
    </row>
    <row r="1811" spans="1:19" x14ac:dyDescent="0.3">
      <c r="A1811" s="2" t="s">
        <v>208</v>
      </c>
      <c r="B1811" s="1" t="s">
        <v>437</v>
      </c>
      <c r="C1811" s="3" t="s">
        <v>77</v>
      </c>
      <c r="D1811" s="1" t="s">
        <v>528</v>
      </c>
      <c r="E1811" s="22"/>
      <c r="G1811">
        <v>2</v>
      </c>
      <c r="H1811" t="s">
        <v>514</v>
      </c>
      <c r="K1811" s="22">
        <v>1.10376468214164</v>
      </c>
      <c r="L1811" t="s">
        <v>458</v>
      </c>
      <c r="M1811" t="s">
        <v>535</v>
      </c>
      <c r="Q1811" t="s">
        <v>468</v>
      </c>
      <c r="R1811" t="s">
        <v>4</v>
      </c>
      <c r="S1811" s="1" t="s">
        <v>78</v>
      </c>
    </row>
    <row r="1812" spans="1:19" x14ac:dyDescent="0.3">
      <c r="A1812" s="2" t="s">
        <v>208</v>
      </c>
      <c r="B1812" s="1" t="s">
        <v>437</v>
      </c>
      <c r="C1812" s="3" t="s">
        <v>77</v>
      </c>
      <c r="D1812" s="1" t="s">
        <v>528</v>
      </c>
      <c r="E1812" s="22"/>
      <c r="G1812" s="22">
        <v>4</v>
      </c>
      <c r="H1812" t="s">
        <v>514</v>
      </c>
      <c r="K1812" s="22">
        <v>0.76030791693127597</v>
      </c>
      <c r="L1812" t="s">
        <v>458</v>
      </c>
      <c r="M1812" t="s">
        <v>535</v>
      </c>
      <c r="Q1812" t="s">
        <v>468</v>
      </c>
      <c r="R1812" t="s">
        <v>4</v>
      </c>
      <c r="S1812" s="1" t="s">
        <v>78</v>
      </c>
    </row>
    <row r="1813" spans="1:19" x14ac:dyDescent="0.3">
      <c r="A1813" s="2" t="s">
        <v>208</v>
      </c>
      <c r="B1813" s="1" t="s">
        <v>437</v>
      </c>
      <c r="C1813" s="3" t="s">
        <v>77</v>
      </c>
      <c r="D1813" s="1" t="s">
        <v>528</v>
      </c>
      <c r="E1813" s="22"/>
      <c r="G1813" s="22">
        <v>6</v>
      </c>
      <c r="H1813" t="s">
        <v>514</v>
      </c>
      <c r="K1813" s="22">
        <v>0.43725628683518297</v>
      </c>
      <c r="L1813" t="s">
        <v>458</v>
      </c>
      <c r="M1813" t="s">
        <v>535</v>
      </c>
      <c r="Q1813" t="s">
        <v>468</v>
      </c>
      <c r="R1813" t="s">
        <v>4</v>
      </c>
      <c r="S1813" s="1" t="s">
        <v>78</v>
      </c>
    </row>
    <row r="1814" spans="1:19" x14ac:dyDescent="0.3">
      <c r="A1814" s="2" t="s">
        <v>208</v>
      </c>
      <c r="B1814" s="1" t="s">
        <v>437</v>
      </c>
      <c r="C1814" s="3" t="s">
        <v>77</v>
      </c>
      <c r="D1814" s="1" t="s">
        <v>528</v>
      </c>
      <c r="E1814" s="22"/>
      <c r="G1814" s="22">
        <v>8</v>
      </c>
      <c r="H1814" t="s">
        <v>514</v>
      </c>
      <c r="K1814" s="22">
        <v>0.27200911643034498</v>
      </c>
      <c r="L1814" t="s">
        <v>458</v>
      </c>
      <c r="M1814" t="s">
        <v>535</v>
      </c>
      <c r="Q1814" t="s">
        <v>468</v>
      </c>
      <c r="R1814" t="s">
        <v>4</v>
      </c>
      <c r="S1814" s="1" t="s">
        <v>78</v>
      </c>
    </row>
    <row r="1815" spans="1:19" x14ac:dyDescent="0.3">
      <c r="A1815" s="2" t="s">
        <v>208</v>
      </c>
      <c r="B1815" s="1" t="s">
        <v>437</v>
      </c>
      <c r="C1815" s="3" t="s">
        <v>77</v>
      </c>
      <c r="D1815" s="1" t="s">
        <v>528</v>
      </c>
      <c r="E1815" s="22"/>
      <c r="G1815" s="22">
        <v>10</v>
      </c>
      <c r="H1815" t="s">
        <v>514</v>
      </c>
      <c r="K1815" s="22">
        <v>0.20281683453322499</v>
      </c>
      <c r="L1815" t="s">
        <v>458</v>
      </c>
      <c r="M1815" t="s">
        <v>535</v>
      </c>
      <c r="Q1815" t="s">
        <v>468</v>
      </c>
      <c r="R1815" t="s">
        <v>4</v>
      </c>
      <c r="S1815" s="1" t="s">
        <v>78</v>
      </c>
    </row>
    <row r="1816" spans="1:19" x14ac:dyDescent="0.3">
      <c r="A1816" s="2" t="s">
        <v>208</v>
      </c>
      <c r="B1816" s="1" t="s">
        <v>437</v>
      </c>
      <c r="C1816" s="3" t="s">
        <v>77</v>
      </c>
      <c r="D1816" s="1" t="s">
        <v>528</v>
      </c>
      <c r="E1816" s="22"/>
      <c r="G1816" s="22">
        <v>12</v>
      </c>
      <c r="H1816" t="s">
        <v>514</v>
      </c>
      <c r="K1816" s="22">
        <v>0.14047374574892901</v>
      </c>
      <c r="L1816" t="s">
        <v>458</v>
      </c>
      <c r="M1816" t="s">
        <v>535</v>
      </c>
      <c r="Q1816" t="s">
        <v>468</v>
      </c>
      <c r="R1816" t="s">
        <v>4</v>
      </c>
      <c r="S1816" s="1" t="s">
        <v>78</v>
      </c>
    </row>
    <row r="1817" spans="1:19" x14ac:dyDescent="0.3">
      <c r="A1817" s="2" t="s">
        <v>208</v>
      </c>
      <c r="B1817" s="1" t="s">
        <v>437</v>
      </c>
      <c r="C1817" s="3" t="s">
        <v>77</v>
      </c>
      <c r="D1817" s="1" t="s">
        <v>528</v>
      </c>
      <c r="E1817" s="22"/>
      <c r="G1817" s="22">
        <v>14</v>
      </c>
      <c r="H1817" t="s">
        <v>514</v>
      </c>
      <c r="K1817" s="22">
        <v>9.8737588063173107E-2</v>
      </c>
      <c r="L1817" t="s">
        <v>458</v>
      </c>
      <c r="M1817" t="s">
        <v>535</v>
      </c>
      <c r="Q1817" t="s">
        <v>468</v>
      </c>
      <c r="R1817" t="s">
        <v>4</v>
      </c>
      <c r="S1817" s="1" t="s">
        <v>78</v>
      </c>
    </row>
    <row r="1818" spans="1:19" x14ac:dyDescent="0.3">
      <c r="A1818" s="2" t="s">
        <v>208</v>
      </c>
      <c r="B1818" s="1" t="s">
        <v>437</v>
      </c>
      <c r="C1818" s="3" t="s">
        <v>77</v>
      </c>
      <c r="D1818" s="1" t="s">
        <v>528</v>
      </c>
      <c r="E1818" s="22"/>
      <c r="G1818" s="22">
        <v>24</v>
      </c>
      <c r="H1818" t="s">
        <v>514</v>
      </c>
      <c r="K1818" s="22">
        <v>2.04170054662959E-2</v>
      </c>
      <c r="L1818" t="s">
        <v>458</v>
      </c>
      <c r="M1818" t="s">
        <v>535</v>
      </c>
      <c r="Q1818" t="s">
        <v>468</v>
      </c>
      <c r="R1818" t="s">
        <v>4</v>
      </c>
      <c r="S1818" s="1" t="s">
        <v>78</v>
      </c>
    </row>
    <row r="1819" spans="1:19" x14ac:dyDescent="0.3">
      <c r="A1819" s="2" t="s">
        <v>209</v>
      </c>
      <c r="B1819" s="1" t="s">
        <v>438</v>
      </c>
      <c r="C1819" s="3" t="s">
        <v>77</v>
      </c>
      <c r="D1819" s="1" t="s">
        <v>528</v>
      </c>
      <c r="E1819" s="2"/>
      <c r="G1819" s="23">
        <v>0.25</v>
      </c>
      <c r="H1819" t="s">
        <v>514</v>
      </c>
      <c r="K1819">
        <v>0.13626680042106201</v>
      </c>
      <c r="L1819" t="s">
        <v>458</v>
      </c>
      <c r="M1819" t="s">
        <v>535</v>
      </c>
      <c r="Q1819" t="s">
        <v>468</v>
      </c>
      <c r="R1819" t="s">
        <v>4</v>
      </c>
      <c r="S1819" s="1" t="s">
        <v>78</v>
      </c>
    </row>
    <row r="1820" spans="1:19" x14ac:dyDescent="0.3">
      <c r="A1820" s="2" t="s">
        <v>209</v>
      </c>
      <c r="B1820" s="1" t="s">
        <v>438</v>
      </c>
      <c r="C1820" s="3" t="s">
        <v>77</v>
      </c>
      <c r="D1820" s="1" t="s">
        <v>528</v>
      </c>
      <c r="E1820" s="2"/>
      <c r="G1820" s="23">
        <v>0.5</v>
      </c>
      <c r="H1820" t="s">
        <v>514</v>
      </c>
      <c r="K1820">
        <v>0.50904855086571899</v>
      </c>
      <c r="L1820" t="s">
        <v>458</v>
      </c>
      <c r="M1820" t="s">
        <v>535</v>
      </c>
      <c r="Q1820" t="s">
        <v>468</v>
      </c>
      <c r="R1820" t="s">
        <v>4</v>
      </c>
      <c r="S1820" s="1" t="s">
        <v>78</v>
      </c>
    </row>
    <row r="1821" spans="1:19" x14ac:dyDescent="0.3">
      <c r="A1821" s="2" t="s">
        <v>209</v>
      </c>
      <c r="B1821" s="1" t="s">
        <v>438</v>
      </c>
      <c r="C1821" s="3" t="s">
        <v>77</v>
      </c>
      <c r="D1821" s="1" t="s">
        <v>528</v>
      </c>
      <c r="E1821" s="2"/>
      <c r="G1821" s="23">
        <v>1</v>
      </c>
      <c r="H1821" t="s">
        <v>514</v>
      </c>
      <c r="K1821">
        <v>0.68804592087591498</v>
      </c>
      <c r="L1821" t="s">
        <v>458</v>
      </c>
      <c r="M1821" t="s">
        <v>535</v>
      </c>
      <c r="Q1821" t="s">
        <v>468</v>
      </c>
      <c r="R1821" t="s">
        <v>4</v>
      </c>
      <c r="S1821" s="1" t="s">
        <v>78</v>
      </c>
    </row>
    <row r="1822" spans="1:19" x14ac:dyDescent="0.3">
      <c r="A1822" s="2" t="s">
        <v>209</v>
      </c>
      <c r="B1822" s="1" t="s">
        <v>438</v>
      </c>
      <c r="C1822" s="3" t="s">
        <v>77</v>
      </c>
      <c r="D1822" s="1" t="s">
        <v>528</v>
      </c>
      <c r="E1822" s="2"/>
      <c r="G1822" s="23">
        <v>1.5</v>
      </c>
      <c r="H1822" t="s">
        <v>514</v>
      </c>
      <c r="K1822">
        <v>0.76190969598373803</v>
      </c>
      <c r="L1822" t="s">
        <v>458</v>
      </c>
      <c r="M1822" t="s">
        <v>535</v>
      </c>
      <c r="Q1822" t="s">
        <v>468</v>
      </c>
      <c r="R1822" t="s">
        <v>4</v>
      </c>
      <c r="S1822" s="1" t="s">
        <v>78</v>
      </c>
    </row>
    <row r="1823" spans="1:19" x14ac:dyDescent="0.3">
      <c r="A1823" s="2" t="s">
        <v>209</v>
      </c>
      <c r="B1823" s="1" t="s">
        <v>438</v>
      </c>
      <c r="C1823" s="3" t="s">
        <v>77</v>
      </c>
      <c r="D1823" s="1" t="s">
        <v>528</v>
      </c>
      <c r="E1823" s="2"/>
      <c r="F1823" s="22"/>
      <c r="G1823" s="23">
        <v>2</v>
      </c>
      <c r="H1823" t="s">
        <v>514</v>
      </c>
      <c r="K1823">
        <v>0.78977009863286696</v>
      </c>
      <c r="L1823" t="s">
        <v>458</v>
      </c>
      <c r="M1823" t="s">
        <v>535</v>
      </c>
      <c r="Q1823" t="s">
        <v>468</v>
      </c>
      <c r="R1823" t="s">
        <v>4</v>
      </c>
      <c r="S1823" s="1" t="s">
        <v>78</v>
      </c>
    </row>
    <row r="1824" spans="1:19" x14ac:dyDescent="0.3">
      <c r="A1824" s="2" t="s">
        <v>209</v>
      </c>
      <c r="B1824" s="1" t="s">
        <v>438</v>
      </c>
      <c r="C1824" s="3" t="s">
        <v>77</v>
      </c>
      <c r="D1824" s="1" t="s">
        <v>528</v>
      </c>
      <c r="E1824" s="2"/>
      <c r="F1824" s="22"/>
      <c r="G1824" s="23">
        <v>4</v>
      </c>
      <c r="H1824" t="s">
        <v>514</v>
      </c>
      <c r="K1824">
        <v>0.54823605890913196</v>
      </c>
      <c r="L1824" t="s">
        <v>458</v>
      </c>
      <c r="M1824" t="s">
        <v>535</v>
      </c>
      <c r="Q1824" t="s">
        <v>468</v>
      </c>
      <c r="R1824" t="s">
        <v>4</v>
      </c>
      <c r="S1824" s="1" t="s">
        <v>78</v>
      </c>
    </row>
    <row r="1825" spans="1:19" x14ac:dyDescent="0.3">
      <c r="A1825" s="2" t="s">
        <v>209</v>
      </c>
      <c r="B1825" s="1" t="s">
        <v>438</v>
      </c>
      <c r="C1825" s="3" t="s">
        <v>77</v>
      </c>
      <c r="D1825" s="1" t="s">
        <v>528</v>
      </c>
      <c r="E1825" s="2"/>
      <c r="F1825" s="22"/>
      <c r="G1825" s="23">
        <v>6</v>
      </c>
      <c r="H1825" t="s">
        <v>514</v>
      </c>
      <c r="K1825">
        <v>0.40028873790188102</v>
      </c>
      <c r="L1825" t="s">
        <v>458</v>
      </c>
      <c r="M1825" t="s">
        <v>535</v>
      </c>
      <c r="Q1825" t="s">
        <v>468</v>
      </c>
      <c r="R1825" t="s">
        <v>4</v>
      </c>
      <c r="S1825" s="1" t="s">
        <v>78</v>
      </c>
    </row>
    <row r="1826" spans="1:19" x14ac:dyDescent="0.3">
      <c r="A1826" s="2" t="s">
        <v>209</v>
      </c>
      <c r="B1826" s="1" t="s">
        <v>438</v>
      </c>
      <c r="C1826" s="3" t="s">
        <v>77</v>
      </c>
      <c r="D1826" s="1" t="s">
        <v>528</v>
      </c>
      <c r="E1826" s="2"/>
      <c r="F1826" s="22"/>
      <c r="G1826" s="23">
        <v>8</v>
      </c>
      <c r="H1826" t="s">
        <v>514</v>
      </c>
      <c r="K1826">
        <v>0.28846995310896401</v>
      </c>
      <c r="L1826" t="s">
        <v>458</v>
      </c>
      <c r="M1826" t="s">
        <v>535</v>
      </c>
      <c r="Q1826" t="s">
        <v>468</v>
      </c>
      <c r="R1826" t="s">
        <v>4</v>
      </c>
      <c r="S1826" s="1" t="s">
        <v>78</v>
      </c>
    </row>
    <row r="1827" spans="1:19" x14ac:dyDescent="0.3">
      <c r="A1827" s="2" t="s">
        <v>209</v>
      </c>
      <c r="B1827" s="1" t="s">
        <v>438</v>
      </c>
      <c r="C1827" s="3" t="s">
        <v>77</v>
      </c>
      <c r="D1827" s="1" t="s">
        <v>528</v>
      </c>
      <c r="E1827" s="2"/>
      <c r="F1827" s="22"/>
      <c r="G1827" s="23">
        <v>10</v>
      </c>
      <c r="H1827" t="s">
        <v>514</v>
      </c>
      <c r="K1827">
        <v>0.18486287424556899</v>
      </c>
      <c r="L1827" t="s">
        <v>458</v>
      </c>
      <c r="M1827" t="s">
        <v>535</v>
      </c>
      <c r="Q1827" t="s">
        <v>468</v>
      </c>
      <c r="R1827" t="s">
        <v>4</v>
      </c>
      <c r="S1827" s="1" t="s">
        <v>78</v>
      </c>
    </row>
    <row r="1828" spans="1:19" x14ac:dyDescent="0.3">
      <c r="A1828" s="2" t="s">
        <v>209</v>
      </c>
      <c r="B1828" s="1" t="s">
        <v>438</v>
      </c>
      <c r="C1828" s="3" t="s">
        <v>77</v>
      </c>
      <c r="D1828" s="1" t="s">
        <v>528</v>
      </c>
      <c r="E1828" s="2"/>
      <c r="F1828" s="22"/>
      <c r="G1828" s="23">
        <v>12</v>
      </c>
      <c r="H1828" t="s">
        <v>514</v>
      </c>
      <c r="K1828">
        <v>0.12559306765046499</v>
      </c>
      <c r="L1828" t="s">
        <v>458</v>
      </c>
      <c r="M1828" t="s">
        <v>535</v>
      </c>
      <c r="Q1828" t="s">
        <v>468</v>
      </c>
      <c r="R1828" t="s">
        <v>4</v>
      </c>
      <c r="S1828" s="1" t="s">
        <v>78</v>
      </c>
    </row>
    <row r="1829" spans="1:19" x14ac:dyDescent="0.3">
      <c r="A1829" s="2" t="s">
        <v>209</v>
      </c>
      <c r="B1829" s="1" t="s">
        <v>438</v>
      </c>
      <c r="C1829" s="3" t="s">
        <v>77</v>
      </c>
      <c r="D1829" s="1" t="s">
        <v>528</v>
      </c>
      <c r="E1829" s="2"/>
      <c r="F1829" s="22"/>
      <c r="G1829" s="23">
        <v>14</v>
      </c>
      <c r="H1829" t="s">
        <v>514</v>
      </c>
      <c r="K1829">
        <v>9.5900251779450205E-2</v>
      </c>
      <c r="L1829" t="s">
        <v>458</v>
      </c>
      <c r="M1829" t="s">
        <v>535</v>
      </c>
      <c r="Q1829" t="s">
        <v>468</v>
      </c>
      <c r="R1829" t="s">
        <v>4</v>
      </c>
      <c r="S1829" s="1" t="s">
        <v>78</v>
      </c>
    </row>
    <row r="1830" spans="1:19" x14ac:dyDescent="0.3">
      <c r="A1830" s="2" t="s">
        <v>209</v>
      </c>
      <c r="B1830" s="1" t="s">
        <v>438</v>
      </c>
      <c r="C1830" s="3" t="s">
        <v>77</v>
      </c>
      <c r="D1830" s="1" t="s">
        <v>528</v>
      </c>
      <c r="E1830" s="2"/>
      <c r="F1830" s="22"/>
      <c r="G1830" s="23">
        <v>24</v>
      </c>
      <c r="H1830" t="s">
        <v>514</v>
      </c>
      <c r="K1830">
        <v>2.62329108410355E-2</v>
      </c>
      <c r="L1830" t="s">
        <v>458</v>
      </c>
      <c r="M1830" t="s">
        <v>535</v>
      </c>
      <c r="Q1830" t="s">
        <v>468</v>
      </c>
      <c r="R1830" t="s">
        <v>4</v>
      </c>
      <c r="S1830" s="1" t="s">
        <v>78</v>
      </c>
    </row>
    <row r="1831" spans="1:19" x14ac:dyDescent="0.3">
      <c r="A1831" s="2" t="s">
        <v>210</v>
      </c>
      <c r="B1831" s="1" t="s">
        <v>439</v>
      </c>
      <c r="C1831" s="3" t="s">
        <v>77</v>
      </c>
      <c r="D1831" s="1" t="s">
        <v>528</v>
      </c>
      <c r="E1831" s="2"/>
      <c r="F1831" s="22"/>
      <c r="G1831">
        <f>5/60</f>
        <v>8.3333333333333329E-2</v>
      </c>
      <c r="H1831" t="s">
        <v>514</v>
      </c>
      <c r="K1831">
        <v>2.6691388068061199E-2</v>
      </c>
      <c r="L1831" t="s">
        <v>458</v>
      </c>
      <c r="M1831" t="s">
        <v>535</v>
      </c>
      <c r="Q1831" t="s">
        <v>468</v>
      </c>
      <c r="R1831" t="s">
        <v>4</v>
      </c>
      <c r="S1831" s="1" t="s">
        <v>78</v>
      </c>
    </row>
    <row r="1832" spans="1:19" x14ac:dyDescent="0.3">
      <c r="A1832" s="2" t="s">
        <v>210</v>
      </c>
      <c r="B1832" s="1" t="s">
        <v>439</v>
      </c>
      <c r="C1832" s="3" t="s">
        <v>77</v>
      </c>
      <c r="D1832" s="1" t="s">
        <v>528</v>
      </c>
      <c r="E1832" s="2"/>
      <c r="F1832" s="22"/>
      <c r="G1832" s="23">
        <v>0.5</v>
      </c>
      <c r="H1832" t="s">
        <v>514</v>
      </c>
      <c r="K1832">
        <v>0.75321732300699695</v>
      </c>
      <c r="L1832" t="s">
        <v>458</v>
      </c>
      <c r="M1832" t="s">
        <v>535</v>
      </c>
      <c r="Q1832" t="s">
        <v>468</v>
      </c>
      <c r="R1832" t="s">
        <v>4</v>
      </c>
      <c r="S1832" s="1" t="s">
        <v>78</v>
      </c>
    </row>
    <row r="1833" spans="1:19" x14ac:dyDescent="0.3">
      <c r="A1833" s="2" t="s">
        <v>210</v>
      </c>
      <c r="B1833" s="1" t="s">
        <v>439</v>
      </c>
      <c r="C1833" s="3" t="s">
        <v>77</v>
      </c>
      <c r="D1833" s="1" t="s">
        <v>528</v>
      </c>
      <c r="E1833" s="2"/>
      <c r="F1833" s="22"/>
      <c r="G1833" s="23">
        <v>1</v>
      </c>
      <c r="H1833" t="s">
        <v>514</v>
      </c>
      <c r="K1833">
        <v>1.6479646689971701</v>
      </c>
      <c r="L1833" t="s">
        <v>458</v>
      </c>
      <c r="M1833" t="s">
        <v>535</v>
      </c>
      <c r="Q1833" t="s">
        <v>468</v>
      </c>
      <c r="R1833" t="s">
        <v>4</v>
      </c>
      <c r="S1833" s="1" t="s">
        <v>78</v>
      </c>
    </row>
    <row r="1834" spans="1:19" x14ac:dyDescent="0.3">
      <c r="A1834" s="2" t="s">
        <v>210</v>
      </c>
      <c r="B1834" s="1" t="s">
        <v>439</v>
      </c>
      <c r="C1834" s="3" t="s">
        <v>77</v>
      </c>
      <c r="D1834" s="1" t="s">
        <v>528</v>
      </c>
      <c r="E1834" s="2"/>
      <c r="F1834" s="10"/>
      <c r="G1834" s="23">
        <v>1.5</v>
      </c>
      <c r="H1834" t="s">
        <v>514</v>
      </c>
      <c r="K1834">
        <v>1.9002710341142399</v>
      </c>
      <c r="L1834" t="s">
        <v>458</v>
      </c>
      <c r="M1834" t="s">
        <v>535</v>
      </c>
      <c r="Q1834" t="s">
        <v>468</v>
      </c>
      <c r="R1834" t="s">
        <v>4</v>
      </c>
      <c r="S1834" s="1" t="s">
        <v>78</v>
      </c>
    </row>
    <row r="1835" spans="1:19" x14ac:dyDescent="0.3">
      <c r="A1835" s="2" t="s">
        <v>210</v>
      </c>
      <c r="B1835" s="1" t="s">
        <v>439</v>
      </c>
      <c r="C1835" s="3" t="s">
        <v>77</v>
      </c>
      <c r="D1835" s="1" t="s">
        <v>528</v>
      </c>
      <c r="E1835" s="2"/>
      <c r="F1835" s="10"/>
      <c r="G1835" s="23">
        <v>2</v>
      </c>
      <c r="H1835" t="s">
        <v>514</v>
      </c>
      <c r="K1835">
        <v>1.9116596172045499</v>
      </c>
      <c r="L1835" t="s">
        <v>458</v>
      </c>
      <c r="M1835" t="s">
        <v>535</v>
      </c>
      <c r="Q1835" t="s">
        <v>468</v>
      </c>
      <c r="R1835" t="s">
        <v>4</v>
      </c>
      <c r="S1835" s="1" t="s">
        <v>78</v>
      </c>
    </row>
    <row r="1836" spans="1:19" x14ac:dyDescent="0.3">
      <c r="A1836" s="2" t="s">
        <v>210</v>
      </c>
      <c r="B1836" s="1" t="s">
        <v>439</v>
      </c>
      <c r="C1836" s="3" t="s">
        <v>77</v>
      </c>
      <c r="D1836" s="1" t="s">
        <v>528</v>
      </c>
      <c r="E1836" s="2"/>
      <c r="F1836" s="10"/>
      <c r="G1836" s="23">
        <v>3</v>
      </c>
      <c r="H1836" t="s">
        <v>514</v>
      </c>
      <c r="K1836">
        <v>1.6935190013583801</v>
      </c>
      <c r="L1836" t="s">
        <v>458</v>
      </c>
      <c r="M1836" t="s">
        <v>535</v>
      </c>
      <c r="Q1836" t="s">
        <v>468</v>
      </c>
      <c r="R1836" t="s">
        <v>4</v>
      </c>
      <c r="S1836" s="1" t="s">
        <v>78</v>
      </c>
    </row>
    <row r="1837" spans="1:19" x14ac:dyDescent="0.3">
      <c r="A1837" s="2" t="s">
        <v>210</v>
      </c>
      <c r="B1837" s="1" t="s">
        <v>439</v>
      </c>
      <c r="C1837" s="3" t="s">
        <v>77</v>
      </c>
      <c r="D1837" s="1" t="s">
        <v>528</v>
      </c>
      <c r="E1837" s="2"/>
      <c r="F1837" s="10"/>
      <c r="G1837" s="23">
        <v>4</v>
      </c>
      <c r="H1837" t="s">
        <v>514</v>
      </c>
      <c r="K1837">
        <v>1.4295085977686299</v>
      </c>
      <c r="L1837" t="s">
        <v>458</v>
      </c>
      <c r="M1837" t="s">
        <v>535</v>
      </c>
      <c r="Q1837" t="s">
        <v>468</v>
      </c>
      <c r="R1837" t="s">
        <v>4</v>
      </c>
      <c r="S1837" s="1" t="s">
        <v>78</v>
      </c>
    </row>
    <row r="1838" spans="1:19" x14ac:dyDescent="0.3">
      <c r="A1838" s="2" t="s">
        <v>210</v>
      </c>
      <c r="B1838" s="1" t="s">
        <v>439</v>
      </c>
      <c r="C1838" s="3" t="s">
        <v>77</v>
      </c>
      <c r="D1838" s="1" t="s">
        <v>528</v>
      </c>
      <c r="E1838" s="2"/>
      <c r="F1838" s="10"/>
      <c r="G1838" s="23">
        <v>6</v>
      </c>
      <c r="H1838" t="s">
        <v>514</v>
      </c>
      <c r="K1838">
        <v>0.98558562038485498</v>
      </c>
      <c r="L1838" t="s">
        <v>458</v>
      </c>
      <c r="M1838" t="s">
        <v>535</v>
      </c>
      <c r="Q1838" t="s">
        <v>468</v>
      </c>
      <c r="R1838" t="s">
        <v>4</v>
      </c>
      <c r="S1838" s="1" t="s">
        <v>78</v>
      </c>
    </row>
    <row r="1839" spans="1:19" x14ac:dyDescent="0.3">
      <c r="A1839" s="2" t="s">
        <v>210</v>
      </c>
      <c r="B1839" s="1" t="s">
        <v>439</v>
      </c>
      <c r="C1839" s="3" t="s">
        <v>77</v>
      </c>
      <c r="D1839" s="1" t="s">
        <v>528</v>
      </c>
      <c r="E1839" s="2"/>
      <c r="F1839" s="10"/>
      <c r="G1839" s="23">
        <v>8</v>
      </c>
      <c r="H1839" t="s">
        <v>514</v>
      </c>
      <c r="K1839">
        <v>0.74434594511076302</v>
      </c>
      <c r="L1839" t="s">
        <v>458</v>
      </c>
      <c r="M1839" t="s">
        <v>535</v>
      </c>
      <c r="Q1839" t="s">
        <v>468</v>
      </c>
      <c r="R1839" t="s">
        <v>4</v>
      </c>
      <c r="S1839" s="1" t="s">
        <v>78</v>
      </c>
    </row>
    <row r="1840" spans="1:19" x14ac:dyDescent="0.3">
      <c r="A1840" s="2" t="s">
        <v>210</v>
      </c>
      <c r="B1840" s="1" t="s">
        <v>439</v>
      </c>
      <c r="C1840" s="3" t="s">
        <v>77</v>
      </c>
      <c r="D1840" s="1" t="s">
        <v>528</v>
      </c>
      <c r="E1840" s="2"/>
      <c r="F1840" s="10"/>
      <c r="G1840" s="23">
        <v>10</v>
      </c>
      <c r="H1840" t="s">
        <v>514</v>
      </c>
      <c r="K1840">
        <v>0.52605082050588603</v>
      </c>
      <c r="L1840" t="s">
        <v>458</v>
      </c>
      <c r="M1840" t="s">
        <v>535</v>
      </c>
      <c r="Q1840" t="s">
        <v>468</v>
      </c>
      <c r="R1840" t="s">
        <v>4</v>
      </c>
      <c r="S1840" s="1" t="s">
        <v>78</v>
      </c>
    </row>
    <row r="1841" spans="1:19" x14ac:dyDescent="0.3">
      <c r="A1841" s="2" t="s">
        <v>210</v>
      </c>
      <c r="B1841" s="1" t="s">
        <v>439</v>
      </c>
      <c r="C1841" s="3" t="s">
        <v>77</v>
      </c>
      <c r="D1841" s="1" t="s">
        <v>528</v>
      </c>
      <c r="E1841" s="2"/>
      <c r="F1841" s="10"/>
      <c r="G1841" s="23">
        <v>12</v>
      </c>
      <c r="H1841" t="s">
        <v>514</v>
      </c>
      <c r="K1841">
        <v>0.42628322743045499</v>
      </c>
      <c r="L1841" t="s">
        <v>458</v>
      </c>
      <c r="M1841" t="s">
        <v>535</v>
      </c>
      <c r="Q1841" t="s">
        <v>468</v>
      </c>
      <c r="R1841" t="s">
        <v>4</v>
      </c>
      <c r="S1841" s="1" t="s">
        <v>78</v>
      </c>
    </row>
    <row r="1842" spans="1:19" x14ac:dyDescent="0.3">
      <c r="A1842" s="2" t="s">
        <v>210</v>
      </c>
      <c r="B1842" s="1" t="s">
        <v>439</v>
      </c>
      <c r="C1842" s="3" t="s">
        <v>77</v>
      </c>
      <c r="D1842" s="1" t="s">
        <v>528</v>
      </c>
      <c r="E1842" s="2"/>
      <c r="F1842" s="10"/>
      <c r="G1842" s="23">
        <v>24</v>
      </c>
      <c r="H1842" t="s">
        <v>514</v>
      </c>
      <c r="K1842">
        <v>8.7851105059517598E-2</v>
      </c>
      <c r="L1842" t="s">
        <v>458</v>
      </c>
      <c r="M1842" t="s">
        <v>535</v>
      </c>
      <c r="Q1842" t="s">
        <v>468</v>
      </c>
      <c r="R1842" t="s">
        <v>4</v>
      </c>
      <c r="S1842" s="1" t="s">
        <v>78</v>
      </c>
    </row>
    <row r="1843" spans="1:19" x14ac:dyDescent="0.3">
      <c r="A1843" s="2" t="s">
        <v>211</v>
      </c>
      <c r="B1843" s="1" t="s">
        <v>440</v>
      </c>
      <c r="C1843" s="3" t="s">
        <v>77</v>
      </c>
      <c r="D1843" s="1" t="s">
        <v>528</v>
      </c>
      <c r="G1843" s="22">
        <v>72</v>
      </c>
      <c r="H1843" t="s">
        <v>514</v>
      </c>
      <c r="K1843">
        <v>0.22166638123867799</v>
      </c>
      <c r="L1843" t="s">
        <v>458</v>
      </c>
      <c r="M1843" t="s">
        <v>535</v>
      </c>
      <c r="Q1843" t="s">
        <v>468</v>
      </c>
      <c r="R1843" t="s">
        <v>4</v>
      </c>
      <c r="S1843" s="1" t="s">
        <v>78</v>
      </c>
    </row>
    <row r="1844" spans="1:19" x14ac:dyDescent="0.3">
      <c r="A1844" s="2" t="s">
        <v>211</v>
      </c>
      <c r="B1844" s="1" t="s">
        <v>440</v>
      </c>
      <c r="C1844" s="3" t="s">
        <v>77</v>
      </c>
      <c r="D1844" s="1" t="s">
        <v>528</v>
      </c>
      <c r="E1844" s="2"/>
      <c r="G1844" s="22">
        <v>72.5</v>
      </c>
      <c r="H1844" t="s">
        <v>514</v>
      </c>
      <c r="K1844">
        <v>0.49519054522066502</v>
      </c>
      <c r="L1844" t="s">
        <v>458</v>
      </c>
      <c r="M1844" t="s">
        <v>535</v>
      </c>
      <c r="Q1844" t="s">
        <v>468</v>
      </c>
      <c r="R1844" t="s">
        <v>4</v>
      </c>
      <c r="S1844" s="1" t="s">
        <v>78</v>
      </c>
    </row>
    <row r="1845" spans="1:19" x14ac:dyDescent="0.3">
      <c r="A1845" s="2" t="s">
        <v>211</v>
      </c>
      <c r="B1845" s="1" t="s">
        <v>440</v>
      </c>
      <c r="C1845" s="3" t="s">
        <v>77</v>
      </c>
      <c r="D1845" s="1" t="s">
        <v>528</v>
      </c>
      <c r="E1845" s="2"/>
      <c r="G1845" s="22">
        <v>73</v>
      </c>
      <c r="H1845" t="s">
        <v>514</v>
      </c>
      <c r="K1845">
        <v>0.88659124860326999</v>
      </c>
      <c r="L1845" t="s">
        <v>458</v>
      </c>
      <c r="M1845" t="s">
        <v>535</v>
      </c>
      <c r="Q1845" t="s">
        <v>468</v>
      </c>
      <c r="R1845" t="s">
        <v>4</v>
      </c>
      <c r="S1845" s="1" t="s">
        <v>78</v>
      </c>
    </row>
    <row r="1846" spans="1:19" x14ac:dyDescent="0.3">
      <c r="A1846" s="2" t="s">
        <v>211</v>
      </c>
      <c r="B1846" s="1" t="s">
        <v>440</v>
      </c>
      <c r="C1846" s="3" t="s">
        <v>77</v>
      </c>
      <c r="D1846" s="1" t="s">
        <v>528</v>
      </c>
      <c r="E1846" s="2"/>
      <c r="G1846" s="22">
        <v>74</v>
      </c>
      <c r="H1846" t="s">
        <v>514</v>
      </c>
      <c r="K1846">
        <v>0.95077460144769999</v>
      </c>
      <c r="L1846" t="s">
        <v>458</v>
      </c>
      <c r="M1846" t="s">
        <v>535</v>
      </c>
      <c r="Q1846" t="s">
        <v>468</v>
      </c>
      <c r="R1846" t="s">
        <v>4</v>
      </c>
      <c r="S1846" s="1" t="s">
        <v>78</v>
      </c>
    </row>
    <row r="1847" spans="1:19" x14ac:dyDescent="0.3">
      <c r="A1847" s="2" t="s">
        <v>211</v>
      </c>
      <c r="B1847" s="1" t="s">
        <v>440</v>
      </c>
      <c r="C1847" s="3" t="s">
        <v>77</v>
      </c>
      <c r="D1847" s="1" t="s">
        <v>528</v>
      </c>
      <c r="E1847" s="2"/>
      <c r="G1847" s="22">
        <v>76</v>
      </c>
      <c r="H1847" t="s">
        <v>514</v>
      </c>
      <c r="K1847">
        <v>0.79834800218322299</v>
      </c>
      <c r="L1847" t="s">
        <v>458</v>
      </c>
      <c r="M1847" t="s">
        <v>535</v>
      </c>
      <c r="Q1847" t="s">
        <v>468</v>
      </c>
      <c r="R1847" t="s">
        <v>4</v>
      </c>
      <c r="S1847" s="1" t="s">
        <v>78</v>
      </c>
    </row>
    <row r="1848" spans="1:19" x14ac:dyDescent="0.3">
      <c r="A1848" s="2" t="s">
        <v>211</v>
      </c>
      <c r="B1848" s="1" t="s">
        <v>440</v>
      </c>
      <c r="C1848" s="3" t="s">
        <v>77</v>
      </c>
      <c r="D1848" s="1" t="s">
        <v>528</v>
      </c>
      <c r="E1848" s="2"/>
      <c r="G1848" s="22">
        <v>78</v>
      </c>
      <c r="H1848" t="s">
        <v>514</v>
      </c>
      <c r="K1848">
        <v>0.57615538985449799</v>
      </c>
      <c r="L1848" t="s">
        <v>458</v>
      </c>
      <c r="M1848" t="s">
        <v>535</v>
      </c>
      <c r="Q1848" t="s">
        <v>468</v>
      </c>
      <c r="R1848" t="s">
        <v>4</v>
      </c>
      <c r="S1848" s="1" t="s">
        <v>78</v>
      </c>
    </row>
    <row r="1849" spans="1:19" x14ac:dyDescent="0.3">
      <c r="A1849" s="2" t="s">
        <v>211</v>
      </c>
      <c r="B1849" s="1" t="s">
        <v>440</v>
      </c>
      <c r="C1849" s="3" t="s">
        <v>77</v>
      </c>
      <c r="D1849" s="1" t="s">
        <v>528</v>
      </c>
      <c r="E1849" s="2"/>
      <c r="G1849" s="22">
        <v>80</v>
      </c>
      <c r="H1849" t="s">
        <v>514</v>
      </c>
      <c r="K1849">
        <v>0.39687242741719098</v>
      </c>
      <c r="L1849" t="s">
        <v>458</v>
      </c>
      <c r="M1849" t="s">
        <v>535</v>
      </c>
      <c r="Q1849" t="s">
        <v>468</v>
      </c>
      <c r="R1849" t="s">
        <v>4</v>
      </c>
      <c r="S1849" s="1" t="s">
        <v>78</v>
      </c>
    </row>
    <row r="1850" spans="1:19" x14ac:dyDescent="0.3">
      <c r="A1850" s="2" t="s">
        <v>211</v>
      </c>
      <c r="B1850" s="1" t="s">
        <v>440</v>
      </c>
      <c r="C1850" s="3" t="s">
        <v>77</v>
      </c>
      <c r="D1850" s="1" t="s">
        <v>528</v>
      </c>
      <c r="E1850" s="2"/>
      <c r="G1850" s="22">
        <v>84</v>
      </c>
      <c r="H1850" t="s">
        <v>514</v>
      </c>
      <c r="K1850">
        <v>0.21157470483844601</v>
      </c>
      <c r="L1850" t="s">
        <v>458</v>
      </c>
      <c r="M1850" t="s">
        <v>535</v>
      </c>
      <c r="Q1850" t="s">
        <v>468</v>
      </c>
      <c r="R1850" t="s">
        <v>4</v>
      </c>
      <c r="S1850" s="1" t="s">
        <v>78</v>
      </c>
    </row>
    <row r="1851" spans="1:19" x14ac:dyDescent="0.3">
      <c r="A1851" s="2" t="s">
        <v>212</v>
      </c>
      <c r="B1851" s="1" t="s">
        <v>441</v>
      </c>
      <c r="C1851" s="3" t="s">
        <v>77</v>
      </c>
      <c r="D1851" s="1" t="s">
        <v>528</v>
      </c>
      <c r="E1851" s="10"/>
      <c r="G1851" s="10">
        <v>144</v>
      </c>
      <c r="H1851" t="s">
        <v>514</v>
      </c>
      <c r="K1851">
        <v>0.14828470089957199</v>
      </c>
      <c r="L1851" t="s">
        <v>458</v>
      </c>
      <c r="M1851" t="s">
        <v>535</v>
      </c>
      <c r="Q1851" t="s">
        <v>468</v>
      </c>
      <c r="R1851" t="s">
        <v>4</v>
      </c>
      <c r="S1851" s="1" t="s">
        <v>78</v>
      </c>
    </row>
    <row r="1852" spans="1:19" x14ac:dyDescent="0.3">
      <c r="A1852" s="2" t="s">
        <v>212</v>
      </c>
      <c r="B1852" s="1" t="s">
        <v>441</v>
      </c>
      <c r="C1852" s="3" t="s">
        <v>77</v>
      </c>
      <c r="D1852" s="1" t="s">
        <v>528</v>
      </c>
      <c r="E1852" s="10"/>
      <c r="G1852" s="10">
        <v>144.5</v>
      </c>
      <c r="H1852" t="s">
        <v>514</v>
      </c>
      <c r="K1852">
        <v>0.316227766016838</v>
      </c>
      <c r="L1852" t="s">
        <v>458</v>
      </c>
      <c r="M1852" t="s">
        <v>535</v>
      </c>
      <c r="Q1852" t="s">
        <v>468</v>
      </c>
      <c r="R1852" t="s">
        <v>4</v>
      </c>
      <c r="S1852" s="1" t="s">
        <v>78</v>
      </c>
    </row>
    <row r="1853" spans="1:19" x14ac:dyDescent="0.3">
      <c r="A1853" s="2" t="s">
        <v>212</v>
      </c>
      <c r="B1853" s="1" t="s">
        <v>441</v>
      </c>
      <c r="C1853" s="3" t="s">
        <v>77</v>
      </c>
      <c r="D1853" s="1" t="s">
        <v>528</v>
      </c>
      <c r="E1853" s="10"/>
      <c r="G1853" s="10">
        <v>145</v>
      </c>
      <c r="H1853" t="s">
        <v>514</v>
      </c>
      <c r="K1853">
        <v>0.51794746792312296</v>
      </c>
      <c r="L1853" t="s">
        <v>458</v>
      </c>
      <c r="M1853" t="s">
        <v>535</v>
      </c>
      <c r="Q1853" t="s">
        <v>468</v>
      </c>
      <c r="R1853" t="s">
        <v>4</v>
      </c>
      <c r="S1853" s="1" t="s">
        <v>78</v>
      </c>
    </row>
    <row r="1854" spans="1:19" x14ac:dyDescent="0.3">
      <c r="A1854" s="2" t="s">
        <v>212</v>
      </c>
      <c r="B1854" s="1" t="s">
        <v>441</v>
      </c>
      <c r="C1854" s="3" t="s">
        <v>77</v>
      </c>
      <c r="D1854" s="1" t="s">
        <v>528</v>
      </c>
      <c r="E1854" s="10"/>
      <c r="G1854" s="10">
        <v>145.5</v>
      </c>
      <c r="H1854" t="s">
        <v>514</v>
      </c>
      <c r="K1854">
        <v>0.80104051994041603</v>
      </c>
      <c r="L1854" t="s">
        <v>458</v>
      </c>
      <c r="M1854" t="s">
        <v>535</v>
      </c>
      <c r="Q1854" t="s">
        <v>468</v>
      </c>
      <c r="R1854" t="s">
        <v>4</v>
      </c>
      <c r="S1854" s="1" t="s">
        <v>78</v>
      </c>
    </row>
    <row r="1855" spans="1:19" x14ac:dyDescent="0.3">
      <c r="A1855" s="2" t="s">
        <v>212</v>
      </c>
      <c r="B1855" s="1" t="s">
        <v>441</v>
      </c>
      <c r="C1855" s="3" t="s">
        <v>77</v>
      </c>
      <c r="D1855" s="1" t="s">
        <v>528</v>
      </c>
      <c r="E1855" s="10"/>
      <c r="G1855" s="10">
        <v>146</v>
      </c>
      <c r="H1855" t="s">
        <v>514</v>
      </c>
      <c r="K1855">
        <v>0.91929553233168204</v>
      </c>
      <c r="L1855" t="s">
        <v>458</v>
      </c>
      <c r="M1855" t="s">
        <v>535</v>
      </c>
      <c r="Q1855" t="s">
        <v>468</v>
      </c>
      <c r="R1855" t="s">
        <v>4</v>
      </c>
      <c r="S1855" s="1" t="s">
        <v>78</v>
      </c>
    </row>
    <row r="1856" spans="1:19" x14ac:dyDescent="0.3">
      <c r="A1856" s="2" t="s">
        <v>212</v>
      </c>
      <c r="B1856" s="1" t="s">
        <v>441</v>
      </c>
      <c r="C1856" s="3" t="s">
        <v>77</v>
      </c>
      <c r="D1856" s="1" t="s">
        <v>528</v>
      </c>
      <c r="E1856" s="10"/>
      <c r="G1856" s="10">
        <v>147</v>
      </c>
      <c r="H1856" t="s">
        <v>514</v>
      </c>
      <c r="K1856">
        <v>1.0919581147862301</v>
      </c>
      <c r="L1856" t="s">
        <v>458</v>
      </c>
      <c r="M1856" t="s">
        <v>535</v>
      </c>
      <c r="Q1856" t="s">
        <v>468</v>
      </c>
      <c r="R1856" t="s">
        <v>4</v>
      </c>
      <c r="S1856" s="1" t="s">
        <v>78</v>
      </c>
    </row>
    <row r="1857" spans="1:19" x14ac:dyDescent="0.3">
      <c r="A1857" s="2" t="s">
        <v>212</v>
      </c>
      <c r="B1857" s="1" t="s">
        <v>441</v>
      </c>
      <c r="C1857" s="3" t="s">
        <v>77</v>
      </c>
      <c r="D1857" s="1" t="s">
        <v>528</v>
      </c>
      <c r="E1857" s="10"/>
      <c r="G1857" s="10">
        <v>148</v>
      </c>
      <c r="H1857" t="s">
        <v>514</v>
      </c>
      <c r="K1857">
        <v>0.90880720362168199</v>
      </c>
      <c r="L1857" t="s">
        <v>458</v>
      </c>
      <c r="M1857" t="s">
        <v>535</v>
      </c>
      <c r="Q1857" t="s">
        <v>468</v>
      </c>
      <c r="R1857" t="s">
        <v>4</v>
      </c>
      <c r="S1857" s="1" t="s">
        <v>78</v>
      </c>
    </row>
    <row r="1858" spans="1:19" x14ac:dyDescent="0.3">
      <c r="A1858" s="2" t="s">
        <v>212</v>
      </c>
      <c r="B1858" s="1" t="s">
        <v>441</v>
      </c>
      <c r="C1858" s="3" t="s">
        <v>77</v>
      </c>
      <c r="D1858" s="1" t="s">
        <v>528</v>
      </c>
      <c r="E1858" s="10"/>
      <c r="G1858" s="10">
        <v>149</v>
      </c>
      <c r="H1858" t="s">
        <v>514</v>
      </c>
      <c r="K1858">
        <v>0.79190137372716696</v>
      </c>
      <c r="L1858" t="s">
        <v>458</v>
      </c>
      <c r="M1858" t="s">
        <v>535</v>
      </c>
      <c r="Q1858" t="s">
        <v>468</v>
      </c>
      <c r="R1858" t="s">
        <v>4</v>
      </c>
      <c r="S1858" s="1" t="s">
        <v>78</v>
      </c>
    </row>
    <row r="1859" spans="1:19" x14ac:dyDescent="0.3">
      <c r="A1859" s="2" t="s">
        <v>212</v>
      </c>
      <c r="B1859" s="1" t="s">
        <v>441</v>
      </c>
      <c r="C1859" s="3" t="s">
        <v>77</v>
      </c>
      <c r="D1859" s="1" t="s">
        <v>528</v>
      </c>
      <c r="E1859" s="10"/>
      <c r="G1859" s="10">
        <v>150</v>
      </c>
      <c r="H1859" t="s">
        <v>514</v>
      </c>
      <c r="K1859">
        <v>0.55486335881450899</v>
      </c>
      <c r="L1859" t="s">
        <v>458</v>
      </c>
      <c r="M1859" t="s">
        <v>535</v>
      </c>
      <c r="Q1859" t="s">
        <v>468</v>
      </c>
      <c r="R1859" t="s">
        <v>4</v>
      </c>
      <c r="S1859" s="1" t="s">
        <v>78</v>
      </c>
    </row>
    <row r="1860" spans="1:19" x14ac:dyDescent="0.3">
      <c r="A1860" s="2" t="s">
        <v>212</v>
      </c>
      <c r="B1860" s="1" t="s">
        <v>441</v>
      </c>
      <c r="C1860" s="3" t="s">
        <v>77</v>
      </c>
      <c r="D1860" s="1" t="s">
        <v>528</v>
      </c>
      <c r="E1860" s="10"/>
      <c r="G1860" s="10">
        <v>153</v>
      </c>
      <c r="H1860" t="s">
        <v>514</v>
      </c>
      <c r="K1860">
        <v>0.26018508190568101</v>
      </c>
      <c r="L1860" t="s">
        <v>458</v>
      </c>
      <c r="M1860" t="s">
        <v>535</v>
      </c>
      <c r="Q1860" t="s">
        <v>468</v>
      </c>
      <c r="R1860" t="s">
        <v>4</v>
      </c>
      <c r="S1860" s="1" t="s">
        <v>78</v>
      </c>
    </row>
    <row r="1861" spans="1:19" x14ac:dyDescent="0.3">
      <c r="A1861" s="2" t="s">
        <v>212</v>
      </c>
      <c r="B1861" s="1" t="s">
        <v>441</v>
      </c>
      <c r="C1861" s="3" t="s">
        <v>77</v>
      </c>
      <c r="D1861" s="1" t="s">
        <v>528</v>
      </c>
      <c r="E1861" s="10"/>
      <c r="G1861" s="10">
        <v>156</v>
      </c>
      <c r="H1861" t="s">
        <v>514</v>
      </c>
      <c r="K1861">
        <v>0.14828470089957299</v>
      </c>
      <c r="L1861" t="s">
        <v>458</v>
      </c>
      <c r="M1861" t="s">
        <v>535</v>
      </c>
      <c r="Q1861" t="s">
        <v>468</v>
      </c>
      <c r="R1861" t="s">
        <v>4</v>
      </c>
      <c r="S1861" s="1" t="s">
        <v>78</v>
      </c>
    </row>
  </sheetData>
  <hyperlinks>
    <hyperlink ref="C2" r:id="rId1" xr:uid="{DCBB22BD-9B61-406B-9BC5-2DE7D455CFDA}"/>
    <hyperlink ref="C7" r:id="rId2" xr:uid="{F77A3594-B113-492D-BD82-5A74918F9189}"/>
    <hyperlink ref="C3" r:id="rId3" xr:uid="{545B8DF3-8170-4F7F-A602-7FCD595443D2}"/>
    <hyperlink ref="C4" r:id="rId4" xr:uid="{74ECF21D-091C-4123-87EF-F4C033A386BC}"/>
    <hyperlink ref="C5" r:id="rId5" xr:uid="{B89B4FD6-000E-4C54-93C2-2F271A7723D2}"/>
    <hyperlink ref="C6" r:id="rId6" xr:uid="{DDDF7FD9-64DD-49F1-A77E-B380AB2BCB1B}"/>
    <hyperlink ref="C8" r:id="rId7" xr:uid="{638D38A0-5ED2-4CE7-9F80-A4F777288930}"/>
    <hyperlink ref="C9" r:id="rId8" xr:uid="{942772A2-624A-4C27-A619-C354AD2C15BD}"/>
    <hyperlink ref="C10" r:id="rId9" xr:uid="{AAB06A16-13C2-4269-8B30-A9E55672BB4B}"/>
    <hyperlink ref="C11" r:id="rId10" xr:uid="{B8D16B93-5DB8-41DA-9A8F-6C3CC26F94B4}"/>
    <hyperlink ref="C12" r:id="rId11" xr:uid="{40119717-C13A-4F8D-A8B5-272333E2F7B5}"/>
    <hyperlink ref="C13" r:id="rId12" xr:uid="{3E8025D1-98FD-418C-9823-33BF06DE255D}"/>
    <hyperlink ref="C14" r:id="rId13" xr:uid="{30C75DA4-685E-4E35-B8F1-B7033FE88DCF}"/>
    <hyperlink ref="C15" r:id="rId14" xr:uid="{B6230934-DD2B-4E3C-9EAB-89508B2D9B25}"/>
    <hyperlink ref="C16" r:id="rId15" xr:uid="{253B3F93-6B0E-4044-8A6C-CC7C1301DAAD}"/>
    <hyperlink ref="C17" r:id="rId16" xr:uid="{4DEE2008-7B6C-48D0-A4E3-C00669D4EF77}"/>
    <hyperlink ref="C18" r:id="rId17" xr:uid="{362AF752-C2FE-4E10-A3D7-D4A83316621D}"/>
    <hyperlink ref="C19" r:id="rId18" xr:uid="{3F7F8D14-86D6-4974-9914-A95E6E9985BF}"/>
    <hyperlink ref="C20" r:id="rId19" xr:uid="{45D6F83F-3854-4D73-AB21-EBE2654D4BFA}"/>
    <hyperlink ref="C21" r:id="rId20" xr:uid="{EA8995F9-5A6B-4A5A-A879-8E12932AA821}"/>
    <hyperlink ref="C22" r:id="rId21" xr:uid="{6D8CD417-0160-4988-997D-F9FBBEFA1F3C}"/>
    <hyperlink ref="C23" r:id="rId22" xr:uid="{96C9C7A9-CC81-4979-B471-982E1E477C0B}"/>
    <hyperlink ref="C24" r:id="rId23" xr:uid="{6D541125-3A8E-4F30-BA6C-9F2002DCD932}"/>
    <hyperlink ref="C25" r:id="rId24" xr:uid="{C68AD412-B9C4-4D0F-853D-BA20C72CD78E}"/>
    <hyperlink ref="C26" r:id="rId25" xr:uid="{E76EA7C3-EEC4-4647-89F7-DC7FA30B3F51}"/>
    <hyperlink ref="C27" r:id="rId26" xr:uid="{59982542-AE3F-4A99-9E67-B575222E452A}"/>
    <hyperlink ref="C28" r:id="rId27" xr:uid="{4A22C348-1534-45F3-BF1A-1B57E56AA945}"/>
    <hyperlink ref="C29" r:id="rId28" xr:uid="{B5BC6407-F2CD-41C3-BDAA-AC275F59C5EE}"/>
    <hyperlink ref="C30" r:id="rId29" xr:uid="{6E3337FB-C800-45D0-81A8-18403965B85A}"/>
    <hyperlink ref="C31" r:id="rId30" xr:uid="{87F3B4F1-9BD5-4277-B319-95067FBA54BF}"/>
    <hyperlink ref="C32" r:id="rId31" xr:uid="{A8ED7657-BD77-4A64-9061-6A57B9FB471C}"/>
    <hyperlink ref="C33" r:id="rId32" xr:uid="{F64636E8-9D7F-4E5B-BBBB-8BEA659BA105}"/>
    <hyperlink ref="C34" r:id="rId33" xr:uid="{0123D85B-589C-435A-9D3C-93A6DC235F78}"/>
    <hyperlink ref="C35" r:id="rId34" xr:uid="{6CCFBF35-F29E-426E-A2C8-B4125620A13F}"/>
    <hyperlink ref="C36" r:id="rId35" xr:uid="{DA84D2BF-2C27-424F-B328-157A3E0FB0E4}"/>
    <hyperlink ref="C37" r:id="rId36" xr:uid="{C693DE9A-CD53-47DC-8F0D-BC2F05C05419}"/>
    <hyperlink ref="C38" r:id="rId37" xr:uid="{CCC8D8FF-C2D1-4490-9010-9A824932017F}"/>
    <hyperlink ref="C39" r:id="rId38" xr:uid="{B93660C0-DCD1-4AD4-891E-D87650075347}"/>
    <hyperlink ref="C40" r:id="rId39" xr:uid="{82B7CFFA-FC02-4D8F-9C71-028B47AEB2BC}"/>
    <hyperlink ref="C41" r:id="rId40" xr:uid="{6C7097AC-AFCF-4B54-AF25-654ED708B15E}"/>
    <hyperlink ref="C42" r:id="rId41" xr:uid="{EE4F8FF8-C13C-41BF-AE00-C159634D94E9}"/>
    <hyperlink ref="C43" r:id="rId42" xr:uid="{A2664BB2-1FBF-4648-88B0-63847AB60D06}"/>
    <hyperlink ref="C44" r:id="rId43" xr:uid="{CA0A5743-D8FC-492F-8107-10073AB581DE}"/>
    <hyperlink ref="C45" r:id="rId44" xr:uid="{FCB0B148-F2DA-471F-8D5D-3DAF863B352E}"/>
    <hyperlink ref="C46" r:id="rId45" xr:uid="{630CED80-C7D5-4D72-BA96-E63F901FAFAE}"/>
    <hyperlink ref="C47" r:id="rId46" xr:uid="{35EE9E6F-AB27-4B76-9A95-A7E158DE2750}"/>
    <hyperlink ref="C48" r:id="rId47" xr:uid="{B3254D81-BC86-45FD-931E-38C8C27608EE}"/>
    <hyperlink ref="C49" r:id="rId48" xr:uid="{B3517094-F2BB-4A34-9E62-0DAFED6D620F}"/>
    <hyperlink ref="C50" r:id="rId49" xr:uid="{E79E0D5A-631B-412D-A2E5-399E47AEDE9E}"/>
    <hyperlink ref="C51" r:id="rId50" display="Pharmacokinetics of the 8-methoxyquinolone, moxifloxacin:_x000a_a comparison in humans and other mammalian species" xr:uid="{7D0A0CD0-2651-4D21-91EB-56576678129E}"/>
    <hyperlink ref="C52" r:id="rId51" display="Pharmacokinetics of the 8-methoxyquinolone, moxifloxacin:_x000a_a comparison in humans and other mammalian species" xr:uid="{281473D5-7157-4149-BA2B-B54AB37B7BAC}"/>
    <hyperlink ref="C53" r:id="rId52" display="Pharmacokinetics of the 8-methoxyquinolone, moxifloxacin:_x000a_a comparison in humans and other mammalian species" xr:uid="{EFE785A8-5BC5-40AF-9F6B-6F3CEFB5F6A6}"/>
    <hyperlink ref="C54" r:id="rId53" display="Pharmacokinetics of the 8-methoxyquinolone, moxifloxacin:_x000a_a comparison in humans and other mammalian species" xr:uid="{367BE37F-85FF-4986-AED2-87B2C877107B}"/>
    <hyperlink ref="C55" r:id="rId54" display="Pharmacokinetics of the 8-methoxyquinolone, moxifloxacin:_x000a_a comparison in humans and other mammalian species" xr:uid="{64A8E19F-2A3F-4401-B764-ACCDD70443CE}"/>
    <hyperlink ref="C56" r:id="rId55" display="Pharmacokinetics of the 8-methoxyquinolone, moxifloxacin:_x000a_a comparison in humans and other mammalian species" xr:uid="{485FAD31-2813-4949-BFB1-37B277FD07B3}"/>
    <hyperlink ref="C57" r:id="rId56" display="Pharmacokinetics of the 8-methoxyquinolone, moxifloxacin:_x000a_a comparison in humans and other mammalian species" xr:uid="{E648C174-8E92-4236-A5E9-0E0A227210C7}"/>
    <hyperlink ref="C58" r:id="rId57" display="Pharmacokinetics of the 8-methoxyquinolone, moxifloxacin:_x000a_a comparison in humans and other mammalian species" xr:uid="{28A3026B-5D13-4928-A6E5-364D3F08A20B}"/>
    <hyperlink ref="C59" r:id="rId58" display="Pharmacokinetics of the 8-methoxyquinolone, moxifloxacin:_x000a_a comparison in humans and other mammalian species" xr:uid="{1791F17D-C1CF-4E0E-AC26-BC7149966FC6}"/>
    <hyperlink ref="C60" r:id="rId59" display="Pharmacokinetics of the 8-methoxyquinolone, moxifloxacin:_x000a_a comparison in humans and other mammalian species" xr:uid="{BF11BB1A-EAEC-4886-A4FF-59A07605A5C5}"/>
    <hyperlink ref="C61" r:id="rId60" display="Pharmacokinetics of the 8-methoxyquinolone, moxifloxacin:_x000a_a comparison in humans and other mammalian species" xr:uid="{5C0442F7-061D-4C16-877B-193F53C72B98}"/>
    <hyperlink ref="C62" r:id="rId61" display="Pharmacokinetics of the 8-methoxyquinolone, moxifloxacin:_x000a_a comparison in humans and other mammalian species" xr:uid="{1EE1F7D1-0099-4F2D-9C90-83CD76F26B33}"/>
    <hyperlink ref="C63" r:id="rId62" display="Pharmacokinetics of the 8-methoxyquinolone, moxifloxacin:_x000a_a comparison in humans and other mammalian species" xr:uid="{079D27C0-389D-4C86-8975-1553B2F4EC79}"/>
    <hyperlink ref="C64" r:id="rId63" display="Pharmacokinetics of the 8-methoxyquinolone, moxifloxacin:_x000a_a comparison in humans and other mammalian species" xr:uid="{F6601A86-E09A-41F3-9F57-5ABF224D3540}"/>
    <hyperlink ref="C65" r:id="rId64" display="Pharmacokinetics of the 8-methoxyquinolone, moxifloxacin:_x000a_a comparison in humans and other mammalian species" xr:uid="{B5E4914C-05F5-444D-9866-377A5323F410}"/>
    <hyperlink ref="C66" r:id="rId65" display="Pharmacokinetics of the 8-methoxyquinolone, moxifloxacin:_x000a_a comparison in humans and other mammalian species" xr:uid="{EE74C51C-7312-4509-AD7C-82B8DD789A30}"/>
    <hyperlink ref="C67" r:id="rId66" display="Pharmacokinetics of the 8-methoxyquinolone, moxifloxacin:_x000a_a comparison in humans and other mammalian species" xr:uid="{AC6FA107-4C57-4083-BA04-79CC513EC979}"/>
    <hyperlink ref="C68" r:id="rId67" display="Pharmacokinetics of the 8-methoxyquinolone, moxifloxacin:_x000a_a comparison in humans and other mammalian species" xr:uid="{56FBCA1B-6A4F-440E-8F7F-E9C537FBAE1C}"/>
    <hyperlink ref="C69" r:id="rId68" display="Pharmacokinetics of the 8-methoxyquinolone, moxifloxacin:_x000a_a comparison in humans and other mammalian species" xr:uid="{0F05F735-EE92-480B-9E29-4547103E65BF}"/>
    <hyperlink ref="C70" r:id="rId69" display="Pharmacokinetics of the 8-methoxyquinolone, moxifloxacin:_x000a_a comparison in humans and other mammalian species" xr:uid="{B9D1C164-3D19-4F7E-9F9E-73A7FAB559DC}"/>
    <hyperlink ref="C71" r:id="rId70" display="Pharmacokinetics of the 8-methoxyquinolone, moxifloxacin:_x000a_a comparison in humans and other mammalian species" xr:uid="{5C3F67EC-B50D-4D77-BCBE-0EF61BC737CD}"/>
    <hyperlink ref="C72" r:id="rId71" display="Pharmacokinetics of the 8-methoxyquinolone, moxifloxacin:_x000a_a comparison in humans and other mammalian species" xr:uid="{E6F3FAAA-5149-4E5E-BD9D-F9EBE20B4146}"/>
    <hyperlink ref="C73" r:id="rId72" display="Pharmacokinetics of the 8-methoxyquinolone, moxifloxacin:_x000a_a comparison in humans and other mammalian species" xr:uid="{AC7935EC-F6A7-4A50-9B1A-9EE4F5F33710}"/>
    <hyperlink ref="C74" r:id="rId73" display="Pharmacokinetics of the 8-methoxyquinolone, moxifloxacin:_x000a_a comparison in humans and other mammalian species" xr:uid="{911E0F35-5EBD-4B22-8E6E-0E4F611B4AF5}"/>
    <hyperlink ref="C75" r:id="rId74" display="Pharmacokinetics of the 8-methoxyquinolone, moxifloxacin:_x000a_a comparison in humans and other mammalian species" xr:uid="{E61EFE98-40CE-4A14-9014-6F503AAF03AD}"/>
    <hyperlink ref="C76" r:id="rId75" xr:uid="{B567FA30-11D8-4771-B7D2-0066E06951DA}"/>
    <hyperlink ref="C87" r:id="rId76" xr:uid="{A051423E-2B6D-4C55-9B86-B72D77AA7F43}"/>
    <hyperlink ref="C127" r:id="rId77" xr:uid="{706106D9-FEEC-4785-A64A-A87CD99C519F}"/>
    <hyperlink ref="C77" r:id="rId78" xr:uid="{0DA0F5AE-1076-426B-B308-62249D34BABE}"/>
    <hyperlink ref="C78" r:id="rId79" xr:uid="{742161ED-078A-44CE-8D32-2823762338C4}"/>
    <hyperlink ref="C79" r:id="rId80" xr:uid="{9B7378D5-9E3B-4E18-B0A1-A00EE1A54CB6}"/>
    <hyperlink ref="C80" r:id="rId81" xr:uid="{470AFDC1-3E40-4FB1-ABF8-BA2FCE24F23A}"/>
    <hyperlink ref="C81" r:id="rId82" xr:uid="{4B6B7FFF-C41F-454B-BAB5-D8097136D786}"/>
    <hyperlink ref="C82" r:id="rId83" xr:uid="{04B64CEA-1145-47B4-A164-8EF8329C030B}"/>
    <hyperlink ref="C83" r:id="rId84" xr:uid="{9386989B-9F15-4ABA-BAE6-19997C34C1F4}"/>
    <hyperlink ref="C84" r:id="rId85" xr:uid="{557F623B-9EE9-404A-B680-7BE098716F88}"/>
    <hyperlink ref="C85" r:id="rId86" xr:uid="{897D4608-EAD6-4DF3-BEA3-6819667C1483}"/>
    <hyperlink ref="C86" r:id="rId87" xr:uid="{1ADE087E-4C0A-4570-AA32-57E89D596A30}"/>
    <hyperlink ref="C88" r:id="rId88" xr:uid="{BEBE468E-AFC6-477F-8F92-CF1E29166754}"/>
    <hyperlink ref="C89" r:id="rId89" xr:uid="{E507AB7C-242C-4E57-813C-9B5FA2EB6DCD}"/>
    <hyperlink ref="C90" r:id="rId90" xr:uid="{2F44457D-20E1-4857-AD79-F4F710FCE3A2}"/>
    <hyperlink ref="C91" r:id="rId91" xr:uid="{95E21F0E-8835-428A-87D4-CD986D130AF2}"/>
    <hyperlink ref="C92" r:id="rId92" xr:uid="{6EF172C6-C420-4199-AF42-A8A02A14809A}"/>
    <hyperlink ref="C93" r:id="rId93" xr:uid="{33BF6379-E83D-41DE-92AF-9D2101234770}"/>
    <hyperlink ref="C94" r:id="rId94" xr:uid="{764FB1C3-B61E-4ABE-BABB-A3D1A50E0382}"/>
    <hyperlink ref="C95" r:id="rId95" xr:uid="{32BBA61D-4CAE-4A51-914C-21B60A88435C}"/>
    <hyperlink ref="C96" r:id="rId96" xr:uid="{DBE65648-4A97-4361-A795-DC904BB0BE14}"/>
    <hyperlink ref="C97" r:id="rId97" xr:uid="{377E17AD-0360-4702-93A1-DF6F561E80E2}"/>
    <hyperlink ref="C99" r:id="rId98" xr:uid="{867C2FC4-B29A-47BE-B1C3-AA969254428E}"/>
    <hyperlink ref="C101" r:id="rId99" xr:uid="{CFD2852E-279B-4B58-93E7-15B00C86A9A4}"/>
    <hyperlink ref="C100" r:id="rId100" xr:uid="{89101D78-22E0-4F94-9DEE-2EE46AE66163}"/>
    <hyperlink ref="C102" r:id="rId101" xr:uid="{3570BDFF-2F51-48C3-933B-3E3CC6F6670C}"/>
    <hyperlink ref="C103" r:id="rId102" xr:uid="{F72AD853-892E-49A4-8B14-A7384AEA4EC2}"/>
    <hyperlink ref="C104" r:id="rId103" xr:uid="{30CABE12-9E5B-43DD-96AA-76A82E9B2419}"/>
    <hyperlink ref="C105" r:id="rId104" xr:uid="{32E3C4D4-A8B7-40BF-83F2-7C4147C05F4D}"/>
    <hyperlink ref="C106" r:id="rId105" xr:uid="{CC66D7A4-7378-4A02-8CA0-C5439C1D2B8A}"/>
    <hyperlink ref="C107" r:id="rId106" xr:uid="{6D237750-BF39-46D8-AAB5-D804019CC249}"/>
    <hyperlink ref="C108" r:id="rId107" xr:uid="{4CF48E64-993F-4608-A684-895C180AC279}"/>
    <hyperlink ref="C109" r:id="rId108" xr:uid="{CB9E8B3D-A2D2-40A2-B9C5-C2E91048EC23}"/>
    <hyperlink ref="C110" r:id="rId109" xr:uid="{83BF2384-A9C7-420A-891B-709CB87F0FDF}"/>
    <hyperlink ref="C111" r:id="rId110" xr:uid="{EA8CC055-46BF-4C53-95A1-7F28995BC4DC}"/>
    <hyperlink ref="C112" r:id="rId111" xr:uid="{F8420600-EAAD-4E56-B872-6A4EEC3BE052}"/>
    <hyperlink ref="C113" r:id="rId112" xr:uid="{1BBD8C42-5DE9-44AD-AD67-76809F454047}"/>
    <hyperlink ref="C114" r:id="rId113" xr:uid="{022D1361-659D-4A98-8D76-1CD07FBBA765}"/>
    <hyperlink ref="C115" r:id="rId114" xr:uid="{E5199546-E81A-4927-BE9A-71098743F814}"/>
    <hyperlink ref="C116" r:id="rId115" xr:uid="{6BA9A668-1472-4564-BFBA-7AC28DD5C690}"/>
    <hyperlink ref="C117" r:id="rId116" xr:uid="{3D512965-7B07-4505-87F6-AD7D39D759D0}"/>
    <hyperlink ref="C118" r:id="rId117" xr:uid="{4344A0A0-1CD9-4B20-805B-4282255A250F}"/>
    <hyperlink ref="C119" r:id="rId118" xr:uid="{09210C0B-927E-4383-90DF-580CE08D2A92}"/>
    <hyperlink ref="C120" r:id="rId119" xr:uid="{A2597E18-129C-40CE-873B-E32A028E014E}"/>
    <hyperlink ref="C121" r:id="rId120" xr:uid="{B9EC81D6-F61D-40B1-82A9-422B9B4E4D04}"/>
    <hyperlink ref="C122" r:id="rId121" xr:uid="{C12DDC5E-3BD3-438D-923E-F32AB2448186}"/>
    <hyperlink ref="C123" r:id="rId122" xr:uid="{66986D49-119C-4716-A960-AA809D6E4240}"/>
    <hyperlink ref="C124" r:id="rId123" xr:uid="{78001D35-F489-411D-9C44-73E3304507E0}"/>
    <hyperlink ref="C125" r:id="rId124" xr:uid="{C26512D4-6D20-4027-AB8B-11C0EC8DC167}"/>
    <hyperlink ref="C126" r:id="rId125" xr:uid="{9542F5F1-1348-4DF6-8EFA-51C6EE68C2AE}"/>
    <hyperlink ref="C128" r:id="rId126" xr:uid="{40C17EC2-6437-429B-9C3F-AA030914E803}"/>
    <hyperlink ref="C129" r:id="rId127" xr:uid="{CD88AD2E-B4A9-40FF-B744-380B6FB8DEF2}"/>
    <hyperlink ref="C130" r:id="rId128" xr:uid="{F32388E7-F8A6-46A9-9F8D-02EC4B4454BF}"/>
    <hyperlink ref="C131" r:id="rId129" xr:uid="{18729EE6-2E38-4CCE-84A1-46D5A1A85F69}"/>
    <hyperlink ref="C132" r:id="rId130" xr:uid="{DC8F4DC1-ABB4-4D96-AEE1-B9AA3A9F3345}"/>
    <hyperlink ref="C133" r:id="rId131" xr:uid="{93FA6057-7804-4C1C-A825-FF467076DD41}"/>
    <hyperlink ref="C134" r:id="rId132" xr:uid="{C29B9F6C-B0D5-4B62-A5BF-E2F2E67D796C}"/>
    <hyperlink ref="C135" r:id="rId133" xr:uid="{AAE0E85F-6CCD-4B2D-856A-84F266772B38}"/>
    <hyperlink ref="C136" r:id="rId134" xr:uid="{6BA09C52-3A1F-45F6-A8FA-9A09AF5F5686}"/>
    <hyperlink ref="C137" r:id="rId135" xr:uid="{08F47441-CBB9-4916-91CA-2A4679F5536F}"/>
    <hyperlink ref="C138" r:id="rId136" xr:uid="{085B86D3-505F-4607-AF2C-745AD06821FA}"/>
    <hyperlink ref="C139" r:id="rId137" xr:uid="{5A35866A-137B-4E19-BDAD-7D2BABC8EF46}"/>
    <hyperlink ref="C140" r:id="rId138" xr:uid="{BE0A75BC-F6C8-4788-AEEE-CA5920955FAA}"/>
    <hyperlink ref="C141" r:id="rId139" xr:uid="{8E86CBF3-6EB9-4FE6-9EEC-41A70F2FB9B7}"/>
    <hyperlink ref="C142" r:id="rId140" xr:uid="{8F171DEC-C219-4A82-A636-3C09794C8E8B}"/>
    <hyperlink ref="C143" r:id="rId141" xr:uid="{82974E77-C8A7-4FA1-A89F-67DDA414BF02}"/>
    <hyperlink ref="C144" r:id="rId142" xr:uid="{E0DF02BD-F614-4ADA-A9FE-32D9675CEBAC}"/>
    <hyperlink ref="C145" r:id="rId143" xr:uid="{37153135-08EB-41BC-A157-43D7A8A521BD}"/>
    <hyperlink ref="C146" r:id="rId144" xr:uid="{211FE7EB-0DA2-46B2-B16E-A50C203FBC48}"/>
    <hyperlink ref="C147" r:id="rId145" xr:uid="{BA23AD69-5582-451E-BBD8-D55E7EC43E4F}"/>
    <hyperlink ref="C148" r:id="rId146" xr:uid="{16082CE7-73D9-4668-A456-AF9684B096C5}"/>
    <hyperlink ref="C149" r:id="rId147" xr:uid="{FE1239A0-BBB1-4D43-BCCB-E66DC690178A}"/>
    <hyperlink ref="C151" r:id="rId148" xr:uid="{047CEC0D-63EE-4641-9BB6-0D67F814736F}"/>
    <hyperlink ref="C152" r:id="rId149" xr:uid="{6A7892C7-4412-4CAD-89DB-59008E3304D7}"/>
    <hyperlink ref="C153" r:id="rId150" xr:uid="{AB51A7F2-DF69-4DF7-A207-C6B0FCAEC949}"/>
    <hyperlink ref="C154" r:id="rId151" xr:uid="{F165702F-F6D3-4A93-A35F-C1DFBE1D8DCB}"/>
    <hyperlink ref="C155" r:id="rId152" xr:uid="{2110C469-3CAA-467C-A464-244F3F5ADC3F}"/>
    <hyperlink ref="C156" r:id="rId153" xr:uid="{49891061-65A0-45B5-9052-6FF2F45A83C4}"/>
    <hyperlink ref="C157" r:id="rId154" xr:uid="{3912450E-CA28-4804-B69B-2648FA73DE8B}"/>
    <hyperlink ref="C158" r:id="rId155" xr:uid="{F19CCB46-0284-4C45-B16C-E2232C3E9D69}"/>
    <hyperlink ref="C159" r:id="rId156" xr:uid="{2D0DA708-9B5E-46F0-A016-F5FA2D525464}"/>
    <hyperlink ref="C160" r:id="rId157" xr:uid="{F8ECF28A-C659-4FE0-9457-5504C5930E93}"/>
    <hyperlink ref="C161" r:id="rId158" xr:uid="{5896D35A-BAED-4B1A-8124-6C7BCBDC2227}"/>
    <hyperlink ref="C162" r:id="rId159" xr:uid="{E848B1F8-9C14-4F56-B0F7-4F12100DB014}"/>
    <hyperlink ref="C163" r:id="rId160" xr:uid="{DAF50921-4E30-4450-BB27-1CB960433CDC}"/>
    <hyperlink ref="C165" r:id="rId161" xr:uid="{786D5E1D-612C-4379-96A8-B886DE166790}"/>
    <hyperlink ref="C166" r:id="rId162" xr:uid="{14DC8D87-06FE-4263-B016-E1D07EB74BC8}"/>
    <hyperlink ref="C167" r:id="rId163" xr:uid="{BF66374F-FE70-4A5E-8B58-3D8A026CCA86}"/>
    <hyperlink ref="C168" r:id="rId164" xr:uid="{A3345E21-CBA8-41C8-A29D-ED539DBDB8C5}"/>
    <hyperlink ref="C169" r:id="rId165" xr:uid="{9B7915BB-485F-4A97-AA65-D3163C1FD960}"/>
    <hyperlink ref="C170" r:id="rId166" xr:uid="{AD3DC50A-15C0-4DB9-9E7F-1D0D216CB59C}"/>
    <hyperlink ref="C171" r:id="rId167" xr:uid="{A8B87285-FC7B-4576-91A4-194274D05C4A}"/>
    <hyperlink ref="C172" r:id="rId168" xr:uid="{F1A41DCA-E3EE-486F-AD3C-9A10A0BBACB9}"/>
    <hyperlink ref="C173" r:id="rId169" xr:uid="{6C2BB4E0-7B7E-4738-A681-FD6BD2F9E44A}"/>
    <hyperlink ref="C174" r:id="rId170" xr:uid="{F9586F0E-E761-4187-9C79-6E236F67E217}"/>
    <hyperlink ref="C175" r:id="rId171" xr:uid="{8AFC704F-556B-40BA-9A02-9A4B8E4F4565}"/>
    <hyperlink ref="C176" r:id="rId172" xr:uid="{70F535A1-1031-4433-A4E8-2D3BE59035A5}"/>
    <hyperlink ref="C180" r:id="rId173" xr:uid="{9AAFED77-E0AA-4E30-B8E6-D98A8F13E83A}"/>
    <hyperlink ref="C181" r:id="rId174" xr:uid="{DA7D9405-5041-4F68-8EE3-25B5D371C158}"/>
    <hyperlink ref="C182" r:id="rId175" xr:uid="{78C334A6-5C9A-4001-84B0-5642B90ECF22}"/>
    <hyperlink ref="C183" r:id="rId176" xr:uid="{5744BB64-91B2-4CEC-BAA2-6B1E5088F428}"/>
    <hyperlink ref="C184" r:id="rId177" xr:uid="{94A1CE43-2FD8-4DC6-A0AF-5521D251840F}"/>
    <hyperlink ref="C185" r:id="rId178" xr:uid="{E6157BE6-BBA4-4735-909D-BF46BDFBF550}"/>
    <hyperlink ref="C186" r:id="rId179" xr:uid="{F2482611-AF99-463E-B3A0-5CDB537777D0}"/>
    <hyperlink ref="C187" r:id="rId180" xr:uid="{CCA3946C-5570-42CB-86C5-800D4CC8616D}"/>
    <hyperlink ref="C188" r:id="rId181" xr:uid="{33C8BEA8-C0BE-4CA2-96E3-BE3DA6DCC3A4}"/>
    <hyperlink ref="C189" r:id="rId182" xr:uid="{619E66AF-1153-425D-8A09-E120EA1B11A0}"/>
    <hyperlink ref="C190" r:id="rId183" xr:uid="{AC345CC6-1D0D-45E3-941A-20C562FE90C3}"/>
    <hyperlink ref="C191" r:id="rId184" xr:uid="{EC0DEC6F-4393-48DB-A193-C3E5F4681E88}"/>
    <hyperlink ref="C192" r:id="rId185" xr:uid="{D1D752F1-FDEA-4809-83F8-A460933670B7}"/>
    <hyperlink ref="C193" r:id="rId186" xr:uid="{2A748830-D543-4893-A44A-4901BC9D78B8}"/>
    <hyperlink ref="C98" r:id="rId187" xr:uid="{C9B49BFA-FCB1-4648-A7BD-F2A36AC2669C}"/>
    <hyperlink ref="C150" r:id="rId188" xr:uid="{22FA18B5-70CD-4FA6-BB68-D33023F037F7}"/>
    <hyperlink ref="C164" r:id="rId189" xr:uid="{E25CAA0E-0D3A-4B3E-B721-3EB2B8E4911C}"/>
    <hyperlink ref="C177" r:id="rId190" xr:uid="{DEC75812-1347-4DA0-85ED-A6353AED0202}"/>
    <hyperlink ref="C178" r:id="rId191" xr:uid="{56E9B5EB-5DB0-4387-895B-2D8F67AE8F73}"/>
    <hyperlink ref="C179" r:id="rId192" xr:uid="{545F3B30-6625-40D4-A42E-F53D3CF4EB7D}"/>
    <hyperlink ref="C241" r:id="rId193" xr:uid="{F56A4DFA-298E-4414-A123-B1571B326E42}"/>
    <hyperlink ref="C452" r:id="rId194" xr:uid="{C48BCD6F-EF6B-45BC-90C9-B39BFBCC5961}"/>
    <hyperlink ref="C242" r:id="rId195" xr:uid="{389B1273-42EF-46A6-8AD3-14F950205DE9}"/>
    <hyperlink ref="C243" r:id="rId196" xr:uid="{F0BF465D-1A05-47C7-850C-46EDA583C7DD}"/>
    <hyperlink ref="C244" r:id="rId197" xr:uid="{CE33F5B8-F9AF-4D4F-9333-2FDF3894293D}"/>
    <hyperlink ref="C245" r:id="rId198" xr:uid="{BFA60C23-4227-429C-8E85-8D3EF3783079}"/>
    <hyperlink ref="C246" r:id="rId199" xr:uid="{194F5146-3FCF-45DD-B32F-72F09DAF06D1}"/>
    <hyperlink ref="C247" r:id="rId200" xr:uid="{4A392ADB-F60E-4D10-8425-92D2C897FFEA}"/>
    <hyperlink ref="C248" r:id="rId201" xr:uid="{704FAC75-FF33-497A-A71D-A9623E948E2F}"/>
    <hyperlink ref="C249" r:id="rId202" xr:uid="{41567C6F-33CD-4111-823C-69B55AE56748}"/>
    <hyperlink ref="C250" r:id="rId203" xr:uid="{1647F0DB-CC2E-4529-A986-1B19580FA53F}"/>
    <hyperlink ref="C251" r:id="rId204" xr:uid="{CD868BAF-01D1-4FD2-951B-9D6DF836288C}"/>
    <hyperlink ref="C252" r:id="rId205" xr:uid="{5BA9D74F-6837-4AA3-9569-CFA848EA95B5}"/>
    <hyperlink ref="C253" r:id="rId206" xr:uid="{D3DF0A2F-3EF0-4C08-B01A-F2D1EA1C5D34}"/>
    <hyperlink ref="C254" r:id="rId207" xr:uid="{11BE496A-9A0D-40AD-A429-A29160D691ED}"/>
    <hyperlink ref="C259" r:id="rId208" xr:uid="{04B6DE06-F4C9-43E6-ADB0-CB7C9DA91C8A}"/>
    <hyperlink ref="C260" r:id="rId209" xr:uid="{0FB9DC8A-44DB-4AC8-8DD0-E28740FA3F82}"/>
    <hyperlink ref="C261" r:id="rId210" xr:uid="{C86086C2-6E7E-4A97-8052-CF39DE14BF2C}"/>
    <hyperlink ref="C262" r:id="rId211" xr:uid="{3215FF8E-7EE4-4E79-8B06-1407014744B0}"/>
    <hyperlink ref="C263" r:id="rId212" xr:uid="{B175549F-694C-437C-BCBD-948D8A784B25}"/>
    <hyperlink ref="C264" r:id="rId213" xr:uid="{8B82CC63-6E4E-47DB-8F42-D1F39B7CE8E7}"/>
    <hyperlink ref="C265" r:id="rId214" xr:uid="{34C3138C-78B3-4B70-9FA4-4A7AA875D942}"/>
    <hyperlink ref="C266" r:id="rId215" xr:uid="{2AF2E1FC-1769-4636-B89F-9A0CC99776D2}"/>
    <hyperlink ref="C267" r:id="rId216" xr:uid="{5D42F8AA-AE54-4F08-8CF4-349AFC53E3A7}"/>
    <hyperlink ref="C268" r:id="rId217" xr:uid="{3CF0A653-9290-4DD5-B482-69F4D8000AF3}"/>
    <hyperlink ref="C269" r:id="rId218" xr:uid="{C93A0F4D-05EC-484D-937A-3B6D77041764}"/>
    <hyperlink ref="C275" r:id="rId219" xr:uid="{75355E8A-421D-4A2A-A39C-987BF75761BE}"/>
    <hyperlink ref="C276" r:id="rId220" xr:uid="{FCACE575-C676-4F5C-B347-B9772C8DB9D1}"/>
    <hyperlink ref="C277" r:id="rId221" xr:uid="{5030F941-7078-4A38-B334-DC67412449A9}"/>
    <hyperlink ref="C278" r:id="rId222" xr:uid="{D7CF4DF9-ADC1-42D6-8C9E-3766DCD987D5}"/>
    <hyperlink ref="C279" r:id="rId223" xr:uid="{DDFEC342-3546-435D-9C1A-0DC8C9F71DBE}"/>
    <hyperlink ref="C280" r:id="rId224" xr:uid="{5BB800F8-0758-4234-BB3E-F7E9501E5252}"/>
    <hyperlink ref="C281" r:id="rId225" xr:uid="{4E35AE6F-DEF5-471A-A438-D6B82FE7C581}"/>
    <hyperlink ref="C282" r:id="rId226" xr:uid="{B1749531-8852-485A-9B70-E9FC7A4AC791}"/>
    <hyperlink ref="C283" r:id="rId227" xr:uid="{4F7562AE-260E-4585-8CAA-CD65B081D841}"/>
    <hyperlink ref="C284" r:id="rId228" xr:uid="{468EF0E5-0DB1-4946-8729-BAACF8BECE14}"/>
    <hyperlink ref="C291" r:id="rId229" xr:uid="{709A75E3-6197-448D-9F6B-93FF88F85A3A}"/>
    <hyperlink ref="C292" r:id="rId230" xr:uid="{F47B4E92-200D-4449-AF87-62BBD8635314}"/>
    <hyperlink ref="C293" r:id="rId231" xr:uid="{3EAE2A55-0638-40A8-A2C5-D5D6FF6C7303}"/>
    <hyperlink ref="C294" r:id="rId232" xr:uid="{3747E123-8B0E-4EB5-B0CC-A51C79C30C6D}"/>
    <hyperlink ref="C295" r:id="rId233" xr:uid="{8C3A9A11-4500-4FC7-8AB9-5BD5F44EAB37}"/>
    <hyperlink ref="C296" r:id="rId234" xr:uid="{68563F64-A983-46F5-B602-E29B543C2D20}"/>
    <hyperlink ref="C307" r:id="rId235" xr:uid="{A0D61D49-2B5C-48D8-A266-62874F3EB420}"/>
    <hyperlink ref="C319" r:id="rId236" xr:uid="{CC7EE195-D079-4084-923B-730F98E641D3}"/>
    <hyperlink ref="C320" r:id="rId237" xr:uid="{2AFBB772-4E6E-42D4-AB60-AFFE8EAF4157}"/>
    <hyperlink ref="C321" r:id="rId238" xr:uid="{B69167B6-AA6E-4FAD-BBD5-9022EA37A21D}"/>
    <hyperlink ref="C322" r:id="rId239" xr:uid="{7A456A1A-C197-4B00-B7A6-A29664FD8B60}"/>
    <hyperlink ref="C323" r:id="rId240" xr:uid="{ED6051B4-5384-4529-87CD-05DEEBC6EA08}"/>
    <hyperlink ref="C324" r:id="rId241" xr:uid="{E5F0C5C0-3F5A-4916-8C8D-4377701F9AB8}"/>
    <hyperlink ref="C325" r:id="rId242" xr:uid="{4780BC3E-D1CD-4C91-89D4-E82F7545FEE9}"/>
    <hyperlink ref="C326" r:id="rId243" xr:uid="{05B9880F-4B5A-47AE-B521-4972D5F7E40E}"/>
    <hyperlink ref="C327" r:id="rId244" xr:uid="{C34EE0C6-35EA-4585-8F94-FF9552BA64D8}"/>
    <hyperlink ref="C328" r:id="rId245" xr:uid="{95A670A9-081F-424B-AE9C-654AA495A3C4}"/>
    <hyperlink ref="C453" r:id="rId246" xr:uid="{D7088782-E55B-437F-BCD3-EDA4549827F1}"/>
    <hyperlink ref="C454" r:id="rId247" xr:uid="{CD31F4AD-5BB8-4574-A745-3C45F6A70A7F}"/>
    <hyperlink ref="C455" r:id="rId248" xr:uid="{81DCB689-9B47-4DCA-92BF-2B73141C1515}"/>
    <hyperlink ref="C456" r:id="rId249" xr:uid="{ADA60E8A-8945-43B7-B59E-DF9860CFA2EC}"/>
    <hyperlink ref="C457" r:id="rId250" xr:uid="{6682E43D-7FEE-45BC-A8A4-448C710F112C}"/>
    <hyperlink ref="C458" r:id="rId251" xr:uid="{A167951A-3F05-469B-8CC7-7953050EE4D4}"/>
    <hyperlink ref="C459" r:id="rId252" xr:uid="{DA567944-B9DF-470D-BFF1-0A12F20A2455}"/>
    <hyperlink ref="C460" r:id="rId253" xr:uid="{FAA7976A-5CD3-4999-A5E2-65F6910E985B}"/>
    <hyperlink ref="C461" r:id="rId254" xr:uid="{D8DE5A44-A959-4BB6-AB3D-907C2A3F46CC}"/>
    <hyperlink ref="C462" r:id="rId255" xr:uid="{8BB64F94-F0C1-48AD-A083-68A481D9B914}"/>
    <hyperlink ref="C463" r:id="rId256" xr:uid="{2BC3A10F-E9D3-44B9-B200-1591DB6F983C}"/>
    <hyperlink ref="C464" r:id="rId257" xr:uid="{E013307E-6066-476B-A333-0C19C0B527BD}"/>
    <hyperlink ref="C465" r:id="rId258" xr:uid="{6BF0D893-17C2-4D3B-9290-076B4467BAC0}"/>
    <hyperlink ref="C206" r:id="rId259" xr:uid="{86AB3E13-67E4-4B43-902F-90697BF0C416}"/>
    <hyperlink ref="C194" r:id="rId260" xr:uid="{3B000434-A26F-4B24-AFEF-2EF7E376B5FE}"/>
    <hyperlink ref="C217" r:id="rId261" xr:uid="{30A49E6C-69A5-4817-BF04-6DFB4E0FAD3D}"/>
    <hyperlink ref="C224" r:id="rId262" xr:uid="{36DFD76F-CFBA-4FF6-8DC2-64FC3E57221A}"/>
    <hyperlink ref="C195" r:id="rId263" xr:uid="{FEE1326B-4908-4C23-B298-D6EB350F96A5}"/>
    <hyperlink ref="C196" r:id="rId264" xr:uid="{FF059842-F934-4348-A6EA-1396A2162133}"/>
    <hyperlink ref="C197" r:id="rId265" xr:uid="{E2F217A9-E718-484B-8D47-FA08DCEAB5F9}"/>
    <hyperlink ref="C198" r:id="rId266" xr:uid="{0FA71A9F-0C34-4674-9579-984188790024}"/>
    <hyperlink ref="C199" r:id="rId267" xr:uid="{9C17191A-5777-469A-ADDC-B5CD71EDDD6D}"/>
    <hyperlink ref="C200" r:id="rId268" xr:uid="{070A99B6-CD11-4F34-A488-5267F9599905}"/>
    <hyperlink ref="C201" r:id="rId269" xr:uid="{CA7F7CCE-9FC5-4A8B-ADD6-DE1876AF1A1C}"/>
    <hyperlink ref="C202" r:id="rId270" xr:uid="{2A25CDEA-F16B-4846-81C1-4F4D8EE525E2}"/>
    <hyperlink ref="C203" r:id="rId271" xr:uid="{8C3C76B5-7207-4C06-A518-220082085854}"/>
    <hyperlink ref="C204" r:id="rId272" xr:uid="{73BEB896-447A-45E7-82A4-EC451E34934A}"/>
    <hyperlink ref="C205" r:id="rId273" xr:uid="{3A41256A-B0E6-468B-85F9-C4424A9687FA}"/>
    <hyperlink ref="C207" r:id="rId274" xr:uid="{B664F9F5-AD5D-4B11-9829-5A4E9C8467C3}"/>
    <hyperlink ref="C208" r:id="rId275" xr:uid="{631653D0-FB1A-485C-B709-B1D01C7A7E83}"/>
    <hyperlink ref="C209" r:id="rId276" xr:uid="{74312F3F-F3C0-4C9B-9449-B327FE511184}"/>
    <hyperlink ref="C210" r:id="rId277" xr:uid="{CBBA27AE-C798-464D-AFBB-A14958F032AA}"/>
    <hyperlink ref="C211" r:id="rId278" xr:uid="{E09B394B-E0AF-4002-B289-61235E101EFD}"/>
    <hyperlink ref="C212" r:id="rId279" xr:uid="{68C4D9E4-3E1E-4223-A886-DA6132D6D6AA}"/>
    <hyperlink ref="C213" r:id="rId280" xr:uid="{1A33E141-9290-430C-AFD7-D713EE0D6F0F}"/>
    <hyperlink ref="C214" r:id="rId281" xr:uid="{9832CA74-DE39-403B-BEBA-DBDDE2FF2E99}"/>
    <hyperlink ref="C215" r:id="rId282" xr:uid="{98931B7F-0445-418E-A094-62960A278CF0}"/>
    <hyperlink ref="C216" r:id="rId283" xr:uid="{63E9AF15-DFFC-4793-80A9-B11290385E32}"/>
    <hyperlink ref="C218" r:id="rId284" xr:uid="{2BB12C04-CE66-4F47-B9BC-0C5BD9B4C8D1}"/>
    <hyperlink ref="C219" r:id="rId285" xr:uid="{60E9ABE3-3360-45FC-81D5-3CCBCD2DF229}"/>
    <hyperlink ref="C220" r:id="rId286" xr:uid="{1F28D1B3-5C0B-4EF8-BC11-C890146C808D}"/>
    <hyperlink ref="C221" r:id="rId287" xr:uid="{BB41F96C-0BD7-4FEB-8DFD-EE44F714303E}"/>
    <hyperlink ref="C222" r:id="rId288" xr:uid="{C8EA77E2-F065-4FFE-916A-B899A4F155D3}"/>
    <hyperlink ref="C223" r:id="rId289" xr:uid="{50C881FA-A19C-4886-98B5-98D11998800D}"/>
    <hyperlink ref="C225" r:id="rId290" xr:uid="{3107792F-206B-428E-98F1-9CDF7486FD60}"/>
    <hyperlink ref="C226" r:id="rId291" xr:uid="{DA1E9863-9628-4822-9EF0-75C39F80C71A}"/>
    <hyperlink ref="C227" r:id="rId292" xr:uid="{97D32AA5-F3B8-4760-BA5F-8F7931169C10}"/>
    <hyperlink ref="C228" r:id="rId293" xr:uid="{ED078A77-AF76-405F-AF32-02756DB0FE8D}"/>
    <hyperlink ref="C229" r:id="rId294" xr:uid="{F2E57893-86AC-4D20-A093-E14C02D5749B}"/>
    <hyperlink ref="C230" r:id="rId295" xr:uid="{E965FF4A-0FD3-4206-8988-02FA837085B8}"/>
    <hyperlink ref="C231" r:id="rId296" xr:uid="{22710E29-B5D3-4C6F-8B7A-13A3576A8A76}"/>
    <hyperlink ref="C232" r:id="rId297" xr:uid="{E99B8E28-13B6-4A97-8005-D72BC7B6AF89}"/>
    <hyperlink ref="C233" r:id="rId298" xr:uid="{6E0BE2CD-2A13-44B9-9E85-A1E2ABDDE9D1}"/>
    <hyperlink ref="C234" r:id="rId299" xr:uid="{547CAE86-99C5-4CC5-861C-8BA2C3494750}"/>
    <hyperlink ref="C235" r:id="rId300" xr:uid="{638DC9CC-7307-4941-9B9C-AF1F0F36217A}"/>
    <hyperlink ref="C236" r:id="rId301" xr:uid="{9FFC8307-1676-4A68-A47F-85518E1B2E5A}"/>
    <hyperlink ref="C237" r:id="rId302" xr:uid="{06CF889A-F050-4DC2-893F-23A201A90CB8}"/>
    <hyperlink ref="C238" r:id="rId303" xr:uid="{A41E9835-69ED-4EE2-B6EF-BA4D6A38956A}"/>
    <hyperlink ref="C239" r:id="rId304" xr:uid="{9BE55647-795A-4006-AD37-BB5D91CDE97F}"/>
    <hyperlink ref="C240" r:id="rId305" xr:uid="{CD2D91E6-C371-4A26-AA95-529FE7B1C480}"/>
    <hyperlink ref="C255" r:id="rId306" xr:uid="{8B84B1CD-6074-4438-BBD7-96DAE1EC922E}"/>
    <hyperlink ref="C256" r:id="rId307" xr:uid="{D8219B89-B895-410A-9780-487F817D1A17}"/>
    <hyperlink ref="C257" r:id="rId308" xr:uid="{125073D2-4C6C-4C8B-953D-C692E53821FE}"/>
    <hyperlink ref="C258" r:id="rId309" xr:uid="{41A63C7D-C37B-4C81-AA6A-AC816055FDD0}"/>
    <hyperlink ref="C270" r:id="rId310" xr:uid="{5AED1F86-4635-4F25-8C59-7D9D13B1CFA3}"/>
    <hyperlink ref="C271" r:id="rId311" xr:uid="{71BAF48C-C266-4797-A6B8-11206E5C829A}"/>
    <hyperlink ref="C272" r:id="rId312" xr:uid="{B4892EDE-A3A8-4D45-AEF8-ABF49FAEEC19}"/>
    <hyperlink ref="C273" r:id="rId313" xr:uid="{7AD3EFD8-8D20-4588-AFBF-26654B9D6F9A}"/>
    <hyperlink ref="C274" r:id="rId314" xr:uid="{0F16782D-A5F5-41BF-A2CF-4A317E0DCD99}"/>
    <hyperlink ref="C285" r:id="rId315" xr:uid="{DA686020-686A-42C9-882E-816753B749B4}"/>
    <hyperlink ref="C286" r:id="rId316" xr:uid="{C7D2F544-9873-4137-B272-D560EFD1FBA7}"/>
    <hyperlink ref="C287" r:id="rId317" xr:uid="{63036B35-7EA6-477B-9297-285454F5833E}"/>
    <hyperlink ref="C288" r:id="rId318" xr:uid="{5E46DCA3-5843-429D-8C9F-8E9F562116D3}"/>
    <hyperlink ref="C289" r:id="rId319" xr:uid="{2DE8596F-C9F9-4B87-81A3-97AD61C0FA83}"/>
    <hyperlink ref="C290" r:id="rId320" xr:uid="{BAD2BA80-4054-4461-9D7F-013D7F7BBBB6}"/>
    <hyperlink ref="C297" r:id="rId321" xr:uid="{735F84EC-3B46-4D37-8F08-14428B7B5314}"/>
    <hyperlink ref="C298" r:id="rId322" xr:uid="{8FE02BC5-A5F9-4F01-8326-BF343EB300BE}"/>
    <hyperlink ref="C299" r:id="rId323" xr:uid="{A96C0ABE-8EE5-4A5E-BEBF-C1FC80B924D7}"/>
    <hyperlink ref="C300" r:id="rId324" xr:uid="{AD8DF005-068E-4F00-B3EE-55C9A0B707D9}"/>
    <hyperlink ref="C301" r:id="rId325" xr:uid="{515F2534-E9C7-4776-B053-41DB46936299}"/>
    <hyperlink ref="C302" r:id="rId326" xr:uid="{C08CBFA4-3428-44F7-A794-237C6A1DB9A3}"/>
    <hyperlink ref="C303" r:id="rId327" xr:uid="{7EB6EFEB-8558-4F20-8D90-B3CF484A85A2}"/>
    <hyperlink ref="C304" r:id="rId328" xr:uid="{E844AD7C-56EB-42EB-9186-C2AB2588F1BE}"/>
    <hyperlink ref="C305" r:id="rId329" xr:uid="{F326BCAF-5964-4E80-AD50-0820783A0FE6}"/>
    <hyperlink ref="C306" r:id="rId330" xr:uid="{EE00EEF2-B12A-47FF-B501-E84E2943DB35}"/>
    <hyperlink ref="C308" r:id="rId331" xr:uid="{2B98B1DC-5A2B-43C9-85B0-0F839384B88D}"/>
    <hyperlink ref="C309" r:id="rId332" xr:uid="{0F2B63D4-19AB-4902-8282-58844A631662}"/>
    <hyperlink ref="C310" r:id="rId333" xr:uid="{4D0F8DF1-D6A7-485E-808F-48A7372B33E5}"/>
    <hyperlink ref="C311" r:id="rId334" xr:uid="{BEB92BF7-91BD-46CE-B40D-5232E0F6358B}"/>
    <hyperlink ref="C312" r:id="rId335" xr:uid="{D2584AED-59BE-41D4-919D-B5C76C4C9A9B}"/>
    <hyperlink ref="C313" r:id="rId336" xr:uid="{076ADC36-221D-4790-8CCE-4D4E366D4FEC}"/>
    <hyperlink ref="C314" r:id="rId337" xr:uid="{63AFD351-6EC8-4A5C-891F-7EC81CA0750C}"/>
    <hyperlink ref="C315" r:id="rId338" xr:uid="{420E26A9-3B22-4223-B809-792D5AD369AE}"/>
    <hyperlink ref="C316" r:id="rId339" xr:uid="{51D0BE4E-BA0A-43FA-BD3E-49936D98F71A}"/>
    <hyperlink ref="C317" r:id="rId340" xr:uid="{51C14A05-1E3B-46C8-BEDB-E8CE0400F1C5}"/>
    <hyperlink ref="C318" r:id="rId341" xr:uid="{98C0E69E-B328-409A-A814-1FAF9A72231D}"/>
    <hyperlink ref="C329" r:id="rId342" xr:uid="{991BA2C0-813D-4905-9AB9-AA7D5F5D8F0F}"/>
    <hyperlink ref="C330" r:id="rId343" xr:uid="{2A421335-1E41-4F73-842A-BF460A8DDC95}"/>
    <hyperlink ref="C331" r:id="rId344" xr:uid="{7B9E4A42-25FD-408A-8FE2-228F1C16CECD}"/>
    <hyperlink ref="C332" r:id="rId345" xr:uid="{254BC936-EA86-4C51-9818-FEC25B445CE0}"/>
    <hyperlink ref="C333" r:id="rId346" xr:uid="{35A64143-47FF-4F60-894E-4586B9D808D3}"/>
    <hyperlink ref="C334" r:id="rId347" xr:uid="{615B29E7-C9AE-466A-9506-7FF4920DDD24}"/>
    <hyperlink ref="C335:C431" r:id="rId348" display="Sirturo (EMA report)" xr:uid="{81B3EC98-B2A7-4C05-8889-5BF698F6169A}"/>
    <hyperlink ref="C347" r:id="rId349" xr:uid="{27C1BD6B-7F8F-46E4-85BE-941C43806D67}"/>
    <hyperlink ref="C348" r:id="rId350" xr:uid="{4D0699FE-9562-4468-97DC-1701767B61E4}"/>
    <hyperlink ref="C349" r:id="rId351" xr:uid="{DC13176D-1E3D-4848-BE09-33FF35E06A5D}"/>
    <hyperlink ref="C350" r:id="rId352" xr:uid="{96BD209B-FEA6-4BA5-BE0A-D09F8B10CF9F}"/>
    <hyperlink ref="C351" r:id="rId353" xr:uid="{780A072D-993E-4AB7-BD78-03BD61ACEE02}"/>
    <hyperlink ref="C352" r:id="rId354" xr:uid="{B461A60B-A317-4F83-B3DD-65855CFB1250}"/>
    <hyperlink ref="C353" r:id="rId355" xr:uid="{682FB0B4-E9B2-4C70-B49E-498FCFBEBF6E}"/>
    <hyperlink ref="C354" r:id="rId356" xr:uid="{63735C11-1987-49A6-A6D9-14C84537FD0E}"/>
    <hyperlink ref="C355" r:id="rId357" xr:uid="{DEDEBCE1-29C5-46A6-BA7A-C45E4EAA5780}"/>
    <hyperlink ref="C356" r:id="rId358" xr:uid="{9A53F853-2D53-4B81-B3BA-FD0ADE20D4EA}"/>
    <hyperlink ref="C357" r:id="rId359" xr:uid="{9B1EBD77-AB13-4F08-A4F3-38E12CE82198}"/>
    <hyperlink ref="C358" r:id="rId360" xr:uid="{591C38F3-D8F4-4F6E-A027-3D93DD667573}"/>
    <hyperlink ref="C359" r:id="rId361" xr:uid="{D9FB8983-8BBF-4BE3-A5C4-3FD9CED10DB7}"/>
    <hyperlink ref="C360" r:id="rId362" xr:uid="{840FF783-7B47-4C98-92EF-2069F90E222B}"/>
    <hyperlink ref="C361" r:id="rId363" xr:uid="{D20EBABD-E897-42FD-82C4-B29EE825386F}"/>
    <hyperlink ref="C362" r:id="rId364" xr:uid="{34D1AD10-5B43-49D3-8C40-6F004A27F483}"/>
    <hyperlink ref="C363" r:id="rId365" xr:uid="{A60BB41D-5C98-4E0A-8BBB-79AE29AC133B}"/>
    <hyperlink ref="C364" r:id="rId366" xr:uid="{CD2E3B15-5B87-4E18-B5AC-FC0EECE1F428}"/>
    <hyperlink ref="C365" r:id="rId367" xr:uid="{47A57FA9-0739-468B-A25D-5C2C7B4E8338}"/>
    <hyperlink ref="C366" r:id="rId368" xr:uid="{9AFB6BF0-EDD6-4EFB-A467-5DCB4AB4CE9E}"/>
    <hyperlink ref="C367" r:id="rId369" xr:uid="{46C34DB1-D4FE-473C-9CF2-2B43F3567496}"/>
    <hyperlink ref="C368" r:id="rId370" xr:uid="{79775F73-2142-4315-A61D-8C3186087BAC}"/>
    <hyperlink ref="C369" r:id="rId371" xr:uid="{D47E24D6-AD90-4599-A21D-18F4E02EE191}"/>
    <hyperlink ref="C370" r:id="rId372" xr:uid="{DC3EF2E6-7055-451E-9847-EDDFA177C66E}"/>
    <hyperlink ref="C371" r:id="rId373" xr:uid="{D2AFF3DE-C23C-47CE-8EF3-864EECC50EA0}"/>
    <hyperlink ref="C372" r:id="rId374" xr:uid="{7CCBA140-38E3-4874-B69D-B298DD4BCE38}"/>
    <hyperlink ref="C373" r:id="rId375" xr:uid="{4870DBFD-6EEC-4555-9177-620DDA56E7EE}"/>
    <hyperlink ref="C374" r:id="rId376" xr:uid="{11BAD288-D800-41DF-ACBF-6656A5A30E09}"/>
    <hyperlink ref="C393:C410" r:id="rId377" display="Sirturo (EMA report)" xr:uid="{3B214EC0-F489-47E0-9DE7-58184DA20A1F}"/>
    <hyperlink ref="C375:C392" r:id="rId378" display="Sirturo (EMA report)" xr:uid="{F71BD00D-76B7-46A9-B61A-138ABE69F7C3}"/>
    <hyperlink ref="C432:C449" r:id="rId379" display="Sirturo (EMA report)" xr:uid="{FD9AABBB-9F06-4D1B-ADAA-761DD5F50B9F}"/>
    <hyperlink ref="C450:C451" r:id="rId380" display="Sirturo (EMA report)" xr:uid="{F84C361C-2658-48DC-A13A-68910F28742C}"/>
    <hyperlink ref="C466" r:id="rId381" xr:uid="{36016409-0E8B-4E61-BFE9-936BE993F6BD}"/>
    <hyperlink ref="C481" r:id="rId382" xr:uid="{26622DDE-ECEA-4E8F-8279-70BD59DF8F9F}"/>
    <hyperlink ref="C542" r:id="rId383" display="https://citeseerx.ist.psu.edu/document?repid=rep1&amp;type=pdf&amp;doi=d4e42f0fb6287c2b204645dab694010d2388ef25" xr:uid="{3F048CD7-36CB-4CC1-A484-3B8343743DAA}"/>
    <hyperlink ref="C558" r:id="rId384" display="https://citeseerx.ist.psu.edu/document?repid=rep1&amp;type=pdf&amp;doi=d4e42f0fb6287c2b204645dab694010d2388ef25" xr:uid="{58E49123-B98A-4D14-8968-883A655A09C4}"/>
    <hyperlink ref="C526" r:id="rId385" display="https://citeseerx.ist.psu.edu/document?repid=rep1&amp;type=pdf&amp;doi=d4e42f0fb6287c2b204645dab694010d2388ef25" xr:uid="{DC3E6F9A-7A93-4564-8E20-9815CE604DA6}"/>
    <hyperlink ref="C511" r:id="rId386" display="https://citeseerx.ist.psu.edu/document?repid=rep1&amp;type=pdf&amp;doi=d4e42f0fb6287c2b204645dab694010d2388ef25" xr:uid="{39ECB7D9-604F-4F70-92FA-22516A653483}"/>
    <hyperlink ref="C495" r:id="rId387" display="https://citeseerx.ist.psu.edu/document?repid=rep1&amp;type=pdf&amp;doi=d4e42f0fb6287c2b204645dab694010d2388ef25" xr:uid="{42DE01E1-731B-499F-845E-A80F34B22D64}"/>
    <hyperlink ref="C467" r:id="rId388" xr:uid="{3305166B-7D4C-4BB2-97A5-463E1EE157FD}"/>
    <hyperlink ref="C468" r:id="rId389" xr:uid="{32D86403-DC1D-4F23-B3FA-C8175C4ADED8}"/>
    <hyperlink ref="C469" r:id="rId390" xr:uid="{E2EB0F02-D23B-4D27-96F4-1F6595F452D2}"/>
    <hyperlink ref="C470" r:id="rId391" xr:uid="{E1AB6E71-F406-4662-BD87-BC4A4734C4F3}"/>
    <hyperlink ref="C471" r:id="rId392" xr:uid="{2B423DD9-4C27-43E9-BD47-D372424EA038}"/>
    <hyperlink ref="C472" r:id="rId393" xr:uid="{5FD88412-D82E-48B9-A49C-B7F472BCF78E}"/>
    <hyperlink ref="C473" r:id="rId394" xr:uid="{61EDF0D0-EA99-4C55-900F-27D70D39C2DF}"/>
    <hyperlink ref="C474" r:id="rId395" xr:uid="{E41BE8D3-55A4-463B-A60F-348A3DC0205B}"/>
    <hyperlink ref="C475" r:id="rId396" xr:uid="{84A6611E-A2A1-4BE1-85B9-CFB8953F7ACD}"/>
    <hyperlink ref="C476" r:id="rId397" xr:uid="{F88A0D78-4B98-4583-AB6D-89D82C884A5D}"/>
    <hyperlink ref="C477" r:id="rId398" xr:uid="{80BFFCEB-6AF6-4648-A5E6-9FFB758873D4}"/>
    <hyperlink ref="C478" r:id="rId399" xr:uid="{65845953-13B5-4B31-BB56-2718D8841949}"/>
    <hyperlink ref="C479" r:id="rId400" xr:uid="{B66C52A8-DFB9-4AF6-B2F8-6C873E585570}"/>
    <hyperlink ref="C480" r:id="rId401" xr:uid="{F1D31E6A-5349-41CE-8F8F-A9829E54DAD0}"/>
    <hyperlink ref="C482" r:id="rId402" xr:uid="{DF92F8E0-16BA-4145-AFBB-C172ACA9F234}"/>
    <hyperlink ref="C483" r:id="rId403" xr:uid="{0D7C20E8-BC0F-4EB4-AB9A-13953688A32F}"/>
    <hyperlink ref="C484" r:id="rId404" xr:uid="{A88D980E-DBD4-409D-B3AA-3C5560773A49}"/>
    <hyperlink ref="C485" r:id="rId405" xr:uid="{A0D29C9D-6BB9-42C9-8F44-1A3C2915133A}"/>
    <hyperlink ref="C486" r:id="rId406" xr:uid="{D200F14D-0DBB-47A9-9C91-4B442E1DB8F5}"/>
    <hyperlink ref="C487" r:id="rId407" xr:uid="{4AC08898-A946-442B-9886-FDE76587BC36}"/>
    <hyperlink ref="C488" r:id="rId408" xr:uid="{2B401105-1884-4D60-91C2-922E993EF5A0}"/>
    <hyperlink ref="C489" r:id="rId409" xr:uid="{78929208-FD57-4558-B275-EC6A1397C0CA}"/>
    <hyperlink ref="C490" r:id="rId410" xr:uid="{66E77B22-9CD7-4F95-B4F9-D4CDE18C3BDF}"/>
    <hyperlink ref="C491" r:id="rId411" xr:uid="{C10E5671-EA9A-4A16-BAD3-870141247DB2}"/>
    <hyperlink ref="C492" r:id="rId412" xr:uid="{5B52ADDC-E960-493E-B568-78E3D2F88BE3}"/>
    <hyperlink ref="C493" r:id="rId413" xr:uid="{A96BE402-0FEC-4A14-B070-4B644A247906}"/>
    <hyperlink ref="C494" r:id="rId414" xr:uid="{7964E5D1-6E40-4196-87C5-8269D5A9F493}"/>
    <hyperlink ref="C496" r:id="rId415" display="https://citeseerx.ist.psu.edu/document?repid=rep1&amp;type=pdf&amp;doi=d4e42f0fb6287c2b204645dab694010d2388ef25" xr:uid="{3B5B1FEF-3035-4007-9A51-6275996CFD67}"/>
    <hyperlink ref="C497" r:id="rId416" display="https://citeseerx.ist.psu.edu/document?repid=rep1&amp;type=pdf&amp;doi=d4e42f0fb6287c2b204645dab694010d2388ef25" xr:uid="{22A06AAC-A288-4B49-A185-136AF128C2F0}"/>
    <hyperlink ref="C498" r:id="rId417" display="https://citeseerx.ist.psu.edu/document?repid=rep1&amp;type=pdf&amp;doi=d4e42f0fb6287c2b204645dab694010d2388ef25" xr:uid="{7B94CFA7-FF49-4412-BDF3-3460DB4A6F55}"/>
    <hyperlink ref="C499" r:id="rId418" display="https://citeseerx.ist.psu.edu/document?repid=rep1&amp;type=pdf&amp;doi=d4e42f0fb6287c2b204645dab694010d2388ef25" xr:uid="{5D8E813D-C4E9-415B-AD62-58CB19D167B5}"/>
    <hyperlink ref="C500" r:id="rId419" display="https://citeseerx.ist.psu.edu/document?repid=rep1&amp;type=pdf&amp;doi=d4e42f0fb6287c2b204645dab694010d2388ef25" xr:uid="{208E99DD-DECD-44CB-9BFA-46F3E5126187}"/>
    <hyperlink ref="C501" r:id="rId420" display="https://citeseerx.ist.psu.edu/document?repid=rep1&amp;type=pdf&amp;doi=d4e42f0fb6287c2b204645dab694010d2388ef25" xr:uid="{B848281F-1F55-4BE4-95CC-E65829A8017C}"/>
    <hyperlink ref="C502" r:id="rId421" display="https://citeseerx.ist.psu.edu/document?repid=rep1&amp;type=pdf&amp;doi=d4e42f0fb6287c2b204645dab694010d2388ef25" xr:uid="{2DFC7C78-86C4-44B3-A10E-1DB5B3C9B789}"/>
    <hyperlink ref="C503" r:id="rId422" display="https://citeseerx.ist.psu.edu/document?repid=rep1&amp;type=pdf&amp;doi=d4e42f0fb6287c2b204645dab694010d2388ef25" xr:uid="{8D498651-A3BD-42E9-80F0-66F1915BA774}"/>
    <hyperlink ref="C504" r:id="rId423" display="https://citeseerx.ist.psu.edu/document?repid=rep1&amp;type=pdf&amp;doi=d4e42f0fb6287c2b204645dab694010d2388ef25" xr:uid="{3F8D85F9-E519-4ED9-BD83-D661E17BCF4F}"/>
    <hyperlink ref="C505" r:id="rId424" display="https://citeseerx.ist.psu.edu/document?repid=rep1&amp;type=pdf&amp;doi=d4e42f0fb6287c2b204645dab694010d2388ef25" xr:uid="{7BA1B446-D665-4565-9779-AA388CDB4549}"/>
    <hyperlink ref="C506" r:id="rId425" display="https://citeseerx.ist.psu.edu/document?repid=rep1&amp;type=pdf&amp;doi=d4e42f0fb6287c2b204645dab694010d2388ef25" xr:uid="{90650DFE-6844-4859-A7A6-7A8BA24C03AB}"/>
    <hyperlink ref="C507" r:id="rId426" display="https://citeseerx.ist.psu.edu/document?repid=rep1&amp;type=pdf&amp;doi=d4e42f0fb6287c2b204645dab694010d2388ef25" xr:uid="{147B8C48-C0F8-4B25-8925-44E3844C6CD1}"/>
    <hyperlink ref="C508" r:id="rId427" display="https://citeseerx.ist.psu.edu/document?repid=rep1&amp;type=pdf&amp;doi=d4e42f0fb6287c2b204645dab694010d2388ef25" xr:uid="{D196E56F-C5CA-4095-A712-1D7AE400F3F9}"/>
    <hyperlink ref="C509" r:id="rId428" display="https://citeseerx.ist.psu.edu/document?repid=rep1&amp;type=pdf&amp;doi=d4e42f0fb6287c2b204645dab694010d2388ef25" xr:uid="{86E58F2F-52E1-4CC8-BFFC-4B36710652CE}"/>
    <hyperlink ref="C510" r:id="rId429" display="https://citeseerx.ist.psu.edu/document?repid=rep1&amp;type=pdf&amp;doi=d4e42f0fb6287c2b204645dab694010d2388ef25" xr:uid="{5F182338-3E41-46EE-A4A5-1000D4167C10}"/>
    <hyperlink ref="C512" r:id="rId430" display="https://citeseerx.ist.psu.edu/document?repid=rep1&amp;type=pdf&amp;doi=d4e42f0fb6287c2b204645dab694010d2388ef25" xr:uid="{8F4450D5-F320-4578-9DD9-6C550547DFCE}"/>
    <hyperlink ref="C513" r:id="rId431" display="https://citeseerx.ist.psu.edu/document?repid=rep1&amp;type=pdf&amp;doi=d4e42f0fb6287c2b204645dab694010d2388ef25" xr:uid="{034BFFC6-FF49-4486-93D7-42D83DA236B4}"/>
    <hyperlink ref="C514" r:id="rId432" display="https://citeseerx.ist.psu.edu/document?repid=rep1&amp;type=pdf&amp;doi=d4e42f0fb6287c2b204645dab694010d2388ef25" xr:uid="{CF496055-F5A2-484B-B5E9-678AFB2B670C}"/>
    <hyperlink ref="C515" r:id="rId433" display="https://citeseerx.ist.psu.edu/document?repid=rep1&amp;type=pdf&amp;doi=d4e42f0fb6287c2b204645dab694010d2388ef25" xr:uid="{80D64302-F336-4D99-85A8-73EA2E03B627}"/>
    <hyperlink ref="C516" r:id="rId434" display="https://citeseerx.ist.psu.edu/document?repid=rep1&amp;type=pdf&amp;doi=d4e42f0fb6287c2b204645dab694010d2388ef25" xr:uid="{985BD4C1-6B55-4414-9CE6-45B7DC98FF65}"/>
    <hyperlink ref="C517" r:id="rId435" display="https://citeseerx.ist.psu.edu/document?repid=rep1&amp;type=pdf&amp;doi=d4e42f0fb6287c2b204645dab694010d2388ef25" xr:uid="{017A03B2-AA74-4658-A5FB-1FAEB89F6450}"/>
    <hyperlink ref="C518" r:id="rId436" display="https://citeseerx.ist.psu.edu/document?repid=rep1&amp;type=pdf&amp;doi=d4e42f0fb6287c2b204645dab694010d2388ef25" xr:uid="{C96C5CF1-8F1B-4B64-BAA2-8BD2D70092E7}"/>
    <hyperlink ref="C519" r:id="rId437" display="https://citeseerx.ist.psu.edu/document?repid=rep1&amp;type=pdf&amp;doi=d4e42f0fb6287c2b204645dab694010d2388ef25" xr:uid="{7394E7CF-E940-4C48-A79C-4B5971C92EA9}"/>
    <hyperlink ref="C520" r:id="rId438" display="https://citeseerx.ist.psu.edu/document?repid=rep1&amp;type=pdf&amp;doi=d4e42f0fb6287c2b204645dab694010d2388ef25" xr:uid="{8DF1FEEA-1AFF-4CBA-B415-DA38B6DEE3D4}"/>
    <hyperlink ref="C521" r:id="rId439" display="https://citeseerx.ist.psu.edu/document?repid=rep1&amp;type=pdf&amp;doi=d4e42f0fb6287c2b204645dab694010d2388ef25" xr:uid="{12881B62-AFD2-44A6-A124-907C7FC5039D}"/>
    <hyperlink ref="C522" r:id="rId440" display="https://citeseerx.ist.psu.edu/document?repid=rep1&amp;type=pdf&amp;doi=d4e42f0fb6287c2b204645dab694010d2388ef25" xr:uid="{6676B442-F97A-4409-9D64-D29E568EA8B7}"/>
    <hyperlink ref="C525" r:id="rId441" display="https://citeseerx.ist.psu.edu/document?repid=rep1&amp;type=pdf&amp;doi=d4e42f0fb6287c2b204645dab694010d2388ef25" xr:uid="{4A8EC9F2-747D-4ADC-B160-71B48FEE80EF}"/>
    <hyperlink ref="C527" r:id="rId442" display="https://citeseerx.ist.psu.edu/document?repid=rep1&amp;type=pdf&amp;doi=d4e42f0fb6287c2b204645dab694010d2388ef25" xr:uid="{BD1169C6-8D44-4622-92F0-0DE7FCDA4C41}"/>
    <hyperlink ref="C528" r:id="rId443" display="https://citeseerx.ist.psu.edu/document?repid=rep1&amp;type=pdf&amp;doi=d4e42f0fb6287c2b204645dab694010d2388ef25" xr:uid="{09C372F4-803D-4205-B187-30E32A6C15D8}"/>
    <hyperlink ref="C529" r:id="rId444" display="https://citeseerx.ist.psu.edu/document?repid=rep1&amp;type=pdf&amp;doi=d4e42f0fb6287c2b204645dab694010d2388ef25" xr:uid="{300EAEDB-0AC6-4159-8F0F-C0B377E7D3B3}"/>
    <hyperlink ref="C530" r:id="rId445" display="https://citeseerx.ist.psu.edu/document?repid=rep1&amp;type=pdf&amp;doi=d4e42f0fb6287c2b204645dab694010d2388ef25" xr:uid="{F8C33FE4-087D-49E7-B568-E4247B6F3B91}"/>
    <hyperlink ref="C531" r:id="rId446" display="https://citeseerx.ist.psu.edu/document?repid=rep1&amp;type=pdf&amp;doi=d4e42f0fb6287c2b204645dab694010d2388ef25" xr:uid="{DE6794EE-9CBC-49C5-8674-32FDD649E78F}"/>
    <hyperlink ref="C532" r:id="rId447" display="https://citeseerx.ist.psu.edu/document?repid=rep1&amp;type=pdf&amp;doi=d4e42f0fb6287c2b204645dab694010d2388ef25" xr:uid="{68949D9A-D0D3-4E79-A493-A4F337268BEA}"/>
    <hyperlink ref="C533" r:id="rId448" display="https://citeseerx.ist.psu.edu/document?repid=rep1&amp;type=pdf&amp;doi=d4e42f0fb6287c2b204645dab694010d2388ef25" xr:uid="{0AFB71E3-5842-4D0E-BFC0-D72FB589A7B7}"/>
    <hyperlink ref="C534" r:id="rId449" display="https://citeseerx.ist.psu.edu/document?repid=rep1&amp;type=pdf&amp;doi=d4e42f0fb6287c2b204645dab694010d2388ef25" xr:uid="{BF3482EA-AF2C-4590-A00A-F8C066B2FBC7}"/>
    <hyperlink ref="C535" r:id="rId450" display="https://citeseerx.ist.psu.edu/document?repid=rep1&amp;type=pdf&amp;doi=d4e42f0fb6287c2b204645dab694010d2388ef25" xr:uid="{3EAA04D0-B9BC-4A6D-A6B8-5AE22252B899}"/>
    <hyperlink ref="C536" r:id="rId451" display="https://citeseerx.ist.psu.edu/document?repid=rep1&amp;type=pdf&amp;doi=d4e42f0fb6287c2b204645dab694010d2388ef25" xr:uid="{57A4982A-7BDC-44AD-AC7F-1FEF1DF50687}"/>
    <hyperlink ref="C543" r:id="rId452" display="https://citeseerx.ist.psu.edu/document?repid=rep1&amp;type=pdf&amp;doi=d4e42f0fb6287c2b204645dab694010d2388ef25" xr:uid="{443EF43A-E973-4705-9FB0-4FDF8CCAC337}"/>
    <hyperlink ref="C544" r:id="rId453" display="https://citeseerx.ist.psu.edu/document?repid=rep1&amp;type=pdf&amp;doi=d4e42f0fb6287c2b204645dab694010d2388ef25" xr:uid="{F483A8D8-80FC-42C7-A752-B2CF88C6AF1D}"/>
    <hyperlink ref="C545" r:id="rId454" display="https://citeseerx.ist.psu.edu/document?repid=rep1&amp;type=pdf&amp;doi=d4e42f0fb6287c2b204645dab694010d2388ef25" xr:uid="{28F803BF-75C4-4999-B7CB-29CE2822E299}"/>
    <hyperlink ref="C546" r:id="rId455" display="https://citeseerx.ist.psu.edu/document?repid=rep1&amp;type=pdf&amp;doi=d4e42f0fb6287c2b204645dab694010d2388ef25" xr:uid="{9E46C1D1-1DE8-4999-8519-1BE7224A4B2A}"/>
    <hyperlink ref="C547" r:id="rId456" display="https://citeseerx.ist.psu.edu/document?repid=rep1&amp;type=pdf&amp;doi=d4e42f0fb6287c2b204645dab694010d2388ef25" xr:uid="{90DE9A46-8777-4170-832F-CA65790EDED6}"/>
    <hyperlink ref="C548" r:id="rId457" display="https://citeseerx.ist.psu.edu/document?repid=rep1&amp;type=pdf&amp;doi=d4e42f0fb6287c2b204645dab694010d2388ef25" xr:uid="{9C1F43A2-2088-45F9-83FC-F8AEA7811969}"/>
    <hyperlink ref="C549" r:id="rId458" display="https://citeseerx.ist.psu.edu/document?repid=rep1&amp;type=pdf&amp;doi=d4e42f0fb6287c2b204645dab694010d2388ef25" xr:uid="{26E0B127-2173-4C59-BC80-6A41C4B93158}"/>
    <hyperlink ref="C550" r:id="rId459" display="https://citeseerx.ist.psu.edu/document?repid=rep1&amp;type=pdf&amp;doi=d4e42f0fb6287c2b204645dab694010d2388ef25" xr:uid="{43D21FB2-38AA-4323-9745-2B354C15FD31}"/>
    <hyperlink ref="C551" r:id="rId460" display="https://citeseerx.ist.psu.edu/document?repid=rep1&amp;type=pdf&amp;doi=d4e42f0fb6287c2b204645dab694010d2388ef25" xr:uid="{68BB08B1-D832-40B2-A4A5-BC0CA06DF820}"/>
    <hyperlink ref="C552" r:id="rId461" display="https://citeseerx.ist.psu.edu/document?repid=rep1&amp;type=pdf&amp;doi=d4e42f0fb6287c2b204645dab694010d2388ef25" xr:uid="{54D69796-BCBF-47F9-AB14-166337BA6F8A}"/>
    <hyperlink ref="C559" r:id="rId462" display="https://citeseerx.ist.psu.edu/document?repid=rep1&amp;type=pdf&amp;doi=d4e42f0fb6287c2b204645dab694010d2388ef25" xr:uid="{2E2BAD79-D368-42D9-968B-C64B041F978F}"/>
    <hyperlink ref="C560" r:id="rId463" display="https://citeseerx.ist.psu.edu/document?repid=rep1&amp;type=pdf&amp;doi=d4e42f0fb6287c2b204645dab694010d2388ef25" xr:uid="{0F2D72EB-B269-4CA6-B271-509C1FA85F09}"/>
    <hyperlink ref="C561" r:id="rId464" display="https://citeseerx.ist.psu.edu/document?repid=rep1&amp;type=pdf&amp;doi=d4e42f0fb6287c2b204645dab694010d2388ef25" xr:uid="{BFF368D1-261D-435A-B2BD-1DAF6832F3AA}"/>
    <hyperlink ref="C562" r:id="rId465" display="https://citeseerx.ist.psu.edu/document?repid=rep1&amp;type=pdf&amp;doi=d4e42f0fb6287c2b204645dab694010d2388ef25" xr:uid="{13EB1444-887C-4D4D-9830-3DBEF6204053}"/>
    <hyperlink ref="C563" r:id="rId466" display="https://citeseerx.ist.psu.edu/document?repid=rep1&amp;type=pdf&amp;doi=d4e42f0fb6287c2b204645dab694010d2388ef25" xr:uid="{3F41681A-49CA-4275-ABF3-89A21CB6BAD6}"/>
    <hyperlink ref="C564" r:id="rId467" display="https://citeseerx.ist.psu.edu/document?repid=rep1&amp;type=pdf&amp;doi=d4e42f0fb6287c2b204645dab694010d2388ef25" xr:uid="{69B22D62-E9F1-431F-985B-0F8018F1708E}"/>
    <hyperlink ref="C565" r:id="rId468" display="https://citeseerx.ist.psu.edu/document?repid=rep1&amp;type=pdf&amp;doi=d4e42f0fb6287c2b204645dab694010d2388ef25" xr:uid="{EB64D36B-7029-4FC0-85A0-CE45AF52511B}"/>
    <hyperlink ref="C566" r:id="rId469" display="https://citeseerx.ist.psu.edu/document?repid=rep1&amp;type=pdf&amp;doi=d4e42f0fb6287c2b204645dab694010d2388ef25" xr:uid="{6271BD8F-77D5-47A9-95D4-5195958D7448}"/>
    <hyperlink ref="C567" r:id="rId470" display="https://citeseerx.ist.psu.edu/document?repid=rep1&amp;type=pdf&amp;doi=d4e42f0fb6287c2b204645dab694010d2388ef25" xr:uid="{DA54063C-6FE8-44DC-A121-E936C30774C4}"/>
    <hyperlink ref="C523" r:id="rId471" display="https://citeseerx.ist.psu.edu/document?repid=rep1&amp;type=pdf&amp;doi=d4e42f0fb6287c2b204645dab694010d2388ef25" xr:uid="{9199B38E-B37D-4CAD-8374-BBC1F877DCD9}"/>
    <hyperlink ref="C524" r:id="rId472" display="https://citeseerx.ist.psu.edu/document?repid=rep1&amp;type=pdf&amp;doi=d4e42f0fb6287c2b204645dab694010d2388ef25" xr:uid="{C5A4B698-261D-4879-92E4-D6D2D235A736}"/>
    <hyperlink ref="C537" r:id="rId473" display="https://citeseerx.ist.psu.edu/document?repid=rep1&amp;type=pdf&amp;doi=d4e42f0fb6287c2b204645dab694010d2388ef25" xr:uid="{1FE7BC25-3395-49AF-9761-FBF7182D3734}"/>
    <hyperlink ref="C538" r:id="rId474" display="https://citeseerx.ist.psu.edu/document?repid=rep1&amp;type=pdf&amp;doi=d4e42f0fb6287c2b204645dab694010d2388ef25" xr:uid="{66AC8F9C-E115-47F9-993F-302252907C96}"/>
    <hyperlink ref="C539" r:id="rId475" display="https://citeseerx.ist.psu.edu/document?repid=rep1&amp;type=pdf&amp;doi=d4e42f0fb6287c2b204645dab694010d2388ef25" xr:uid="{EA781B23-FCC2-42E6-AD66-98320F1EA2F2}"/>
    <hyperlink ref="C540" r:id="rId476" display="https://citeseerx.ist.psu.edu/document?repid=rep1&amp;type=pdf&amp;doi=d4e42f0fb6287c2b204645dab694010d2388ef25" xr:uid="{D69CBFC2-5F38-4856-A50D-F052C0071297}"/>
    <hyperlink ref="C541" r:id="rId477" display="https://citeseerx.ist.psu.edu/document?repid=rep1&amp;type=pdf&amp;doi=d4e42f0fb6287c2b204645dab694010d2388ef25" xr:uid="{74557D5B-0370-435F-A986-460BA73408D2}"/>
    <hyperlink ref="C553" r:id="rId478" display="https://citeseerx.ist.psu.edu/document?repid=rep1&amp;type=pdf&amp;doi=d4e42f0fb6287c2b204645dab694010d2388ef25" xr:uid="{89EBEE43-CAFF-43EB-BEB5-032B35B2B2B1}"/>
    <hyperlink ref="C554" r:id="rId479" display="https://citeseerx.ist.psu.edu/document?repid=rep1&amp;type=pdf&amp;doi=d4e42f0fb6287c2b204645dab694010d2388ef25" xr:uid="{71041B52-F1B5-49CE-8F66-947E027671C2}"/>
    <hyperlink ref="C555" r:id="rId480" display="https://citeseerx.ist.psu.edu/document?repid=rep1&amp;type=pdf&amp;doi=d4e42f0fb6287c2b204645dab694010d2388ef25" xr:uid="{78D9159D-B8E7-4185-9617-22F31B2CA33B}"/>
    <hyperlink ref="C556" r:id="rId481" display="https://citeseerx.ist.psu.edu/document?repid=rep1&amp;type=pdf&amp;doi=d4e42f0fb6287c2b204645dab694010d2388ef25" xr:uid="{3F462AE4-D937-429D-9EC4-A65C9A2025A6}"/>
    <hyperlink ref="C557" r:id="rId482" display="https://citeseerx.ist.psu.edu/document?repid=rep1&amp;type=pdf&amp;doi=d4e42f0fb6287c2b204645dab694010d2388ef25" xr:uid="{CF4D503D-1E1F-4C0D-BBD4-5949BBCA7765}"/>
    <hyperlink ref="C568" r:id="rId483" xr:uid="{BEB97C6F-91D9-4341-AE72-753BA22DC4E4}"/>
    <hyperlink ref="C615" r:id="rId484" xr:uid="{8DE43C67-0EFD-47E8-AA1A-4A0B60BBC6CB}"/>
    <hyperlink ref="C569" r:id="rId485" xr:uid="{07EA1E5D-8A23-4D4C-8CF1-328BB968E50F}"/>
    <hyperlink ref="C570" r:id="rId486" xr:uid="{4BA8F927-98CC-4748-93AF-9BD6CF75C28C}"/>
    <hyperlink ref="C571" r:id="rId487" xr:uid="{5A9E5A55-8CA8-4734-BCFB-B71704427A86}"/>
    <hyperlink ref="C572" r:id="rId488" xr:uid="{63375658-F7CA-43DE-8A06-8994B7C0BF21}"/>
    <hyperlink ref="C573" r:id="rId489" xr:uid="{AC04A7BA-0A96-454E-A691-31E81AC4DE53}"/>
    <hyperlink ref="C574" r:id="rId490" xr:uid="{15ED3992-4723-4AF2-8438-037C41610B06}"/>
    <hyperlink ref="C575" r:id="rId491" xr:uid="{FBFCB285-53EB-4998-BC68-5A494E8EB290}"/>
    <hyperlink ref="C576" r:id="rId492" xr:uid="{56877811-3C53-4C06-A9B1-FF3EA55E2663}"/>
    <hyperlink ref="C577" r:id="rId493" xr:uid="{7930F546-69CD-4334-9B7D-CC080FE29D37}"/>
    <hyperlink ref="C578" r:id="rId494" xr:uid="{19B08BEE-3252-43AA-B316-E0843721B5D8}"/>
    <hyperlink ref="C579" r:id="rId495" xr:uid="{63949F91-21AC-4E20-96E2-EAF4762CE4CD}"/>
    <hyperlink ref="C580" r:id="rId496" xr:uid="{F1A285CD-C4F2-429B-B1DA-9286FF2FD402}"/>
    <hyperlink ref="C581" r:id="rId497" xr:uid="{5731433C-3D06-4292-A7D6-E7F31E5FA82F}"/>
    <hyperlink ref="C582" r:id="rId498" xr:uid="{C8F38D70-72F2-4024-A71E-8EC036224A11}"/>
    <hyperlink ref="C583" r:id="rId499" xr:uid="{723D5ECE-1E9D-4E1E-A1DA-43970A9BCC55}"/>
    <hyperlink ref="C584" r:id="rId500" xr:uid="{93E9E64A-30D7-41C8-A15B-77B5FCC645FF}"/>
    <hyperlink ref="C585" r:id="rId501" xr:uid="{302339A9-C563-46B2-B163-28E771323A9D}"/>
    <hyperlink ref="C586" r:id="rId502" xr:uid="{AB3621FE-7588-4881-94C0-AE1C34D3DE92}"/>
    <hyperlink ref="C587" r:id="rId503" xr:uid="{642F8105-1201-4F4E-95BC-2751D16018E0}"/>
    <hyperlink ref="C588" r:id="rId504" xr:uid="{E7CCB9F4-E0EA-43C4-8B91-1A827DCAD2B6}"/>
    <hyperlink ref="C589" r:id="rId505" xr:uid="{9084C967-E8C0-4DE7-9815-B18F67974BC0}"/>
    <hyperlink ref="C590" r:id="rId506" xr:uid="{E80FE984-05CE-49F0-8719-601A7D1CBC44}"/>
    <hyperlink ref="C591" r:id="rId507" xr:uid="{2A4354BF-6EE0-4DF4-B9D5-8120F2C98C60}"/>
    <hyperlink ref="C592" r:id="rId508" xr:uid="{9E8565FD-2C47-4FBD-A1B2-7C2DE8A71FA4}"/>
    <hyperlink ref="C593" r:id="rId509" xr:uid="{49F57029-C332-4975-A681-F3F557A6E3AC}"/>
    <hyperlink ref="C594" r:id="rId510" xr:uid="{5567A84C-A5D4-4C68-8123-4BF4703110B3}"/>
    <hyperlink ref="C595" r:id="rId511" xr:uid="{C547ACAF-A443-4427-A996-679F11556BAE}"/>
    <hyperlink ref="C596" r:id="rId512" xr:uid="{AF437370-3991-4CEB-BFBB-188BC400ACF4}"/>
    <hyperlink ref="C597" r:id="rId513" xr:uid="{1B3AF1B3-F945-46A0-8A35-E597C5E0EC7B}"/>
    <hyperlink ref="C598" r:id="rId514" xr:uid="{0655CC56-2E9B-4F2A-BBA1-FE30381B37FF}"/>
    <hyperlink ref="C599" r:id="rId515" xr:uid="{D06097A8-04F5-43EE-8E65-83FF112EA922}"/>
    <hyperlink ref="C600" r:id="rId516" xr:uid="{5ED95C2E-2982-446B-B776-2A0C4426D76B}"/>
    <hyperlink ref="C601" r:id="rId517" xr:uid="{975696E6-8F3B-44BA-B753-4A148D9C736E}"/>
    <hyperlink ref="C602" r:id="rId518" xr:uid="{18B4966D-776F-492B-86C9-CEA2D4BEDA7B}"/>
    <hyperlink ref="C603" r:id="rId519" xr:uid="{EFE7EF37-AA2F-4A4D-9E55-793D45DBFB86}"/>
    <hyperlink ref="C604" r:id="rId520" xr:uid="{571B0B97-CB24-4241-844A-E694B1706EF8}"/>
    <hyperlink ref="C605" r:id="rId521" xr:uid="{BB4DE74C-ABCF-4123-A7C7-52EF36FFF1BF}"/>
    <hyperlink ref="C606" r:id="rId522" xr:uid="{191D5099-28E3-45A1-B6AC-688B07DC1B45}"/>
    <hyperlink ref="C607" r:id="rId523" xr:uid="{75D09E06-9A04-44E2-8018-D05807901418}"/>
    <hyperlink ref="C608" r:id="rId524" xr:uid="{063A695E-F659-49D9-A726-96784D2EA36D}"/>
    <hyperlink ref="C609" r:id="rId525" xr:uid="{DA9FC0EC-14AD-4681-9A3C-AE6D0473FC01}"/>
    <hyperlink ref="C610" r:id="rId526" xr:uid="{05DA45FE-08AB-486B-83A5-32C1426A21C6}"/>
    <hyperlink ref="C611" r:id="rId527" xr:uid="{1B0CFD5A-C084-4376-AE27-C7D8F6BF7716}"/>
    <hyperlink ref="C612" r:id="rId528" xr:uid="{C6D435D4-DC42-4543-A773-1821A72F58AE}"/>
    <hyperlink ref="C613" r:id="rId529" xr:uid="{2D93D231-0223-49BE-AA7D-BAB332A711D2}"/>
    <hyperlink ref="C614" r:id="rId530" xr:uid="{3F9A75B8-983B-41E1-9D8A-638CC0FE63A0}"/>
    <hyperlink ref="C616" r:id="rId531" xr:uid="{D79D1729-25C4-43AA-A75F-355135AC71EC}"/>
    <hyperlink ref="C617" r:id="rId532" xr:uid="{95324632-AD84-411F-A285-A0954A727DFC}"/>
    <hyperlink ref="C618" r:id="rId533" xr:uid="{98C63E7F-61CA-4886-9DDF-9D67C6D579B1}"/>
    <hyperlink ref="C619" r:id="rId534" xr:uid="{A478AAC4-5061-45BD-A44C-1AC3E427B7E6}"/>
    <hyperlink ref="C620" r:id="rId535" xr:uid="{3340F579-8704-4390-B949-80C081C20260}"/>
    <hyperlink ref="C621" r:id="rId536" xr:uid="{C74E0A51-9C51-4033-ABA6-3B3D0BDD12FB}"/>
    <hyperlink ref="C622" r:id="rId537" xr:uid="{EB74A4BF-E8FD-4DBF-B575-FBF2D1341BFF}"/>
    <hyperlink ref="C623" r:id="rId538" xr:uid="{20EC86B7-AAE8-4387-A414-1BEC863704D4}"/>
    <hyperlink ref="C624" r:id="rId539" xr:uid="{B61DA579-ED16-40B7-8F58-A4E9078A02A5}"/>
    <hyperlink ref="C625" r:id="rId540" xr:uid="{5EBFD9B3-5D94-4AB8-AF2D-E0E136B8DEE4}"/>
    <hyperlink ref="C626" r:id="rId541" xr:uid="{518FAE70-B8F9-48B7-9A25-223046EF3608}"/>
    <hyperlink ref="C627" r:id="rId542" xr:uid="{009BD5CC-D4B7-436F-858C-246C2EFC33C0}"/>
    <hyperlink ref="C628" r:id="rId543" xr:uid="{0321E1D8-ABDC-4A65-95DD-9A76048B6977}"/>
    <hyperlink ref="C629" r:id="rId544" xr:uid="{D78D68F6-E784-4AB1-84F0-8937EF6AC183}"/>
    <hyperlink ref="C630" r:id="rId545" xr:uid="{6E6D4123-FA9A-4489-95BE-B09C7C0B3DF8}"/>
    <hyperlink ref="C631" r:id="rId546" xr:uid="{AA491C1B-3914-4181-8FBF-8BC333F64C77}"/>
    <hyperlink ref="C632" r:id="rId547" xr:uid="{29C4930A-9A75-4F52-955C-EDD9ED746883}"/>
    <hyperlink ref="C694" r:id="rId548" xr:uid="{B1D7F6F5-357E-49F1-BFBF-61AB009F062B}"/>
    <hyperlink ref="C705" r:id="rId549" xr:uid="{B57FD787-AA1E-49BE-B772-A8199C95B75B}"/>
    <hyperlink ref="C633" r:id="rId550" xr:uid="{2D218019-F298-4397-835D-7C75EC9D121E}"/>
    <hyperlink ref="C645" r:id="rId551" xr:uid="{05010FEA-CDC6-4296-B5E1-19AA60D4D9C7}"/>
    <hyperlink ref="C681" r:id="rId552" xr:uid="{6A8478D1-FE5A-46C6-8FCD-47CAD3C8DF2C}"/>
    <hyperlink ref="C670" r:id="rId553" xr:uid="{E363A2A7-03BD-4D55-AC0F-5987B85680E2}"/>
    <hyperlink ref="C744:C804" r:id="rId554" display="Single- and Multiple-Dose Pharmacokinetics and Absolute_x000a_Bioavailability of Tedizolid" xr:uid="{0AF1136C-1003-43BA-9048-7F83D6F3DC23}"/>
    <hyperlink ref="C634" r:id="rId555" xr:uid="{70D8A398-07E0-45AE-9A66-145020F3A08A}"/>
    <hyperlink ref="C635" r:id="rId556" xr:uid="{5CF141FA-F6D8-4B8A-BF37-65AD85C8CA87}"/>
    <hyperlink ref="C636" r:id="rId557" xr:uid="{8EF41663-93E0-4AF9-AC66-C2B9306FA077}"/>
    <hyperlink ref="C637" r:id="rId558" xr:uid="{2B3B2006-889C-488E-951A-1E230D62C80A}"/>
    <hyperlink ref="C638" r:id="rId559" xr:uid="{951E24C6-1B63-44B7-AD77-8EE710562489}"/>
    <hyperlink ref="C639" r:id="rId560" xr:uid="{D6A5133E-F8FB-44C3-BAB9-726625CE84B7}"/>
    <hyperlink ref="C640" r:id="rId561" xr:uid="{5A8AAE9D-3389-49A0-B1EC-7D0F0D98FA77}"/>
    <hyperlink ref="C641" r:id="rId562" xr:uid="{E5C36A90-EF31-4438-96D2-0A2540642049}"/>
    <hyperlink ref="C642" r:id="rId563" xr:uid="{A60952B1-8079-4BA6-8FDA-A8B0C47AE9FA}"/>
    <hyperlink ref="C643" r:id="rId564" xr:uid="{389D00B1-A2F0-4FEF-8C3E-470A5E2FAC4F}"/>
    <hyperlink ref="C644" r:id="rId565" xr:uid="{89648F63-98B5-46DC-8036-307DF2FFEDEB}"/>
    <hyperlink ref="C646" r:id="rId566" xr:uid="{7691124D-523E-453D-ADE6-DE03AB69E34C}"/>
    <hyperlink ref="C647" r:id="rId567" xr:uid="{0C7992EC-0CBD-4AFC-B685-86B50B1C344B}"/>
    <hyperlink ref="C648" r:id="rId568" xr:uid="{8549E870-30CB-41EB-9CE1-F87E3A413A3E}"/>
    <hyperlink ref="C649" r:id="rId569" xr:uid="{FB8D1A74-4021-4CF9-BA2E-79AAAADEA497}"/>
    <hyperlink ref="C650" r:id="rId570" xr:uid="{42E0F9C2-0FA8-4F53-8072-9A4B81F64B80}"/>
    <hyperlink ref="C651" r:id="rId571" xr:uid="{92623B42-D6E1-449F-B8FE-25EB748FD62F}"/>
    <hyperlink ref="C652" r:id="rId572" xr:uid="{3DEBF0B8-186B-4EB4-8198-F937A0490B5C}"/>
    <hyperlink ref="C653" r:id="rId573" xr:uid="{17B1EEAA-E6B6-4728-B7E5-100300AEB8C9}"/>
    <hyperlink ref="C654" r:id="rId574" xr:uid="{F256039C-7692-42AE-9AE1-0E5D7EAB931E}"/>
    <hyperlink ref="C655" r:id="rId575" xr:uid="{2FD6B4B1-196C-4C4F-8685-513D04C05AD2}"/>
    <hyperlink ref="C656" r:id="rId576" xr:uid="{C035428B-5F3D-4FAD-B486-712520E745D6}"/>
    <hyperlink ref="C657" r:id="rId577" xr:uid="{09BF69E4-F87F-4DFB-AFB0-531F1BF08A16}"/>
    <hyperlink ref="C658" r:id="rId578" xr:uid="{70404BBA-F4C1-4A3E-86E3-827FA6B06C79}"/>
    <hyperlink ref="C659" r:id="rId579" xr:uid="{24DC7B3B-CBE0-4B4D-B6CB-00174914E80E}"/>
    <hyperlink ref="C660" r:id="rId580" xr:uid="{C6F23477-8741-41D3-9923-A601EEABE754}"/>
    <hyperlink ref="C661" r:id="rId581" xr:uid="{EA96B934-14F2-4DBD-ABD5-D9EBFD38E061}"/>
    <hyperlink ref="C662" r:id="rId582" xr:uid="{F10CF30C-152A-4037-BF7C-3671497F24FD}"/>
    <hyperlink ref="C663" r:id="rId583" xr:uid="{700C8418-0D50-44CE-A133-5ECA9D4E696F}"/>
    <hyperlink ref="C664" r:id="rId584" xr:uid="{38322C68-7BB1-4470-B7C8-9B35D9A90375}"/>
    <hyperlink ref="C665" r:id="rId585" xr:uid="{9E604B04-AFF2-4A88-8947-782B9A85E483}"/>
    <hyperlink ref="C666" r:id="rId586" xr:uid="{A8A27359-E79E-4093-A57E-D9AF09B13A74}"/>
    <hyperlink ref="C667" r:id="rId587" xr:uid="{E59ACCE8-3154-40D2-8F13-601DFFF89B6B}"/>
    <hyperlink ref="C668" r:id="rId588" xr:uid="{FAE55D3F-5012-4540-B809-EB2E65435441}"/>
    <hyperlink ref="C669" r:id="rId589" xr:uid="{E843ED37-2089-4504-B3B2-F500AF439772}"/>
    <hyperlink ref="C671" r:id="rId590" xr:uid="{D205C017-3691-4DEC-A6DE-6E2C01F09D15}"/>
    <hyperlink ref="C672" r:id="rId591" xr:uid="{423AEDEC-A12C-41CD-918A-0B9BEEC10D06}"/>
    <hyperlink ref="C673" r:id="rId592" xr:uid="{F1EA7A2C-F1C7-493A-AB4D-FDC3CF6CE732}"/>
    <hyperlink ref="C674" r:id="rId593" xr:uid="{F6C2DF80-8E9C-43F7-9732-49A06449D9FE}"/>
    <hyperlink ref="C675" r:id="rId594" xr:uid="{C2213DEB-1620-4D15-83AD-1BC24ECEC323}"/>
    <hyperlink ref="C676" r:id="rId595" xr:uid="{7D0DAE5E-1FFC-46F4-8C5B-45D88B79399D}"/>
    <hyperlink ref="C677" r:id="rId596" xr:uid="{7D29391F-975A-42EC-A036-75E297FE9B1E}"/>
    <hyperlink ref="C678" r:id="rId597" xr:uid="{E0C827FF-229E-4D09-9B62-2F33DACC2FC0}"/>
    <hyperlink ref="C679" r:id="rId598" xr:uid="{D84AC233-9CC2-4DF7-B34B-871C89781800}"/>
    <hyperlink ref="C680" r:id="rId599" xr:uid="{53F1F48E-2831-49C3-8C4A-8BF57A30A317}"/>
    <hyperlink ref="C682" r:id="rId600" xr:uid="{0021D2F0-925E-48B5-8073-85C1C4E20804}"/>
    <hyperlink ref="C683" r:id="rId601" xr:uid="{55916B0E-1EE1-4D77-83F1-EEFD24E970F9}"/>
    <hyperlink ref="C684" r:id="rId602" xr:uid="{4DCD7CF3-A3D4-4ABE-93BF-982E1BA44C0F}"/>
    <hyperlink ref="C685" r:id="rId603" xr:uid="{F82C5F64-16C2-4123-9DEE-6328C416D145}"/>
    <hyperlink ref="C686" r:id="rId604" xr:uid="{4A2434F3-4098-479F-BC86-44117A54E3F1}"/>
    <hyperlink ref="C687" r:id="rId605" xr:uid="{095B6326-21A6-495D-B8B3-0E2F4A765B38}"/>
    <hyperlink ref="C688" r:id="rId606" xr:uid="{163FF570-1F25-49DF-8F6F-B1BC7A3C52A2}"/>
    <hyperlink ref="C689" r:id="rId607" xr:uid="{08809B6C-7854-4D0A-B224-9375A60DEF9C}"/>
    <hyperlink ref="C690" r:id="rId608" xr:uid="{8BD4D561-9A8D-492F-8E5C-477C67A5F46A}"/>
    <hyperlink ref="C691" r:id="rId609" xr:uid="{6B95686C-DB94-4A67-9A30-2216438B8523}"/>
    <hyperlink ref="C692" r:id="rId610" xr:uid="{F192535E-D751-4F2F-977A-A54E0718A5CD}"/>
    <hyperlink ref="C693" r:id="rId611" xr:uid="{3D7505B2-E673-4745-A631-1796F0FEDF3C}"/>
    <hyperlink ref="C695" r:id="rId612" xr:uid="{3667984F-C901-4671-B33A-F299CD57BBE1}"/>
    <hyperlink ref="C696" r:id="rId613" xr:uid="{DB1D18A3-157D-47D1-90AB-37395398076D}"/>
    <hyperlink ref="C697" r:id="rId614" xr:uid="{CC5C8806-0B3B-468F-9223-DEE400F350A9}"/>
    <hyperlink ref="C698" r:id="rId615" xr:uid="{71A514EB-7DBD-414E-B73C-4F6B2822EA2F}"/>
    <hyperlink ref="C699" r:id="rId616" xr:uid="{7B4C7ED3-2B98-47DA-BFB7-7EA31E81E51E}"/>
    <hyperlink ref="C700" r:id="rId617" xr:uid="{4BFD797F-C85D-461D-B29A-28CC3355AEE7}"/>
    <hyperlink ref="C701" r:id="rId618" xr:uid="{D8FCB65A-36FB-471E-B6C9-BF917187BC1E}"/>
    <hyperlink ref="C702" r:id="rId619" xr:uid="{C9C50284-4512-46B4-90B3-1551C31CA508}"/>
    <hyperlink ref="C703" r:id="rId620" xr:uid="{B84AC6B9-8D57-44CC-B478-A106EC982009}"/>
    <hyperlink ref="C704" r:id="rId621" xr:uid="{0FBE3B44-62E9-40A0-8FAB-5BB062E2AC51}"/>
    <hyperlink ref="C706" r:id="rId622" xr:uid="{3FD58786-7D0C-4E41-9492-F4CA3ECD15AA}"/>
    <hyperlink ref="C707" r:id="rId623" xr:uid="{2EACB18B-B9C0-4152-8A53-368552A99FD8}"/>
    <hyperlink ref="C708" r:id="rId624" xr:uid="{B91789F4-28B2-4FF5-86B3-B903A354F91C}"/>
    <hyperlink ref="C709" r:id="rId625" xr:uid="{3EF99AAE-ECFD-4AB2-B14C-766630F9AA98}"/>
    <hyperlink ref="C710" r:id="rId626" xr:uid="{0B567D8B-85BE-4895-B57D-1AF5CFB5E26C}"/>
    <hyperlink ref="C711" r:id="rId627" xr:uid="{86EE0C97-ABC8-4F2B-971B-8A4E9044144E}"/>
    <hyperlink ref="C712" r:id="rId628" xr:uid="{290E22C9-96AF-4A71-9B37-E5B4DEA4072E}"/>
    <hyperlink ref="C713" r:id="rId629" xr:uid="{2398F0CA-F68A-44E6-A531-A461F7937608}"/>
    <hyperlink ref="C714" r:id="rId630" xr:uid="{81F9A4B9-13A2-4C99-A38A-5EA5C1B8ACDA}"/>
    <hyperlink ref="C715" r:id="rId631" xr:uid="{6DE5B375-8B45-488A-BE30-154A272A989A}"/>
    <hyperlink ref="C716" r:id="rId632" xr:uid="{185AD82C-7AE9-4599-90A7-838C86836BAC}"/>
    <hyperlink ref="C726" r:id="rId633" xr:uid="{C71A7945-AAC1-480C-A455-708A8E5D60F8}"/>
    <hyperlink ref="C727" r:id="rId634" xr:uid="{304DE9EB-4F67-47AF-8F80-ED04CAF37E9C}"/>
    <hyperlink ref="C728" r:id="rId635" xr:uid="{62D4639C-EFCB-4591-B0C2-565B91D7195B}"/>
    <hyperlink ref="C816" r:id="rId636" display="Single- and Multiple-Dose Pharmacokinetics and Absolute_x000a_Bioavailability of Tedizolid" xr:uid="{8BA2C66C-FA9B-4225-AEC1-E34706863E41}"/>
    <hyperlink ref="C729" r:id="rId637" display="Single- and Multiple-Dose Pharmacokinetics and Absolute_x000a_Bioavailability of Tedizolid" xr:uid="{3417989B-9776-47B1-A6B7-791142176C44}"/>
    <hyperlink ref="C730" r:id="rId638" display="Single- and Multiple-Dose Pharmacokinetics and Absolute_x000a_Bioavailability of Tedizolid" xr:uid="{0AB49D0A-3F4F-495D-865A-65ABB5DAE043}"/>
    <hyperlink ref="C731" r:id="rId639" display="Single- and Multiple-Dose Pharmacokinetics and Absolute_x000a_Bioavailability of Tedizolid" xr:uid="{27539C9E-B5A3-4603-82DD-F59E59C7FD53}"/>
    <hyperlink ref="C732" r:id="rId640" display="Single- and Multiple-Dose Pharmacokinetics and Absolute_x000a_Bioavailability of Tedizolid" xr:uid="{B73C9AD3-C3A9-4C4D-9E77-F7C03E57A598}"/>
    <hyperlink ref="C733" r:id="rId641" display="Single- and Multiple-Dose Pharmacokinetics and Absolute_x000a_Bioavailability of Tedizolid" xr:uid="{CE8F2C4F-FDD3-494B-9A6C-3DF81D189874}"/>
    <hyperlink ref="C734" r:id="rId642" display="Single- and Multiple-Dose Pharmacokinetics and Absolute_x000a_Bioavailability of Tedizolid" xr:uid="{23230284-1E65-41D8-8EB5-507B5615D585}"/>
    <hyperlink ref="C735" r:id="rId643" display="Single- and Multiple-Dose Pharmacokinetics and Absolute_x000a_Bioavailability of Tedizolid" xr:uid="{DF98BEBF-2F16-4575-B18F-EEB9033BED48}"/>
    <hyperlink ref="C736" r:id="rId644" display="Single- and Multiple-Dose Pharmacokinetics and Absolute_x000a_Bioavailability of Tedizolid" xr:uid="{36A9C789-24CB-4778-A9E7-8DECC7E0BDC0}"/>
    <hyperlink ref="C737" r:id="rId645" display="Single- and Multiple-Dose Pharmacokinetics and Absolute_x000a_Bioavailability of Tedizolid" xr:uid="{AE048636-723C-4E8C-BC5C-65FDA36BA92B}"/>
    <hyperlink ref="C738" r:id="rId646" display="Single- and Multiple-Dose Pharmacokinetics and Absolute_x000a_Bioavailability of Tedizolid" xr:uid="{A826B850-F5BA-4748-B659-CD570CB677BF}"/>
    <hyperlink ref="C739" r:id="rId647" display="Single- and Multiple-Dose Pharmacokinetics and Absolute_x000a_Bioavailability of Tedizolid" xr:uid="{D42A42F7-82DB-4C69-AD95-C382596FD7D2}"/>
    <hyperlink ref="C740" r:id="rId648" display="Single- and Multiple-Dose Pharmacokinetics and Absolute_x000a_Bioavailability of Tedizolid" xr:uid="{644FD5B5-449A-4510-B35B-823BF332C94C}"/>
    <hyperlink ref="C741" r:id="rId649" display="Single- and Multiple-Dose Pharmacokinetics and Absolute_x000a_Bioavailability of Tedizolid" xr:uid="{7967D317-04E4-4DD2-9B75-46F70621C097}"/>
    <hyperlink ref="C742" r:id="rId650" display="Single- and Multiple-Dose Pharmacokinetics and Absolute_x000a_Bioavailability of Tedizolid" xr:uid="{5950103B-9F50-401A-A30F-754E2376D243}"/>
    <hyperlink ref="C743" r:id="rId651" display="Single- and Multiple-Dose Pharmacokinetics and Absolute_x000a_Bioavailability of Tedizolid" xr:uid="{C899D68C-00F7-4A27-86F1-4D0EA94164E8}"/>
    <hyperlink ref="C744" r:id="rId652" display="Single- and Multiple-Dose Pharmacokinetics and Absolute_x000a_Bioavailability of Tedizolid" xr:uid="{99FF871F-1777-425C-92A4-2AAC4C10D46A}"/>
    <hyperlink ref="C745" r:id="rId653" display="Single- and Multiple-Dose Pharmacokinetics and Absolute_x000a_Bioavailability of Tedizolid" xr:uid="{6F961247-8CFA-42B6-A3F8-814C007C3B6A}"/>
    <hyperlink ref="C746" r:id="rId654" display="Single- and Multiple-Dose Pharmacokinetics and Absolute_x000a_Bioavailability of Tedizolid" xr:uid="{1F3E261A-8ADB-4EF2-9198-1CF0AF41FC6E}"/>
    <hyperlink ref="C747" r:id="rId655" display="Single- and Multiple-Dose Pharmacokinetics and Absolute_x000a_Bioavailability of Tedizolid" xr:uid="{F848DEC3-7DC3-4A87-A3F1-E76079B98485}"/>
    <hyperlink ref="C748" r:id="rId656" display="Single- and Multiple-Dose Pharmacokinetics and Absolute_x000a_Bioavailability of Tedizolid" xr:uid="{FD84D6F0-B86A-4C3A-8891-3C63113A85B4}"/>
    <hyperlink ref="C749" r:id="rId657" display="Single- and Multiple-Dose Pharmacokinetics and Absolute_x000a_Bioavailability of Tedizolid" xr:uid="{49F26C3C-5849-4769-AD5F-38176A367EBC}"/>
    <hyperlink ref="C750" r:id="rId658" display="Single- and Multiple-Dose Pharmacokinetics and Absolute_x000a_Bioavailability of Tedizolid" xr:uid="{DBEAC7A3-8165-495C-843B-C1E40E8F8702}"/>
    <hyperlink ref="C751" r:id="rId659" display="Single- and Multiple-Dose Pharmacokinetics and Absolute_x000a_Bioavailability of Tedizolid" xr:uid="{E39C8571-4D37-43DC-9DA8-FA903478835F}"/>
    <hyperlink ref="C752" r:id="rId660" display="Single- and Multiple-Dose Pharmacokinetics and Absolute_x000a_Bioavailability of Tedizolid" xr:uid="{8D12180B-CA06-4A4A-9924-B7611B4BC637}"/>
    <hyperlink ref="C753" r:id="rId661" display="Single- and Multiple-Dose Pharmacokinetics and Absolute_x000a_Bioavailability of Tedizolid" xr:uid="{B3C616AF-4BD6-4FFB-9A7B-EEC50BD248F3}"/>
    <hyperlink ref="C754" r:id="rId662" display="Single- and Multiple-Dose Pharmacokinetics and Absolute_x000a_Bioavailability of Tedizolid" xr:uid="{8098B6C4-629B-4E5C-8706-D26B75CD4793}"/>
    <hyperlink ref="C842" r:id="rId663" xr:uid="{B956DC30-CEA9-454B-A23F-B12E0175C3F9}"/>
    <hyperlink ref="C843" r:id="rId664" xr:uid="{A24AD39C-B2B7-4A4E-BD72-4D055C5788D4}"/>
    <hyperlink ref="C844" r:id="rId665" xr:uid="{1B4BAAB7-D925-4B31-82A5-290912496DD9}"/>
    <hyperlink ref="C845" r:id="rId666" xr:uid="{DA2D155A-628A-48A2-B8BB-3CCAD3240E56}"/>
    <hyperlink ref="C846" r:id="rId667" xr:uid="{892E4FD3-2514-4392-8B63-4937DBE800CF}"/>
    <hyperlink ref="C847" r:id="rId668" xr:uid="{534ACD11-0D58-49D0-B8CA-29C0B0E14E9E}"/>
    <hyperlink ref="C848" r:id="rId669" xr:uid="{FBCC863C-3420-4BF9-9FDD-C73CBDF602E8}"/>
    <hyperlink ref="C849" r:id="rId670" xr:uid="{9133AA16-6125-42F3-A75D-FA650DC443F3}"/>
    <hyperlink ref="C850" r:id="rId671" xr:uid="{784CDAF2-1D1A-41D0-B949-4C7018D375D1}"/>
    <hyperlink ref="C851" r:id="rId672" xr:uid="{54748D19-6F56-47B6-AEB9-2AEC302257FD}"/>
    <hyperlink ref="C852" r:id="rId673" xr:uid="{84F4666D-E337-46DE-883C-E9D88BB688B9}"/>
    <hyperlink ref="C853" r:id="rId674" xr:uid="{C131A483-73C1-43A9-9793-4E9CA8D96344}"/>
    <hyperlink ref="C854" r:id="rId675" xr:uid="{CB1272B6-47A3-47A2-8812-51BEE412D2CD}"/>
    <hyperlink ref="C855" r:id="rId676" xr:uid="{60D4B97D-4641-4641-98C8-2AE4B1184B84}"/>
    <hyperlink ref="C856" r:id="rId677" xr:uid="{F1C3E9F9-7271-4DEC-A8AD-43F58CC41FAF}"/>
    <hyperlink ref="C857" r:id="rId678" xr:uid="{F668BB78-1156-456F-9702-E16A02FD3285}"/>
    <hyperlink ref="C755" r:id="rId679" display="Single- and Multiple-Dose Pharmacokinetics and Absolute_x000a_Bioavailability of Tedizolid" xr:uid="{13C7C8C0-9F10-4A99-9861-A99E9E689D67}"/>
    <hyperlink ref="C756" r:id="rId680" display="Single- and Multiple-Dose Pharmacokinetics and Absolute_x000a_Bioavailability of Tedizolid" xr:uid="{96442DFA-3F15-4D76-BA57-ED41824E8AB4}"/>
    <hyperlink ref="C757" r:id="rId681" display="Single- and Multiple-Dose Pharmacokinetics and Absolute_x000a_Bioavailability of Tedizolid" xr:uid="{9CCCC00C-FA9E-4DD8-A4C0-19B1B94FC231}"/>
    <hyperlink ref="C758" r:id="rId682" display="Single- and Multiple-Dose Pharmacokinetics and Absolute_x000a_Bioavailability of Tedizolid" xr:uid="{E4E01D12-0F13-4D7A-AEA9-110DBDD62DB7}"/>
    <hyperlink ref="C759" r:id="rId683" display="Single- and Multiple-Dose Pharmacokinetics and Absolute_x000a_Bioavailability of Tedizolid" xr:uid="{2A72705B-711A-4810-B1BB-A7A9C39AFD12}"/>
    <hyperlink ref="C760" r:id="rId684" display="Single- and Multiple-Dose Pharmacokinetics and Absolute_x000a_Bioavailability of Tedizolid" xr:uid="{02BE4C9B-1DBF-4402-B431-5265D08020D3}"/>
    <hyperlink ref="C761" r:id="rId685" display="Single- and Multiple-Dose Pharmacokinetics and Absolute_x000a_Bioavailability of Tedizolid" xr:uid="{3E73D6FE-E8E2-4CBF-8FF3-177FD41F59AF}"/>
    <hyperlink ref="C762" r:id="rId686" display="Single- and Multiple-Dose Pharmacokinetics and Absolute_x000a_Bioavailability of Tedizolid" xr:uid="{83C18046-7CF8-4E73-A3F6-77616F73F871}"/>
    <hyperlink ref="C763" r:id="rId687" display="Single- and Multiple-Dose Pharmacokinetics and Absolute_x000a_Bioavailability of Tedizolid" xr:uid="{7497648E-0633-4316-8077-B686947FEA77}"/>
    <hyperlink ref="C764" r:id="rId688" display="Single- and Multiple-Dose Pharmacokinetics and Absolute_x000a_Bioavailability of Tedizolid" xr:uid="{F8E31C43-5C20-4509-A24B-EE4046682203}"/>
    <hyperlink ref="C765" r:id="rId689" display="Single- and Multiple-Dose Pharmacokinetics and Absolute_x000a_Bioavailability of Tedizolid" xr:uid="{E403CCC2-5B00-4169-92E8-B75CFFF6847F}"/>
    <hyperlink ref="C766" r:id="rId690" display="Single- and Multiple-Dose Pharmacokinetics and Absolute_x000a_Bioavailability of Tedizolid" xr:uid="{7CFA9385-B32C-42C2-8EDE-2029052DBD31}"/>
    <hyperlink ref="C767" r:id="rId691" display="Single- and Multiple-Dose Pharmacokinetics and Absolute_x000a_Bioavailability of Tedizolid" xr:uid="{F179D8F0-F32B-4F0A-8BD4-CEC75FE3F858}"/>
    <hyperlink ref="C768" r:id="rId692" display="Single- and Multiple-Dose Pharmacokinetics and Absolute_x000a_Bioavailability of Tedizolid" xr:uid="{2A3C0AEE-3817-48C6-A8E5-EBCC9BA6ABBE}"/>
    <hyperlink ref="C769" r:id="rId693" display="Single- and Multiple-Dose Pharmacokinetics and Absolute_x000a_Bioavailability of Tedizolid" xr:uid="{6C26C40D-5A31-4408-893F-B7C75B9FCDDD}"/>
    <hyperlink ref="C770" r:id="rId694" display="Single- and Multiple-Dose Pharmacokinetics and Absolute_x000a_Bioavailability of Tedizolid" xr:uid="{48D15CED-49C6-4A31-9CC3-33CD78D929F1}"/>
    <hyperlink ref="C771" r:id="rId695" display="Single- and Multiple-Dose Pharmacokinetics and Absolute_x000a_Bioavailability of Tedizolid" xr:uid="{9422ACEE-E19A-4F06-8E29-21FC57C3A048}"/>
    <hyperlink ref="C772" r:id="rId696" display="Single- and Multiple-Dose Pharmacokinetics and Absolute_x000a_Bioavailability of Tedizolid" xr:uid="{7E6C6190-F75B-4BE8-B485-6EBEFE8A0B8A}"/>
    <hyperlink ref="C773" r:id="rId697" display="Single- and Multiple-Dose Pharmacokinetics and Absolute_x000a_Bioavailability of Tedizolid" xr:uid="{DE1B9B05-058C-45DF-9296-C4B16FCEB4E6}"/>
    <hyperlink ref="C774" r:id="rId698" display="Single- and Multiple-Dose Pharmacokinetics and Absolute_x000a_Bioavailability of Tedizolid" xr:uid="{25C20E8B-DB7A-45B5-B1D7-939398DF2B03}"/>
    <hyperlink ref="C775" r:id="rId699" display="Single- and Multiple-Dose Pharmacokinetics and Absolute_x000a_Bioavailability of Tedizolid" xr:uid="{EF5BF697-CA5F-45B5-977D-12A25B67FFF5}"/>
    <hyperlink ref="C776" r:id="rId700" display="Single- and Multiple-Dose Pharmacokinetics and Absolute_x000a_Bioavailability of Tedizolid" xr:uid="{59311554-42E9-43AF-B6FF-12B32BAB4DE5}"/>
    <hyperlink ref="C777" r:id="rId701" display="Single- and Multiple-Dose Pharmacokinetics and Absolute_x000a_Bioavailability of Tedizolid" xr:uid="{D726EF9C-7BAA-4287-AB99-6C71E07ACC7F}"/>
    <hyperlink ref="C778" r:id="rId702" display="Single- and Multiple-Dose Pharmacokinetics and Absolute_x000a_Bioavailability of Tedizolid" xr:uid="{0D1F79AA-F918-41F6-A605-54E6826F76AC}"/>
    <hyperlink ref="C779" r:id="rId703" display="Single- and Multiple-Dose Pharmacokinetics and Absolute_x000a_Bioavailability of Tedizolid" xr:uid="{DE6CECD6-CD1C-4831-BB9F-4BF8BAE38167}"/>
    <hyperlink ref="C780" r:id="rId704" display="Single- and Multiple-Dose Pharmacokinetics and Absolute_x000a_Bioavailability of Tedizolid" xr:uid="{466BBD14-B54B-47E9-8EB8-C692B2B2E073}"/>
    <hyperlink ref="C781" r:id="rId705" display="Single- and Multiple-Dose Pharmacokinetics and Absolute_x000a_Bioavailability of Tedizolid" xr:uid="{F6F74F74-EE8D-4970-A071-211E21A09E45}"/>
    <hyperlink ref="C782" r:id="rId706" display="Single- and Multiple-Dose Pharmacokinetics and Absolute_x000a_Bioavailability of Tedizolid" xr:uid="{E64AB1F7-B431-4A93-A1AE-97122F738D31}"/>
    <hyperlink ref="C783" r:id="rId707" display="Single- and Multiple-Dose Pharmacokinetics and Absolute_x000a_Bioavailability of Tedizolid" xr:uid="{B7D76CD4-67E7-48F0-979B-CDFF08384071}"/>
    <hyperlink ref="C784" r:id="rId708" display="Single- and Multiple-Dose Pharmacokinetics and Absolute_x000a_Bioavailability of Tedizolid" xr:uid="{AB931AF2-593C-464C-9179-6B0ABCE69655}"/>
    <hyperlink ref="C785" r:id="rId709" display="Single- and Multiple-Dose Pharmacokinetics and Absolute_x000a_Bioavailability of Tedizolid" xr:uid="{4E4CFF69-CF65-4041-A9DE-00DE06C8C073}"/>
    <hyperlink ref="C786" r:id="rId710" display="Single- and Multiple-Dose Pharmacokinetics and Absolute_x000a_Bioavailability of Tedizolid" xr:uid="{05AACEBE-14D4-488D-869A-09A4279830E0}"/>
    <hyperlink ref="C787" r:id="rId711" display="Single- and Multiple-Dose Pharmacokinetics and Absolute_x000a_Bioavailability of Tedizolid" xr:uid="{2215AB83-2D18-48A9-BC93-86A3114E5A20}"/>
    <hyperlink ref="C788" r:id="rId712" display="Single- and Multiple-Dose Pharmacokinetics and Absolute_x000a_Bioavailability of Tedizolid" xr:uid="{EA5ADFAA-5CDC-4503-83B8-C688A1950068}"/>
    <hyperlink ref="C789" r:id="rId713" display="Single- and Multiple-Dose Pharmacokinetics and Absolute_x000a_Bioavailability of Tedizolid" xr:uid="{F91A2A32-CCD6-4C45-97C3-44BC001EB2B5}"/>
    <hyperlink ref="C790" r:id="rId714" display="Single- and Multiple-Dose Pharmacokinetics and Absolute_x000a_Bioavailability of Tedizolid" xr:uid="{F35978A6-B4F7-4FAE-8133-22555CDD2FE7}"/>
    <hyperlink ref="C791" r:id="rId715" display="Single- and Multiple-Dose Pharmacokinetics and Absolute_x000a_Bioavailability of Tedizolid" xr:uid="{0EBF953E-7956-4ED1-BC3D-21827ADFA4D8}"/>
    <hyperlink ref="C792" r:id="rId716" display="Single- and Multiple-Dose Pharmacokinetics and Absolute_x000a_Bioavailability of Tedizolid" xr:uid="{BFE8DEB4-7FF9-4E2E-BA20-3BE6EF0CBC54}"/>
    <hyperlink ref="C793" r:id="rId717" display="Single- and Multiple-Dose Pharmacokinetics and Absolute_x000a_Bioavailability of Tedizolid" xr:uid="{5C596C83-1F5A-4DB8-9517-18BF492BDDE3}"/>
    <hyperlink ref="C794" r:id="rId718" display="Single- and Multiple-Dose Pharmacokinetics and Absolute_x000a_Bioavailability of Tedizolid" xr:uid="{F3DCFEB1-781A-49D6-9303-39157F09F066}"/>
    <hyperlink ref="C795" r:id="rId719" display="Single- and Multiple-Dose Pharmacokinetics and Absolute_x000a_Bioavailability of Tedizolid" xr:uid="{84BEC8DD-32F2-4089-857C-88BC161B1A4C}"/>
    <hyperlink ref="C796" r:id="rId720" display="Single- and Multiple-Dose Pharmacokinetics and Absolute_x000a_Bioavailability of Tedizolid" xr:uid="{CBAB3F9A-8E86-4B3E-B12D-59D5130E83E9}"/>
    <hyperlink ref="C797" r:id="rId721" display="Single- and Multiple-Dose Pharmacokinetics and Absolute_x000a_Bioavailability of Tedizolid" xr:uid="{F515F207-E44B-4B4C-9592-3BE7BA7B447E}"/>
    <hyperlink ref="C798" r:id="rId722" display="Single- and Multiple-Dose Pharmacokinetics and Absolute_x000a_Bioavailability of Tedizolid" xr:uid="{020288EB-8811-4214-A178-7E4496CD4DCD}"/>
    <hyperlink ref="C799" r:id="rId723" display="Single- and Multiple-Dose Pharmacokinetics and Absolute_x000a_Bioavailability of Tedizolid" xr:uid="{12B8BEB5-5E97-4225-A63C-6287BD47CCB4}"/>
    <hyperlink ref="C800" r:id="rId724" display="Single- and Multiple-Dose Pharmacokinetics and Absolute_x000a_Bioavailability of Tedizolid" xr:uid="{42FD39A1-048C-4517-BA90-FF3EAAF95F4C}"/>
    <hyperlink ref="C801" r:id="rId725" display="Single- and Multiple-Dose Pharmacokinetics and Absolute_x000a_Bioavailability of Tedizolid" xr:uid="{9EAA3283-72D6-4490-8C0B-EF9FE02219DC}"/>
    <hyperlink ref="C802" r:id="rId726" display="Single- and Multiple-Dose Pharmacokinetics and Absolute_x000a_Bioavailability of Tedizolid" xr:uid="{29EB4319-5811-45D1-86CB-6ED1F343B2C8}"/>
    <hyperlink ref="C803" r:id="rId727" display="Single- and Multiple-Dose Pharmacokinetics and Absolute_x000a_Bioavailability of Tedizolid" xr:uid="{EF2BADA6-3FB4-4629-AB52-A584AEE39124}"/>
    <hyperlink ref="C859" r:id="rId728" xr:uid="{FA149313-BD14-4C7E-A286-3EBE1C0CFD71}"/>
    <hyperlink ref="C873" r:id="rId729" xr:uid="{A0459107-7F64-4E28-ACC5-5EF5A03672D1}"/>
    <hyperlink ref="C860" r:id="rId730" xr:uid="{39955346-517C-45AB-A0B2-702B582F6565}"/>
    <hyperlink ref="C861" r:id="rId731" xr:uid="{C8A705D1-71CF-4954-87D4-6D333CFDCFCD}"/>
    <hyperlink ref="C862" r:id="rId732" xr:uid="{448B27B7-A36B-44A5-8DE2-2650D958047B}"/>
    <hyperlink ref="C863" r:id="rId733" xr:uid="{54BD3958-9FF5-45AD-8E46-5DA14B48EB2A}"/>
    <hyperlink ref="C864" r:id="rId734" xr:uid="{C3BAAD77-4E96-4D36-8C7F-5C6C196A211E}"/>
    <hyperlink ref="C865" r:id="rId735" xr:uid="{9E12FE51-8DF7-40FF-8874-548D7FA69762}"/>
    <hyperlink ref="C866" r:id="rId736" xr:uid="{0525E7A4-BE1B-4083-9317-97328B6542FB}"/>
    <hyperlink ref="C867" r:id="rId737" xr:uid="{12F20A60-2E0F-41AC-B285-DE9EE27B23BF}"/>
    <hyperlink ref="C868" r:id="rId738" xr:uid="{05BA31B1-4AF5-4147-A98C-9A2D2037A713}"/>
    <hyperlink ref="C869" r:id="rId739" xr:uid="{F6C36280-E3C4-41A2-8C9D-F14E5834DDDF}"/>
    <hyperlink ref="C870" r:id="rId740" xr:uid="{1310A901-36DE-445C-B55E-5F4ED0FA8FC8}"/>
    <hyperlink ref="C871" r:id="rId741" xr:uid="{A9C85D81-F6FE-4E8A-B70B-7EF2AF8A2D96}"/>
    <hyperlink ref="C874" r:id="rId742" xr:uid="{D50A15E1-23AD-45D9-9343-2CCB2786AE52}"/>
    <hyperlink ref="C875" r:id="rId743" xr:uid="{7A75294D-927D-46EA-A4C1-EFD893B486CA}"/>
    <hyperlink ref="C876" r:id="rId744" xr:uid="{F293D1EC-E17B-4B2B-9825-C3AC51EE197C}"/>
    <hyperlink ref="C877" r:id="rId745" xr:uid="{83A85578-A544-478F-B7E9-5A695D460202}"/>
    <hyperlink ref="C878" r:id="rId746" xr:uid="{E3A3CE66-7201-42CA-ABCE-96A78A793AA9}"/>
    <hyperlink ref="C879" r:id="rId747" xr:uid="{8171AAD5-B0B6-44CA-9617-2A929AB02CE2}"/>
    <hyperlink ref="C880" r:id="rId748" xr:uid="{68A335FC-1C6D-4F7E-ABF0-D5B267C40D98}"/>
    <hyperlink ref="C881" r:id="rId749" xr:uid="{11647F05-3E6B-4B86-9C6D-4A425D4F8966}"/>
    <hyperlink ref="C882" r:id="rId750" xr:uid="{71ADED3A-0A18-4F7F-B318-684400E847A1}"/>
    <hyperlink ref="C883" r:id="rId751" xr:uid="{929D38DF-FA7E-4DD6-BCEF-8C3B4CEE3429}"/>
    <hyperlink ref="C884" r:id="rId752" xr:uid="{A5D7B441-BF00-466C-A45E-7CC23516B798}"/>
    <hyperlink ref="C885" r:id="rId753" xr:uid="{7DBA9561-A032-44FF-B6C5-9D53E34E0840}"/>
    <hyperlink ref="C886" r:id="rId754" xr:uid="{5A90279A-C98D-43A8-9CF2-831B82D74DFB}"/>
    <hyperlink ref="C887" r:id="rId755" xr:uid="{A7E52551-02A3-4070-A136-B3056681FD69}"/>
    <hyperlink ref="C717" r:id="rId756" xr:uid="{CA064DD6-EB45-44F6-8692-CD18D091BBBB}"/>
    <hyperlink ref="C718" r:id="rId757" xr:uid="{769BA78B-2426-4E2D-82B1-BE49A29BE3DF}"/>
    <hyperlink ref="C719" r:id="rId758" xr:uid="{F8DEBD12-B2EC-4959-9C8C-A7A220121D69}"/>
    <hyperlink ref="C720" r:id="rId759" xr:uid="{C8271035-A5F2-4C9F-81E2-0ADC45278853}"/>
    <hyperlink ref="C721" r:id="rId760" xr:uid="{BC3ED719-7767-4A96-B361-57DADCE23B4B}"/>
    <hyperlink ref="C722" r:id="rId761" xr:uid="{67F5EB81-172E-4C6D-9F77-CE6710A73105}"/>
    <hyperlink ref="C723" r:id="rId762" xr:uid="{87CBA4F0-2B84-43BD-B0E6-BE26BBAD0060}"/>
    <hyperlink ref="C724" r:id="rId763" xr:uid="{6FE62CFE-73CA-4EB4-A540-0AAD41A18D92}"/>
    <hyperlink ref="C725" r:id="rId764" xr:uid="{EE44D053-DDCF-473E-8CFA-0DFA712BBB24}"/>
    <hyperlink ref="C830" r:id="rId765" display="Single- and Multiple-Dose Pharmacokinetics and Absolute_x000a_Bioavailability of Tedizolid" xr:uid="{BCA187A1-E1AF-4998-9C89-4AF8B444D272}"/>
    <hyperlink ref="C805" r:id="rId766" display="Single- and Multiple-Dose Pharmacokinetics and Absolute_x000a_Bioavailability of Tedizolid" xr:uid="{DEDAB778-275A-43C7-8CB9-6BD5C94446C6}"/>
    <hyperlink ref="C841" r:id="rId767" xr:uid="{9CF845D7-DE54-4B72-A084-9CB4A00A5F07}"/>
    <hyperlink ref="C806" r:id="rId768" display="Single- and Multiple-Dose Pharmacokinetics and Absolute_x000a_Bioavailability of Tedizolid" xr:uid="{FBAC745E-9D0D-4C82-903B-52D19A451626}"/>
    <hyperlink ref="C807" r:id="rId769" display="Single- and Multiple-Dose Pharmacokinetics and Absolute_x000a_Bioavailability of Tedizolid" xr:uid="{836ECB76-1F22-4D9A-A1FB-61A05C70E2CD}"/>
    <hyperlink ref="C808" r:id="rId770" display="Single- and Multiple-Dose Pharmacokinetics and Absolute_x000a_Bioavailability of Tedizolid" xr:uid="{BFA2AF55-C516-45ED-845C-27F80599FAB4}"/>
    <hyperlink ref="C809" r:id="rId771" display="Single- and Multiple-Dose Pharmacokinetics and Absolute_x000a_Bioavailability of Tedizolid" xr:uid="{D8E20438-8C18-433A-B6B9-8D9F6B76E1D0}"/>
    <hyperlink ref="C810" r:id="rId772" display="Single- and Multiple-Dose Pharmacokinetics and Absolute_x000a_Bioavailability of Tedizolid" xr:uid="{72E7DE68-DE67-428D-BE43-96A7CB6A2C12}"/>
    <hyperlink ref="C811" r:id="rId773" display="Single- and Multiple-Dose Pharmacokinetics and Absolute_x000a_Bioavailability of Tedizolid" xr:uid="{11DCC997-5A97-4730-9F37-E3207041421B}"/>
    <hyperlink ref="C812" r:id="rId774" display="Single- and Multiple-Dose Pharmacokinetics and Absolute_x000a_Bioavailability of Tedizolid" xr:uid="{CB4A28D3-94DF-423F-8B56-3054CDB40E72}"/>
    <hyperlink ref="C813" r:id="rId775" display="Single- and Multiple-Dose Pharmacokinetics and Absolute_x000a_Bioavailability of Tedizolid" xr:uid="{806A83FE-E314-4F90-BBA8-934676E49BAE}"/>
    <hyperlink ref="C814" r:id="rId776" display="Single- and Multiple-Dose Pharmacokinetics and Absolute_x000a_Bioavailability of Tedizolid" xr:uid="{39084859-A243-4ACC-857B-0C059525CA05}"/>
    <hyperlink ref="C815" r:id="rId777" display="Single- and Multiple-Dose Pharmacokinetics and Absolute_x000a_Bioavailability of Tedizolid" xr:uid="{EE471910-2C51-47AA-A4B5-162C17AAE025}"/>
    <hyperlink ref="C817" r:id="rId778" display="Single- and Multiple-Dose Pharmacokinetics and Absolute_x000a_Bioavailability of Tedizolid" xr:uid="{9AD09D7C-47A1-4DF6-B494-9880177474A6}"/>
    <hyperlink ref="C818" r:id="rId779" display="Single- and Multiple-Dose Pharmacokinetics and Absolute_x000a_Bioavailability of Tedizolid" xr:uid="{2CDECBF7-0D68-450F-A668-13FC7BFD57F6}"/>
    <hyperlink ref="C819" r:id="rId780" display="Single- and Multiple-Dose Pharmacokinetics and Absolute_x000a_Bioavailability of Tedizolid" xr:uid="{CDF675B6-3337-4572-BBBB-710DF4DF63BC}"/>
    <hyperlink ref="C820" r:id="rId781" display="Single- and Multiple-Dose Pharmacokinetics and Absolute_x000a_Bioavailability of Tedizolid" xr:uid="{F29E2F54-08EC-447F-8D77-FD7CAE7A275A}"/>
    <hyperlink ref="C821" r:id="rId782" display="Single- and Multiple-Dose Pharmacokinetics and Absolute_x000a_Bioavailability of Tedizolid" xr:uid="{1F90C110-DD2F-46DE-920A-5AC76E744409}"/>
    <hyperlink ref="C822" r:id="rId783" display="Single- and Multiple-Dose Pharmacokinetics and Absolute_x000a_Bioavailability of Tedizolid" xr:uid="{379C2E0F-95F3-4053-A0A7-E3AC106FFC9A}"/>
    <hyperlink ref="C823" r:id="rId784" display="Single- and Multiple-Dose Pharmacokinetics and Absolute_x000a_Bioavailability of Tedizolid" xr:uid="{7AF85883-A694-4AA4-8FC4-8B4BA2364E32}"/>
    <hyperlink ref="C824" r:id="rId785" display="Single- and Multiple-Dose Pharmacokinetics and Absolute_x000a_Bioavailability of Tedizolid" xr:uid="{7FCDEB81-B869-4416-BFD9-DC8F62CB199E}"/>
    <hyperlink ref="C825" r:id="rId786" display="Single- and Multiple-Dose Pharmacokinetics and Absolute_x000a_Bioavailability of Tedizolid" xr:uid="{05D82EA9-52A2-44F6-A089-11E3EFD8FECB}"/>
    <hyperlink ref="C826" r:id="rId787" display="Single- and Multiple-Dose Pharmacokinetics and Absolute_x000a_Bioavailability of Tedizolid" xr:uid="{D9B11F62-9A27-4EAA-8B0C-95BC84BFB1E2}"/>
    <hyperlink ref="C827" r:id="rId788" display="Single- and Multiple-Dose Pharmacokinetics and Absolute_x000a_Bioavailability of Tedizolid" xr:uid="{6920690E-586C-4C75-84E3-43E5F83BE051}"/>
    <hyperlink ref="C828" r:id="rId789" display="Single- and Multiple-Dose Pharmacokinetics and Absolute_x000a_Bioavailability of Tedizolid" xr:uid="{3DB0B744-0793-4F9E-881E-520CC0F55492}"/>
    <hyperlink ref="C831" r:id="rId790" display="Single- and Multiple-Dose Pharmacokinetics and Absolute_x000a_Bioavailability of Tedizolid" xr:uid="{815184E5-4E7B-4440-AA52-6934E37221D2}"/>
    <hyperlink ref="C832" r:id="rId791" display="Single- and Multiple-Dose Pharmacokinetics and Absolute_x000a_Bioavailability of Tedizolid" xr:uid="{4FFFD730-1B6D-41C3-A4AE-7FE68293FB5D}"/>
    <hyperlink ref="C833" r:id="rId792" display="Single- and Multiple-Dose Pharmacokinetics and Absolute_x000a_Bioavailability of Tedizolid" xr:uid="{165C92DB-605B-40F4-97CD-9864D0FC8FE6}"/>
    <hyperlink ref="C834" r:id="rId793" display="Single- and Multiple-Dose Pharmacokinetics and Absolute_x000a_Bioavailability of Tedizolid" xr:uid="{23C9CADD-F114-441D-9419-33E80252B06D}"/>
    <hyperlink ref="C835" r:id="rId794" display="Single- and Multiple-Dose Pharmacokinetics and Absolute_x000a_Bioavailability of Tedizolid" xr:uid="{8700817C-F330-48C3-AF8E-B34BDB05352A}"/>
    <hyperlink ref="C836" r:id="rId795" display="Single- and Multiple-Dose Pharmacokinetics and Absolute_x000a_Bioavailability of Tedizolid" xr:uid="{5ED037EE-0A76-4345-9F0D-9C90AE68825D}"/>
    <hyperlink ref="C837" r:id="rId796" display="Single- and Multiple-Dose Pharmacokinetics and Absolute_x000a_Bioavailability of Tedizolid" xr:uid="{C600B266-291F-43C3-A924-08904E0E625B}"/>
    <hyperlink ref="C838" r:id="rId797" display="Single- and Multiple-Dose Pharmacokinetics and Absolute_x000a_Bioavailability of Tedizolid" xr:uid="{12491A5A-CC3C-4BAF-8C48-C13ECB65B460}"/>
    <hyperlink ref="C839" r:id="rId798" display="Single- and Multiple-Dose Pharmacokinetics and Absolute_x000a_Bioavailability of Tedizolid" xr:uid="{E4DD19EC-79D6-4AAF-9A21-45E856F8D823}"/>
    <hyperlink ref="C840" r:id="rId799" display="Single- and Multiple-Dose Pharmacokinetics and Absolute_x000a_Bioavailability of Tedizolid" xr:uid="{034D0573-AAEA-4D40-9CB8-9409B8C0F6F9}"/>
    <hyperlink ref="C829" r:id="rId800" display="Single- and Multiple-Dose Pharmacokinetics and Absolute_x000a_Bioavailability of Tedizolid" xr:uid="{799CC197-30FF-4346-9B51-E9BA9D0D431C}"/>
    <hyperlink ref="C888" r:id="rId801" xr:uid="{C54D2391-BE29-4AEE-9D82-D1B9CAEC7B8E}"/>
    <hyperlink ref="C990:C1117" r:id="rId802" display="Safety, Tolerability, Pharmacokinetics, and Metabolism ofTelacebec (Q203) for the Treatment of Tuberculosis: aRandomized, Placebo-Controlled, Multiple Ascending DosePhase 1B Trial" xr:uid="{33464C85-868D-49A2-874E-00332E44E181}"/>
    <hyperlink ref="C961" r:id="rId803" xr:uid="{D21554AF-974A-46D9-B184-9C7AF7B8E26C}"/>
    <hyperlink ref="C922" r:id="rId804" xr:uid="{F58B6D7E-D0D6-46C3-8B1C-9FED57CD8059}"/>
    <hyperlink ref="C946" r:id="rId805" xr:uid="{4C4783CA-AD16-4717-8D17-144F69013081}"/>
    <hyperlink ref="C895" r:id="rId806" xr:uid="{B84B38CE-AD4F-48C7-BBBC-9EC1EBDC999E}"/>
    <hyperlink ref="C889" r:id="rId807" xr:uid="{7E6C8FC6-54F6-4D75-83ED-D4464B26D9DE}"/>
    <hyperlink ref="C890" r:id="rId808" xr:uid="{D2E4AD6C-FA3C-475E-8467-E9A86606062F}"/>
    <hyperlink ref="C891" r:id="rId809" xr:uid="{E1E727C0-0BBF-454C-BB4D-ED093F2197CC}"/>
    <hyperlink ref="C892" r:id="rId810" xr:uid="{ECE17D84-DDCF-440C-863C-61632AB1EB1A}"/>
    <hyperlink ref="C893" r:id="rId811" xr:uid="{9A46CB58-B1B8-41BD-85FA-6108EA40AE87}"/>
    <hyperlink ref="C894" r:id="rId812" xr:uid="{4B614A89-6DD8-4615-953D-9EBD40D7CF9C}"/>
    <hyperlink ref="C896" r:id="rId813" xr:uid="{4B81E56C-5214-4C6F-986D-3073DFD46F3B}"/>
    <hyperlink ref="C897" r:id="rId814" xr:uid="{061DF54A-608E-4F72-A77B-809A76496DF2}"/>
    <hyperlink ref="C898" r:id="rId815" xr:uid="{5FF3961A-E4AE-4773-A8C2-52F5B13DB99B}"/>
    <hyperlink ref="C899" r:id="rId816" xr:uid="{751197C9-9557-4C91-9535-8BDA8656E869}"/>
    <hyperlink ref="C900" r:id="rId817" xr:uid="{AB6CC45C-1A00-4090-BA1F-5B410C77A008}"/>
    <hyperlink ref="C901" r:id="rId818" xr:uid="{3FB1A807-A31B-4F84-8236-147F57BFD5F7}"/>
    <hyperlink ref="C902" r:id="rId819" xr:uid="{9610CA6F-6AB8-42C7-AA7E-02520720E397}"/>
    <hyperlink ref="C903" r:id="rId820" xr:uid="{19329D35-245D-4D47-BBC2-027654874687}"/>
    <hyperlink ref="C904" r:id="rId821" xr:uid="{1527C3C6-627E-48BF-A6E5-9B19E4B107BE}"/>
    <hyperlink ref="C905" r:id="rId822" xr:uid="{91E0F828-E6A7-4F75-904F-679C3A48DB11}"/>
    <hyperlink ref="C906" r:id="rId823" xr:uid="{67E2C575-0C0E-408F-A4FF-54584493416D}"/>
    <hyperlink ref="C907" r:id="rId824" xr:uid="{9EE4B507-487C-4C1C-8182-1D2DD7B5FCE3}"/>
    <hyperlink ref="C908" r:id="rId825" xr:uid="{16E09AC7-9D7C-4C18-A5B4-666276675C64}"/>
    <hyperlink ref="C909" r:id="rId826" xr:uid="{53D43E1C-2E6C-4A81-B1DC-EEDD0DE59CA8}"/>
    <hyperlink ref="C910" r:id="rId827" xr:uid="{F7C6FEEC-6F5E-4A7F-9FB1-AADA0518D9C9}"/>
    <hyperlink ref="C911" r:id="rId828" xr:uid="{0821B865-3D1C-4D66-8DC5-EA13EC4BF50D}"/>
    <hyperlink ref="C923" r:id="rId829" xr:uid="{C433CB45-FADA-4B97-B2DE-A5DB1EB0185C}"/>
    <hyperlink ref="C924" r:id="rId830" xr:uid="{30CA00DD-0582-4270-82F4-160C8D80CD4B}"/>
    <hyperlink ref="C925" r:id="rId831" xr:uid="{8518CA95-24C4-4C92-B598-E719D27366D1}"/>
    <hyperlink ref="C926" r:id="rId832" xr:uid="{F70FC5CD-5C20-4042-A568-B26516CDEE5F}"/>
    <hyperlink ref="C927" r:id="rId833" xr:uid="{2CAECDF3-2EE6-4010-866C-184EF65984C8}"/>
    <hyperlink ref="C928" r:id="rId834" xr:uid="{5A3F6DA7-491A-46E5-B30A-6ABD1D2AA2FB}"/>
    <hyperlink ref="C929" r:id="rId835" xr:uid="{AB1C2E5E-C185-4C2C-B019-97EF497D109C}"/>
    <hyperlink ref="C930" r:id="rId836" xr:uid="{6A06E7A5-CA70-4EB1-B686-348C69169105}"/>
    <hyperlink ref="C931" r:id="rId837" xr:uid="{41A0615B-7C93-466C-815E-CA0C56B36A3A}"/>
    <hyperlink ref="C932" r:id="rId838" xr:uid="{727F0A0E-39B9-4F00-89BC-8CC713DDCEF2}"/>
    <hyperlink ref="C933" r:id="rId839" xr:uid="{3A046B2E-3E1F-4366-815B-D9DEC088230C}"/>
    <hyperlink ref="C934" r:id="rId840" xr:uid="{DE6CFB1C-EFA5-44CC-B727-A4CA9C247320}"/>
    <hyperlink ref="C935" r:id="rId841" xr:uid="{42F1B8F8-B2D1-4882-B2BD-B8A9F889FA2C}"/>
    <hyperlink ref="C936" r:id="rId842" xr:uid="{10830898-1C0C-4699-83A7-732A0620A6EE}"/>
    <hyperlink ref="C937" r:id="rId843" xr:uid="{9143E583-1446-4BE6-B385-31C33814FD9B}"/>
    <hyperlink ref="C938" r:id="rId844" xr:uid="{149638C0-A14A-499C-9B03-8A02C7747DAE}"/>
    <hyperlink ref="C939" r:id="rId845" xr:uid="{611383C1-D5C0-4590-8877-D24D72CFC04D}"/>
    <hyperlink ref="C940" r:id="rId846" xr:uid="{60386F42-17D9-4F7E-B9F6-6097207F98A7}"/>
    <hyperlink ref="C941" r:id="rId847" xr:uid="{0BF250AD-072C-44F1-8397-964B4BD623F5}"/>
    <hyperlink ref="C942" r:id="rId848" xr:uid="{0A70F2B1-ABFC-4726-ABCA-FC02DC599FFC}"/>
    <hyperlink ref="C943" r:id="rId849" xr:uid="{FA0B8084-C0E8-4CC2-BFE8-1A8FE8C4A0F0}"/>
    <hyperlink ref="C944" r:id="rId850" xr:uid="{6A3E3A63-1390-4FA3-ACC5-793DC82EB76E}"/>
    <hyperlink ref="C945" r:id="rId851" xr:uid="{9E4A5AA9-A48B-4FF2-873F-CE2049888A22}"/>
    <hyperlink ref="C947" r:id="rId852" xr:uid="{DB84DBF3-9645-4A50-BB71-1FB8830AF302}"/>
    <hyperlink ref="C948" r:id="rId853" xr:uid="{AB0B2F1B-BAB1-4CB9-BD24-49D4E3FCC420}"/>
    <hyperlink ref="C949" r:id="rId854" xr:uid="{0E64A175-D1B9-4AE1-9890-CF2897FDBEDD}"/>
    <hyperlink ref="C950" r:id="rId855" xr:uid="{39BE90C6-8FA1-4524-AA2F-166E39A01AEC}"/>
    <hyperlink ref="C951" r:id="rId856" xr:uid="{7A534F60-623F-4D2E-9C3E-B86B36AF12E1}"/>
    <hyperlink ref="C952" r:id="rId857" xr:uid="{E87B134C-C266-4A2D-9F97-7EB190FF6E73}"/>
    <hyperlink ref="C953" r:id="rId858" xr:uid="{9654B77B-710C-46DB-BC17-BA53374C8787}"/>
    <hyperlink ref="C954" r:id="rId859" xr:uid="{602D11B9-5E81-4D36-BCD5-77E9A86B29A6}"/>
    <hyperlink ref="C955" r:id="rId860" xr:uid="{76B71E8F-5A67-4C90-A19A-D603CBF360F9}"/>
    <hyperlink ref="C956" r:id="rId861" xr:uid="{956DE601-3122-4DA2-BAF6-CD98C076FA5B}"/>
    <hyperlink ref="C957" r:id="rId862" xr:uid="{2D614E1F-F773-43E4-BC06-C27368919F36}"/>
    <hyperlink ref="C958" r:id="rId863" xr:uid="{2CBC4298-2015-42F2-AB77-E3B3B2AB051B}"/>
    <hyperlink ref="C959" r:id="rId864" xr:uid="{9660995F-A3DA-41EA-AEF5-08CC5E4F7224}"/>
    <hyperlink ref="C960" r:id="rId865" xr:uid="{75A41B7D-7281-4057-9652-387B7382262B}"/>
    <hyperlink ref="C912" r:id="rId866" xr:uid="{62297588-8F89-43F5-AF63-55BF29746E97}"/>
    <hyperlink ref="C913" r:id="rId867" xr:uid="{FC07CDE2-FBEA-4AD2-8C50-E06C44B73BA9}"/>
    <hyperlink ref="C914" r:id="rId868" xr:uid="{8C4723FF-AC84-4B1E-9178-546C82C1A2A3}"/>
    <hyperlink ref="C915" r:id="rId869" xr:uid="{7525F620-76E9-4094-AA5D-86392DEC52B5}"/>
    <hyperlink ref="C916" r:id="rId870" xr:uid="{90115A60-E72C-43A2-89A9-54EFC147253B}"/>
    <hyperlink ref="C917" r:id="rId871" xr:uid="{82045D1A-149A-4EB5-AE9B-90B94669CA29}"/>
    <hyperlink ref="C918" r:id="rId872" xr:uid="{9CA1B49A-3BEA-4808-AAF7-7A6AA4636B2B}"/>
    <hyperlink ref="C919" r:id="rId873" xr:uid="{A7218D90-A448-4D88-99BC-EBCE821B6A1F}"/>
    <hyperlink ref="C920" r:id="rId874" xr:uid="{B35A73FE-D613-4D00-A164-E75BBFE58F1E}"/>
    <hyperlink ref="C921" r:id="rId875" xr:uid="{2B3ECBFA-98DF-45EB-8B10-C6B56EE3D9B1}"/>
    <hyperlink ref="C962" r:id="rId876" xr:uid="{3DBC6EE9-AC36-455E-8748-4F073D44607A}"/>
    <hyperlink ref="C963" r:id="rId877" xr:uid="{66E4614C-A797-4371-873F-9E8C630A2692}"/>
    <hyperlink ref="C964" r:id="rId878" xr:uid="{89C14BA4-A201-416F-B55C-6D2E710C9E4B}"/>
    <hyperlink ref="C965" r:id="rId879" xr:uid="{B04285B6-45AB-4646-B42A-76DD315767B9}"/>
    <hyperlink ref="C966" r:id="rId880" xr:uid="{FD6897F1-7D56-4B61-9F09-F905A58EC5BF}"/>
    <hyperlink ref="C967" r:id="rId881" xr:uid="{43B66582-88C9-4FE8-BFEB-23A0ADE6119E}"/>
    <hyperlink ref="C968" r:id="rId882" xr:uid="{974509EF-EF7B-4AC7-8834-1D82F05950FD}"/>
    <hyperlink ref="C969" r:id="rId883" xr:uid="{EE5B5211-2D85-49C3-8057-1939DAA7144F}"/>
    <hyperlink ref="C970" r:id="rId884" xr:uid="{F021F9BE-AC86-4409-BB7D-5920ACFBC4F3}"/>
    <hyperlink ref="C971" r:id="rId885" xr:uid="{3090E976-BAFD-47B9-A8F7-5678F4AA43E3}"/>
    <hyperlink ref="C972" r:id="rId886" xr:uid="{487CE27E-48D8-4190-94A2-17B123F34946}"/>
    <hyperlink ref="C973" r:id="rId887" xr:uid="{4AF6E0E2-2200-4254-BA80-BEB735E3D1E6}"/>
    <hyperlink ref="C974" r:id="rId888" xr:uid="{558A73F2-5998-479D-9CA3-A7FB65FAB45E}"/>
    <hyperlink ref="C975" r:id="rId889" xr:uid="{0A4FC67A-8164-40FC-B2A4-55C8493972D6}"/>
    <hyperlink ref="C976" r:id="rId890" xr:uid="{F63FED19-F0CC-41E6-A9E1-A4871B5CD8B6}"/>
    <hyperlink ref="C977" r:id="rId891" xr:uid="{7239EA21-BFFF-4B36-9A10-B59FC5D8A38D}"/>
    <hyperlink ref="C978" r:id="rId892" xr:uid="{AE9C55FE-EC75-482A-B473-3177EEB1FBDF}"/>
    <hyperlink ref="C979" r:id="rId893" xr:uid="{7C91CA2E-774B-4F35-8F78-4781BD078AE6}"/>
    <hyperlink ref="C980" r:id="rId894" xr:uid="{B6F7ABB0-EE89-4331-8277-C146D39259EA}"/>
    <hyperlink ref="C981" r:id="rId895" xr:uid="{5F1B913E-0DEF-4F25-9149-B8F3A4CDD261}"/>
    <hyperlink ref="C982" r:id="rId896" xr:uid="{30C5BB71-5031-45A8-A1AD-B71D7D1E7EC0}"/>
    <hyperlink ref="C983" r:id="rId897" xr:uid="{3B595235-DD2E-4965-A719-43DA0FEA3718}"/>
    <hyperlink ref="C984" r:id="rId898" xr:uid="{769A92A4-FFCA-4B1B-9645-9EAE0CA52887}"/>
    <hyperlink ref="C985" r:id="rId899" xr:uid="{8781AB7E-A7BF-42E9-BBA2-A9A5EDDB5B70}"/>
    <hyperlink ref="C986" r:id="rId900" xr:uid="{5CEF96A4-3B98-43CD-A6FD-A7BAC8B9B38A}"/>
    <hyperlink ref="C987" r:id="rId901" xr:uid="{86FA4E25-F944-49A9-B455-2856CED6B824}"/>
    <hyperlink ref="C988" r:id="rId902" xr:uid="{C6B3639C-9AA4-4A35-8755-9CE464249C85}"/>
    <hyperlink ref="C989" r:id="rId903" xr:uid="{9D7C9D67-2DF8-417C-9543-202AC3CFF019}"/>
    <hyperlink ref="C991" r:id="rId904" xr:uid="{D6878120-3E9F-4D18-B561-A6D98410BDFA}"/>
    <hyperlink ref="C992" r:id="rId905" xr:uid="{92334D34-6BE9-4BFA-9C42-04EF68098FC8}"/>
    <hyperlink ref="C993" r:id="rId906" xr:uid="{3A69E25D-70C6-455F-B12B-BAAE56B4BC02}"/>
    <hyperlink ref="C994" r:id="rId907" xr:uid="{3C718686-F65C-4DB1-B7BC-2B7A9197AA21}"/>
    <hyperlink ref="C995" r:id="rId908" xr:uid="{498A89D2-51A7-49CD-A6AA-FA4922B1FB31}"/>
    <hyperlink ref="C996" r:id="rId909" xr:uid="{3AA48FD2-9418-42FC-9926-0B3969969D56}"/>
    <hyperlink ref="C997" r:id="rId910" xr:uid="{DF076BF7-1690-4D34-83CE-47CD9513E4F6}"/>
    <hyperlink ref="C998" r:id="rId911" xr:uid="{08C394FC-6D3F-450D-94E1-E82306B3A515}"/>
    <hyperlink ref="C999" r:id="rId912" xr:uid="{B3D41314-D7BA-455E-B08C-B8CEA91FB574}"/>
    <hyperlink ref="C1000" r:id="rId913" xr:uid="{7EDCC2C9-C22B-45DF-A441-74AADB64ADBA}"/>
    <hyperlink ref="C1001" r:id="rId914" xr:uid="{FBFCE430-A3EA-4891-89CF-095318AEF47C}"/>
    <hyperlink ref="C1002" r:id="rId915" xr:uid="{944C4C11-603F-4E31-AB4A-40A05BE64899}"/>
    <hyperlink ref="C1003" r:id="rId916" xr:uid="{F214CC26-6F77-4AE1-ADBE-E6763A5BCDA2}"/>
    <hyperlink ref="C1004" r:id="rId917" xr:uid="{A8E1B2A1-DCEE-4995-AC6E-3B5968A54FAE}"/>
    <hyperlink ref="C1005" r:id="rId918" xr:uid="{5042A333-790F-45A6-808D-E14500915325}"/>
    <hyperlink ref="C1006" r:id="rId919" xr:uid="{68073D81-AE54-4BF2-8BE5-7AAD682E330D}"/>
    <hyperlink ref="C1007" r:id="rId920" xr:uid="{5FECE0A7-1A7B-4481-8F0A-FD915682996E}"/>
    <hyperlink ref="C1008" r:id="rId921" xr:uid="{80FF4032-35EA-4A54-8ACF-8A630F9882FC}"/>
    <hyperlink ref="C1009" r:id="rId922" xr:uid="{700CE1ED-3741-4A04-B74B-4464980510BA}"/>
    <hyperlink ref="C1010" r:id="rId923" xr:uid="{616716CA-9FE8-4EC6-8A7B-E4B04BF18872}"/>
    <hyperlink ref="C1011" r:id="rId924" xr:uid="{C9EA945B-90DB-47E1-B7D7-71835764C7F6}"/>
    <hyperlink ref="C1012" r:id="rId925" xr:uid="{A172BF66-7D7C-42C4-A015-9DC349E318F2}"/>
    <hyperlink ref="C1013" r:id="rId926" xr:uid="{0810E03D-0DE7-4465-B61A-893CF26FD727}"/>
    <hyperlink ref="C1014" r:id="rId927" xr:uid="{4ED14377-14BE-4BA9-9092-D5C1CEA38DD7}"/>
    <hyperlink ref="C1015" r:id="rId928" xr:uid="{751B72EB-65F9-410D-8E0B-166AC27692F1}"/>
    <hyperlink ref="C1016" r:id="rId929" xr:uid="{735B9471-1A68-4D8C-91B2-EEFB80560511}"/>
    <hyperlink ref="C1017" r:id="rId930" xr:uid="{6DA2E247-45C6-459D-8FFA-FB87B054908B}"/>
    <hyperlink ref="C1018" r:id="rId931" xr:uid="{53AFBC53-B53A-4F89-B51E-7F6F6AA97911}"/>
    <hyperlink ref="C1022" r:id="rId932" xr:uid="{F151C222-6D9B-4289-B60F-ADB741471D3D}"/>
    <hyperlink ref="C1023" r:id="rId933" xr:uid="{D951B8F2-C6FE-4F87-AFCE-291CCAF9D521}"/>
    <hyperlink ref="C1024" r:id="rId934" xr:uid="{BC0A1A80-0A10-48D0-8B16-531AA4766DDA}"/>
    <hyperlink ref="C1025" r:id="rId935" xr:uid="{EB3D0018-1D56-4BD3-8051-C00A9E81661F}"/>
    <hyperlink ref="C1026" r:id="rId936" xr:uid="{14CED79C-DCFB-4807-9B6F-7E90F0C7879C}"/>
    <hyperlink ref="C1027" r:id="rId937" xr:uid="{ED68E6AE-2AE4-4ADA-B606-C8C83209A75D}"/>
    <hyperlink ref="C1028" r:id="rId938" xr:uid="{9549CF88-FE50-4D36-A2CE-3665BF7C8F2A}"/>
    <hyperlink ref="C1029" r:id="rId939" xr:uid="{DE91271F-E037-41D9-9A09-09FF82D278B0}"/>
    <hyperlink ref="C1030" r:id="rId940" xr:uid="{A066364F-BB09-48C2-A91D-72D56BE959DA}"/>
    <hyperlink ref="C1031" r:id="rId941" xr:uid="{F7D649A6-B1B1-4C01-B66C-CD8B66E347E9}"/>
    <hyperlink ref="C1032" r:id="rId942" xr:uid="{F16FDD4F-5709-4FA1-9D68-E379790E8EB1}"/>
    <hyperlink ref="C1033" r:id="rId943" xr:uid="{E76A5E5E-2B26-4152-8ECE-76DC8EC1A5A2}"/>
    <hyperlink ref="C1034" r:id="rId944" xr:uid="{AA0809DF-3FF9-412E-B9C2-2AAA6B4972A8}"/>
    <hyperlink ref="C1035" r:id="rId945" xr:uid="{AE09DC5C-73E1-47A1-9B80-724C1D8DFB88}"/>
    <hyperlink ref="C1036" r:id="rId946" xr:uid="{ABF910B0-D3C7-4A7D-BCE0-E83D1E3EE76D}"/>
    <hyperlink ref="C1037" r:id="rId947" xr:uid="{A1A43B37-6104-41DF-8BC2-56AF47768E7A}"/>
    <hyperlink ref="C1038" r:id="rId948" xr:uid="{01980357-ACE4-487B-83ED-17964F5B17B9}"/>
    <hyperlink ref="C1039" r:id="rId949" xr:uid="{14988247-C18E-4EFE-9002-7958042211CB}"/>
    <hyperlink ref="C1040" r:id="rId950" xr:uid="{BB0C54AD-1EA1-4F28-A383-7C8FC354AB78}"/>
    <hyperlink ref="C1053" r:id="rId951" xr:uid="{431C8967-FA54-4878-BEA8-BD13035AA83A}"/>
    <hyperlink ref="C1054" r:id="rId952" xr:uid="{D431F9BC-3FC3-45B2-9F1E-DE39AC404E17}"/>
    <hyperlink ref="C1055" r:id="rId953" xr:uid="{823DA1E9-91B6-4262-8FC5-225868CBF166}"/>
    <hyperlink ref="C1056" r:id="rId954" xr:uid="{71185E53-FE1C-4EB8-A726-136804C028CA}"/>
    <hyperlink ref="C1057" r:id="rId955" xr:uid="{2A5646B7-87C8-4351-B061-9D7C195638D8}"/>
    <hyperlink ref="C1058" r:id="rId956" xr:uid="{5D102298-E3B5-4BB2-8855-13C48B1666CB}"/>
    <hyperlink ref="C1059" r:id="rId957" xr:uid="{0E96F247-F1E9-4251-932A-ADC4CB17116B}"/>
    <hyperlink ref="C1060" r:id="rId958" xr:uid="{EFC5419D-40E5-4E3C-B99F-03A8A96BF2B9}"/>
    <hyperlink ref="C1061" r:id="rId959" xr:uid="{B3BDB9B6-CE33-4588-9D0A-4ECF7167D997}"/>
    <hyperlink ref="C1062" r:id="rId960" xr:uid="{6E227320-E545-4BF0-B091-40FD3C345AAA}"/>
    <hyperlink ref="C1063" r:id="rId961" xr:uid="{07541D01-CEEE-46F8-93B7-49794D193A8E}"/>
    <hyperlink ref="C1086" r:id="rId962" xr:uid="{8BD3AFE0-00F4-4521-BEB7-F0A93FCD3087}"/>
    <hyperlink ref="C1087" r:id="rId963" xr:uid="{535CFC3A-BDFB-4D43-878C-7C984301EE94}"/>
    <hyperlink ref="C1088" r:id="rId964" xr:uid="{29636C79-DAC8-4715-B2F9-976DC3F49732}"/>
    <hyperlink ref="C1089" r:id="rId965" xr:uid="{85B72146-A181-4F71-830C-CEA72C30B988}"/>
    <hyperlink ref="C1090" r:id="rId966" xr:uid="{0C8E4C66-4D9D-4AC2-9A19-76DCAF776E8A}"/>
    <hyperlink ref="C1091" r:id="rId967" xr:uid="{55C77C3B-1167-4145-950A-6FEAC619EADD}"/>
    <hyperlink ref="C1092" r:id="rId968" xr:uid="{66A6FE3B-18CC-4B61-837F-485CAB731BC7}"/>
    <hyperlink ref="C1093" r:id="rId969" xr:uid="{2B03A33E-45BD-4712-BD4E-A6D3E60A1DDB}"/>
    <hyperlink ref="C1094" r:id="rId970" xr:uid="{8E0952CB-A087-4413-BF3B-532522437258}"/>
    <hyperlink ref="C1095" r:id="rId971" xr:uid="{FE9C4179-EC4E-44F3-9CC9-2D691ADB088B}"/>
    <hyperlink ref="C1096" r:id="rId972" xr:uid="{95C6A47A-DB6F-4318-8183-D7C69EB7C007}"/>
    <hyperlink ref="C1097" r:id="rId973" xr:uid="{085666EE-EB16-4216-A714-093DAB447EE0}"/>
    <hyperlink ref="C1098" r:id="rId974" xr:uid="{3C9DB525-DD96-40AB-97C9-F61DA5F113C8}"/>
    <hyperlink ref="C1118" r:id="rId975" xr:uid="{3493B903-988F-44ED-9A47-ACBBF917827E}"/>
    <hyperlink ref="C1119" r:id="rId976" xr:uid="{1CF7DB74-BEEF-4C91-A70B-03547A36DE80}"/>
    <hyperlink ref="C1120" r:id="rId977" xr:uid="{6DC36142-AD9A-42CA-BEF2-FE80CD08184E}"/>
    <hyperlink ref="C1121" r:id="rId978" xr:uid="{1CEE457C-AA79-4BA2-8287-B35361AB7D2A}"/>
    <hyperlink ref="C1122" r:id="rId979" xr:uid="{D8294F8D-9503-42C2-BCF4-788E6304ED32}"/>
    <hyperlink ref="C1123" r:id="rId980" xr:uid="{7BB57947-798C-46D4-82CF-77B47AB6BBC1}"/>
    <hyperlink ref="C1124" r:id="rId981" xr:uid="{D2D08707-3D50-4CF2-8ECA-49524263E2E3}"/>
    <hyperlink ref="C1125" r:id="rId982" xr:uid="{F12CD5D5-D601-4672-B4F2-6E1FE5B2AB60}"/>
    <hyperlink ref="C1126" r:id="rId983" xr:uid="{37487393-967C-4ADC-92CC-370B87C57CB5}"/>
    <hyperlink ref="C1127" r:id="rId984" xr:uid="{D5148597-43CC-4196-923D-4DA2AA59A135}"/>
    <hyperlink ref="C1128" r:id="rId985" xr:uid="{617CB06C-95D1-4058-B69F-529086A51A8A}"/>
    <hyperlink ref="C1129" r:id="rId986" xr:uid="{355454EE-71F1-4336-BC67-C1C07BD244B8}"/>
    <hyperlink ref="C1130" r:id="rId987" xr:uid="{C0EBAC73-8609-47C9-973C-07546CD58091}"/>
    <hyperlink ref="C1131" r:id="rId988" xr:uid="{BE67733C-444F-4155-B426-1724BCB70BB7}"/>
    <hyperlink ref="C1132" r:id="rId989" xr:uid="{D3662494-D003-472A-857C-D6D7285887F0}"/>
    <hyperlink ref="C1133" r:id="rId990" xr:uid="{B8DDBA47-1B8E-479A-9055-8689622B3BDE}"/>
    <hyperlink ref="C1134" r:id="rId991" xr:uid="{3FC1DC79-5478-4625-BA46-38D3A37F4805}"/>
    <hyperlink ref="C1135" r:id="rId992" xr:uid="{C14DA0CB-AFA5-4CFD-B49E-A6615D9FAD0F}"/>
    <hyperlink ref="C1136" r:id="rId993" xr:uid="{560DA804-E388-4C62-AD76-996238F57C77}"/>
    <hyperlink ref="C1137" r:id="rId994" xr:uid="{0D89D403-B30D-421E-98CD-75685DF9F3EE}"/>
    <hyperlink ref="C1138" r:id="rId995" xr:uid="{3530B86F-C026-4C1C-AB40-AFAEFF1C462E}"/>
    <hyperlink ref="C1139" r:id="rId996" xr:uid="{E9C7CD4D-8837-48BA-BF1A-266C8A83C5F9}"/>
    <hyperlink ref="C1140" r:id="rId997" xr:uid="{38DB0193-3FF8-4B39-AD15-A1329233F0C3}"/>
    <hyperlink ref="C1141" r:id="rId998" xr:uid="{DB42826A-47A6-4F9C-9E6E-1D433A43BD35}"/>
    <hyperlink ref="C1019" r:id="rId999" xr:uid="{CC85BD9C-3BD1-4435-B09D-B349B3129323}"/>
    <hyperlink ref="C1020" r:id="rId1000" xr:uid="{62CF77A2-7A6D-47A1-A4B4-98A8E348F5AF}"/>
    <hyperlink ref="C1099" r:id="rId1001" xr:uid="{9E2BADFA-CB2B-41AA-A61D-1BFFBE55D760}"/>
    <hyperlink ref="C1100" r:id="rId1002" xr:uid="{1BA7E2F8-3F27-46B0-93EA-B28199D0F8BA}"/>
    <hyperlink ref="C1101" r:id="rId1003" xr:uid="{F730F617-C1C4-4FAF-8122-C55605216138}"/>
    <hyperlink ref="C1102" r:id="rId1004" xr:uid="{ACED0C62-1E51-49B6-A8E7-F42AAD043520}"/>
    <hyperlink ref="C1103" r:id="rId1005" xr:uid="{20708410-BFC9-4C19-A703-49807696409D}"/>
    <hyperlink ref="C1104" r:id="rId1006" xr:uid="{97E8EF8F-BD42-4DF2-A6A3-4414CA1838BE}"/>
    <hyperlink ref="C1105" r:id="rId1007" xr:uid="{6DD726F8-2F0F-4823-B802-DF242C647EE7}"/>
    <hyperlink ref="C1106" r:id="rId1008" xr:uid="{0C85919F-0DE8-4C4B-89E8-BA6740808760}"/>
    <hyperlink ref="C1107" r:id="rId1009" xr:uid="{7FA36A66-C5D1-4511-B692-EFD97458300D}"/>
    <hyperlink ref="C1108" r:id="rId1010" xr:uid="{F3789DD2-FB88-47B9-8894-45FD0DD29D36}"/>
    <hyperlink ref="C1109" r:id="rId1011" xr:uid="{A211EB1B-206D-41B6-8274-90B34316548D}"/>
    <hyperlink ref="C1110" r:id="rId1012" xr:uid="{03072659-5516-4F0F-AF7B-4D2954771B91}"/>
    <hyperlink ref="C1111" r:id="rId1013" xr:uid="{CA562D94-4340-4C51-8EB3-6A090D7F3987}"/>
    <hyperlink ref="C1112" r:id="rId1014" xr:uid="{FB3638CD-7352-4551-B308-7794159BBA12}"/>
    <hyperlink ref="C1113" r:id="rId1015" xr:uid="{4861038B-8BDC-4FB6-BE13-C62DD339F75C}"/>
    <hyperlink ref="C1114" r:id="rId1016" xr:uid="{28D17D04-2712-443D-AEDA-45B93CCFB5D0}"/>
    <hyperlink ref="C1115" r:id="rId1017" xr:uid="{28F49251-EC31-4C7C-AF69-C97E0FC7E0E4}"/>
    <hyperlink ref="C1116" r:id="rId1018" xr:uid="{73FCE49E-437B-49A9-931A-8C689A11E2DB}"/>
    <hyperlink ref="C1142" r:id="rId1019" xr:uid="{94E1A5A3-ACD1-4A28-8812-2A0BB16972D5}"/>
    <hyperlink ref="C1143" r:id="rId1020" xr:uid="{D42EB253-4E2D-400D-86B2-92746374E8D4}"/>
    <hyperlink ref="C1144" r:id="rId1021" xr:uid="{B7598BE6-87D5-43C8-9E24-6A73190B2DD9}"/>
    <hyperlink ref="C1145" r:id="rId1022" xr:uid="{00D935D2-EFFC-45B7-BE90-6C1F549C1F45}"/>
    <hyperlink ref="C1146" r:id="rId1023" xr:uid="{02B31EA7-5407-4AFF-A91E-FD5D41FECAE5}"/>
    <hyperlink ref="C1147" r:id="rId1024" xr:uid="{82A14E1C-6C3A-44C6-BFF6-EA4F8FF2BD97}"/>
    <hyperlink ref="C1148" r:id="rId1025" xr:uid="{E452786F-6DEB-47F8-AF7B-90737265B6F3}"/>
    <hyperlink ref="C1149" r:id="rId1026" display="https://pmc.ncbi.nlm.nih.gov/articles/PMC6544242/" xr:uid="{A82D3B7C-3807-40F2-AD64-7F31F8E73F8F}"/>
    <hyperlink ref="C1150" r:id="rId1027" display="https://pmc.ncbi.nlm.nih.gov/articles/PMC6544242/" xr:uid="{7C894182-F663-4BE7-A135-CAC7A4FF406B}"/>
    <hyperlink ref="C1151" r:id="rId1028" display="https://pmc.ncbi.nlm.nih.gov/articles/PMC6544242/" xr:uid="{473EBDD0-A8E0-4CB6-91C4-4B1CBF12918A}"/>
    <hyperlink ref="C1152" r:id="rId1029" display="https://pmc.ncbi.nlm.nih.gov/articles/PMC6544242/" xr:uid="{1A33D55A-C222-4376-838B-ED776DC83413}"/>
    <hyperlink ref="C1153" r:id="rId1030" display="https://pmc.ncbi.nlm.nih.gov/articles/PMC6544242/" xr:uid="{1FA5F392-0C33-40F7-85EB-FF562A77649E}"/>
    <hyperlink ref="C1154" r:id="rId1031" display="https://pmc.ncbi.nlm.nih.gov/articles/PMC6544242/" xr:uid="{F531E6FB-B1A2-427A-B979-ED6B4E358F65}"/>
    <hyperlink ref="C1155" r:id="rId1032" display="https://pmc.ncbi.nlm.nih.gov/articles/PMC6544242/" xr:uid="{99629C57-9C93-4553-89AF-DCC4B2616976}"/>
    <hyperlink ref="C1156" r:id="rId1033" display="https://pmc.ncbi.nlm.nih.gov/articles/PMC6544242/" xr:uid="{CD123702-5D39-4DBC-8059-27CFE0E00908}"/>
    <hyperlink ref="C1157" r:id="rId1034" display="https://pmc.ncbi.nlm.nih.gov/articles/PMC6544242/" xr:uid="{62616426-141E-4ECA-AE96-8A94F1952202}"/>
    <hyperlink ref="C1158" r:id="rId1035" display="https://pmc.ncbi.nlm.nih.gov/articles/PMC6544242/" xr:uid="{2129BD8F-5257-46B6-B63A-66B1DEB2D8F5}"/>
    <hyperlink ref="C1159" r:id="rId1036" display="https://pmc.ncbi.nlm.nih.gov/articles/PMC6544242/" xr:uid="{4739F944-AE46-4FEA-AF85-6F0EF6BA4D62}"/>
    <hyperlink ref="C1160" r:id="rId1037" display="https://pmc.ncbi.nlm.nih.gov/articles/PMC6544242/" xr:uid="{F838EEC4-FD19-4867-BC52-3C06BE7493FC}"/>
    <hyperlink ref="C1161" r:id="rId1038" display="https://pmc.ncbi.nlm.nih.gov/articles/PMC6544242/" xr:uid="{D35C9B1E-7B27-43C4-B0A7-378CF003FE49}"/>
    <hyperlink ref="C1162" r:id="rId1039" xr:uid="{A675721E-CBC1-4006-8A88-0481CC7C23A6}"/>
    <hyperlink ref="C1163" r:id="rId1040" xr:uid="{EA6DCA29-8794-4A3C-9A9F-EB5711BBDE10}"/>
    <hyperlink ref="C1164" r:id="rId1041" xr:uid="{EC58E38D-E727-45D8-87E1-9508C8DF0E48}"/>
    <hyperlink ref="C1165" r:id="rId1042" xr:uid="{588B2C8B-3E1F-4003-A5AB-C29BF377EA6F}"/>
    <hyperlink ref="C1166" r:id="rId1043" xr:uid="{3C8F6D7E-94FC-4B73-B14D-870DF0D45130}"/>
    <hyperlink ref="C1167" r:id="rId1044" xr:uid="{1D533E7A-1BB1-42D6-A2A2-F2D937EDB385}"/>
    <hyperlink ref="C1168" r:id="rId1045" xr:uid="{6C35A4AF-8402-4114-B7CD-C3656F4545EC}"/>
    <hyperlink ref="C1169" r:id="rId1046" xr:uid="{BE568129-5456-4E3B-A665-173231A85013}"/>
    <hyperlink ref="C1170" r:id="rId1047" xr:uid="{8E872D3F-12C8-4674-A287-FE465055A791}"/>
    <hyperlink ref="C1171" r:id="rId1048" xr:uid="{F45581F3-6879-4698-875B-D782BFEDAAB0}"/>
    <hyperlink ref="C1172" r:id="rId1049" xr:uid="{284A7789-AD2B-4D6A-A15E-1E2C77D0A7DE}"/>
    <hyperlink ref="C1173" r:id="rId1050" xr:uid="{B56E5D58-785D-4F4C-9A3E-B09592175CA7}"/>
    <hyperlink ref="C1174" r:id="rId1051" xr:uid="{7F5EF52C-14D9-466B-AEB7-A181FA64457F}"/>
    <hyperlink ref="C1175" r:id="rId1052" xr:uid="{19AFB826-55B0-4099-AC43-D6006B72B11C}"/>
    <hyperlink ref="C1190" r:id="rId1053" xr:uid="{5CAA0DB5-3976-46F4-A667-8E37ABE15505}"/>
    <hyperlink ref="C1206" r:id="rId1054" xr:uid="{336730A8-6FB8-4454-88BB-88A885FE1E72}"/>
    <hyperlink ref="C1222" r:id="rId1055" xr:uid="{8220CB9A-CF5B-434C-956C-8A23C1A7502F}"/>
    <hyperlink ref="C1238" r:id="rId1056" xr:uid="{A162F1BA-FA56-44EB-8ECE-8BD78DF4ED25}"/>
    <hyperlink ref="C1262" r:id="rId1057" xr:uid="{DF70667D-18F2-49C4-9DC6-14F51374090F}"/>
    <hyperlink ref="C1270" r:id="rId1058" xr:uid="{C9B22A6D-0470-4C19-82AF-B7036A988C44}"/>
    <hyperlink ref="C1285" r:id="rId1059" xr:uid="{DE77C1FE-E035-4B72-85E2-488DFFE80F94}"/>
    <hyperlink ref="C1374" r:id="rId1060" xr:uid="{3F6DAB5E-E86A-46E3-A3EC-E72B3C8511F2}"/>
    <hyperlink ref="C1403" r:id="rId1061" xr:uid="{D7E9FE94-B245-4841-97C0-101D2F427775}"/>
    <hyperlink ref="C1375" r:id="rId1062" xr:uid="{2FD617F2-D70A-45B3-A0BA-F41A79F34A3F}"/>
    <hyperlink ref="C1389" r:id="rId1063" xr:uid="{72658DFB-6ABE-4BA8-9057-11D593AA21E9}"/>
    <hyperlink ref="C1176" r:id="rId1064" xr:uid="{0B419BDA-FCBF-451E-BA92-7F9E7E95550A}"/>
    <hyperlink ref="C1177" r:id="rId1065" xr:uid="{EE3FAE75-B97D-4308-9A17-0CA9172A0E57}"/>
    <hyperlink ref="C1178" r:id="rId1066" xr:uid="{0DC41ECD-E714-4FCE-B24E-3A4E9751F6F8}"/>
    <hyperlink ref="C1179" r:id="rId1067" xr:uid="{C9D6407E-B0F4-447E-AFFC-4BA60F84C931}"/>
    <hyperlink ref="C1180" r:id="rId1068" xr:uid="{6736557F-997E-4A03-9EAF-D56DC124CC02}"/>
    <hyperlink ref="C1181" r:id="rId1069" xr:uid="{EC5C1195-F247-46D3-9946-C844F1DCEF79}"/>
    <hyperlink ref="C1182" r:id="rId1070" xr:uid="{CCB0B09B-40C3-41E1-B510-73F3B7FF3833}"/>
    <hyperlink ref="C1183" r:id="rId1071" xr:uid="{EDA2F9CD-8A0B-4447-BA27-FBFAC48BA646}"/>
    <hyperlink ref="C1184" r:id="rId1072" xr:uid="{235D7DFF-8ED0-4D27-B991-609661CE95DB}"/>
    <hyperlink ref="C1185" r:id="rId1073" xr:uid="{5AA87A80-5633-4DF6-B52B-486C2213CB56}"/>
    <hyperlink ref="C1186" r:id="rId1074" xr:uid="{165940C8-4C55-4296-B188-8C0F11D01CD6}"/>
    <hyperlink ref="C1187" r:id="rId1075" xr:uid="{EBA666C3-C1FE-43A6-85D4-6E64D391DBBC}"/>
    <hyperlink ref="C1188" r:id="rId1076" xr:uid="{A5778D16-4EE9-4C94-8758-8EACB2EA9D31}"/>
    <hyperlink ref="C1189" r:id="rId1077" xr:uid="{F1D3442D-64A3-45B2-99E3-5D145252AC6D}"/>
    <hyperlink ref="C1191" r:id="rId1078" xr:uid="{82CFA7DC-37A5-4C9A-AC18-3ABD8D62B937}"/>
    <hyperlink ref="C1192" r:id="rId1079" xr:uid="{5D1D1BBA-181E-4391-A89D-55825CA8748D}"/>
    <hyperlink ref="C1193" r:id="rId1080" xr:uid="{6E628A22-D78E-4DB1-BE9C-64A37B570D25}"/>
    <hyperlink ref="C1194" r:id="rId1081" xr:uid="{9918DAC9-3AF6-47F8-97A6-54DBCC22449B}"/>
    <hyperlink ref="C1195" r:id="rId1082" xr:uid="{A5F88E4F-282A-4EA4-9870-F33D73ABD22E}"/>
    <hyperlink ref="C1196" r:id="rId1083" xr:uid="{81F99C24-9921-4E60-8622-8F1FA92E527A}"/>
    <hyperlink ref="C1197" r:id="rId1084" xr:uid="{310AB582-B138-4031-8D9A-8750E1A04B46}"/>
    <hyperlink ref="C1198" r:id="rId1085" xr:uid="{877C3CE1-5015-4ED6-9552-192E84B31832}"/>
    <hyperlink ref="C1199" r:id="rId1086" xr:uid="{047CB9BF-3350-40EB-B66C-E0F4DA8C100C}"/>
    <hyperlink ref="C1200" r:id="rId1087" xr:uid="{C1E02404-4035-4F71-A156-6633A4A63F1F}"/>
    <hyperlink ref="C1201" r:id="rId1088" xr:uid="{E0D9977D-C048-4810-902E-587601C47626}"/>
    <hyperlink ref="C1202" r:id="rId1089" xr:uid="{45FE27B6-3EA0-404C-88F6-44C4A8D529E0}"/>
    <hyperlink ref="C1203" r:id="rId1090" xr:uid="{476E5445-0A96-488F-A026-DBC94C0D23A4}"/>
    <hyperlink ref="C1204" r:id="rId1091" xr:uid="{FCF62DCE-3EE5-4DFB-ADA9-65860594BCF3}"/>
    <hyperlink ref="C1205" r:id="rId1092" xr:uid="{B6544CAF-E13E-4F72-8A4A-B59585419CFE}"/>
    <hyperlink ref="C1207" r:id="rId1093" xr:uid="{0004BECF-9A28-49EE-AD69-35C5E6D82C24}"/>
    <hyperlink ref="C1208" r:id="rId1094" xr:uid="{ACE7FD10-77CE-48D8-A20D-3CA90F28FD26}"/>
    <hyperlink ref="C1209" r:id="rId1095" xr:uid="{A2972053-3724-4C6F-B470-7B64507B4AE8}"/>
    <hyperlink ref="C1210" r:id="rId1096" xr:uid="{5D65D69E-BD56-475A-A3A7-13E8548C73C4}"/>
    <hyperlink ref="C1211" r:id="rId1097" xr:uid="{F56D90E1-7A4F-4B46-997E-7616A3E8A547}"/>
    <hyperlink ref="C1212" r:id="rId1098" xr:uid="{A4358086-3211-4680-AE03-605087E4018E}"/>
    <hyperlink ref="C1213" r:id="rId1099" xr:uid="{F200C1F9-2B9C-4CC3-B3D9-90B9846D48F9}"/>
    <hyperlink ref="C1214" r:id="rId1100" xr:uid="{49D84FF3-62B0-4E2E-8A22-C9C30E249C4D}"/>
    <hyperlink ref="C1215" r:id="rId1101" xr:uid="{6E7E5BD5-891E-404F-8FF3-0A54A961AE55}"/>
    <hyperlink ref="C1216" r:id="rId1102" xr:uid="{5348DE69-C1CE-40E6-ADB3-0F299F4D476D}"/>
    <hyperlink ref="C1217" r:id="rId1103" xr:uid="{5D245D19-EA64-4946-99B0-C02293BBE943}"/>
    <hyperlink ref="C1218" r:id="rId1104" xr:uid="{E9E6B675-7669-4F4C-B5A4-4DCC157CC286}"/>
    <hyperlink ref="C1219" r:id="rId1105" xr:uid="{F8B55C5F-16B9-4C23-AE0E-F9F34A2A721F}"/>
    <hyperlink ref="C1220" r:id="rId1106" xr:uid="{CEE84CF0-9FB7-4364-A41A-DFEBAA3E3CC6}"/>
    <hyperlink ref="C1221" r:id="rId1107" xr:uid="{ADD6D0F1-D741-484C-967D-BC8923F792EE}"/>
    <hyperlink ref="C1223" r:id="rId1108" xr:uid="{14704CED-86B2-40EB-AD3C-2A2E290CB458}"/>
    <hyperlink ref="C1224" r:id="rId1109" xr:uid="{1377A62E-17AE-475A-86A2-77AADD19C2F2}"/>
    <hyperlink ref="C1225" r:id="rId1110" xr:uid="{75FE5494-9CD7-4BF2-BC54-9DE8FAE93FEC}"/>
    <hyperlink ref="C1226" r:id="rId1111" xr:uid="{8F2470A1-18F0-46CB-B2F9-87440FF1BA03}"/>
    <hyperlink ref="C1227" r:id="rId1112" xr:uid="{0894C417-BA10-4898-83A4-057D7540CC52}"/>
    <hyperlink ref="C1228" r:id="rId1113" xr:uid="{9795DF35-C893-453C-9DED-812002B0CAC1}"/>
    <hyperlink ref="C1229" r:id="rId1114" xr:uid="{C6F36690-1CA7-4B40-8EB3-D883B5B5D371}"/>
    <hyperlink ref="C1230" r:id="rId1115" xr:uid="{E2D25230-AF56-4D0A-8B1A-EBFE4F8677EF}"/>
    <hyperlink ref="C1231" r:id="rId1116" xr:uid="{45845587-4D7B-47F6-A466-164307CDC830}"/>
    <hyperlink ref="C1232" r:id="rId1117" xr:uid="{C871FB07-3C29-46DF-A217-B3D1C754AE1C}"/>
    <hyperlink ref="C1233" r:id="rId1118" xr:uid="{69C11527-298D-430F-84AE-A1C6FCFAF565}"/>
    <hyperlink ref="C1234" r:id="rId1119" xr:uid="{DB7F96C6-9BE6-4CEE-883F-A3D2C1B62E4F}"/>
    <hyperlink ref="C1235" r:id="rId1120" xr:uid="{7D8DFBF7-B692-446F-BBCA-8B40200582A0}"/>
    <hyperlink ref="C1236" r:id="rId1121" xr:uid="{A82DA36B-F19F-4B0A-89F5-79E4B5285F0E}"/>
    <hyperlink ref="C1237" r:id="rId1122" xr:uid="{A42074FA-6833-4271-85CF-53437223BAD3}"/>
    <hyperlink ref="C1239" r:id="rId1123" xr:uid="{774D0922-DE89-4EAA-A204-B7D0DA043B95}"/>
    <hyperlink ref="C1240" r:id="rId1124" xr:uid="{025BC7C3-833F-4184-A5D0-491461DC6B94}"/>
    <hyperlink ref="C1241" r:id="rId1125" xr:uid="{DD83D67C-271D-44C9-8127-350F6AF66B0D}"/>
    <hyperlink ref="C1242" r:id="rId1126" xr:uid="{E754A097-E16F-40AB-A52C-F46A531038E8}"/>
    <hyperlink ref="C1243" r:id="rId1127" xr:uid="{C5487113-9058-40C9-AF20-B550BABC4D39}"/>
    <hyperlink ref="C1244" r:id="rId1128" xr:uid="{78024BC9-7C14-449E-8C1F-A8336AB2E8A9}"/>
    <hyperlink ref="C1245" r:id="rId1129" xr:uid="{4DCAD9FF-597B-4525-98D5-61A80C50F290}"/>
    <hyperlink ref="C1246" r:id="rId1130" xr:uid="{7F7B3E40-81E9-45BE-9128-994DFFFF6A05}"/>
    <hyperlink ref="C1247" r:id="rId1131" xr:uid="{68FE4F62-D89E-4FDA-92B9-B884FFBA24B6}"/>
    <hyperlink ref="C1248" r:id="rId1132" xr:uid="{50E101A1-6AB5-4541-AEFA-90488C889AEB}"/>
    <hyperlink ref="C1249" r:id="rId1133" xr:uid="{1962BEBF-3C71-441C-81D3-7A0C309E47CC}"/>
    <hyperlink ref="C1250" r:id="rId1134" xr:uid="{8B5D7F49-6FFE-47B1-B6E6-D489142F361A}"/>
    <hyperlink ref="C1251" r:id="rId1135" xr:uid="{F1E54452-6619-4AC2-922D-5C6885D70C3E}"/>
    <hyperlink ref="C1252" r:id="rId1136" xr:uid="{8B0392BB-8573-4473-988C-A62703189EF0}"/>
    <hyperlink ref="C1253" r:id="rId1137" xr:uid="{BE97826C-38C4-447E-8FF6-96C0CAA90CEF}"/>
    <hyperlink ref="C1254" r:id="rId1138" xr:uid="{E11D7324-9D4F-4DD5-9642-8A484B3A9BE6}"/>
    <hyperlink ref="C1255" r:id="rId1139" xr:uid="{42498E0C-CD4A-47CC-BA85-0882A3FD6CCF}"/>
    <hyperlink ref="C1256" r:id="rId1140" xr:uid="{66F5DDB9-7448-4CCE-B7B1-7A013B9214CE}"/>
    <hyperlink ref="C1257" r:id="rId1141" xr:uid="{A30E18B4-21BC-45B3-ADA1-203A622F0D96}"/>
    <hyperlink ref="C1258" r:id="rId1142" xr:uid="{8A1703C4-6ED3-492F-8361-206679CE1E11}"/>
    <hyperlink ref="C1259" r:id="rId1143" xr:uid="{D6029230-1560-4D78-9427-1FF8A89B2956}"/>
    <hyperlink ref="C1260" r:id="rId1144" xr:uid="{DCCCF153-7454-442C-9F43-A086CC36B817}"/>
    <hyperlink ref="C1261" r:id="rId1145" xr:uid="{03177CB1-3EBD-4EB3-ACA6-CF6D90F572AC}"/>
    <hyperlink ref="C1263" r:id="rId1146" xr:uid="{4312C0AD-8E5C-471E-BA97-D31365E3F0A1}"/>
    <hyperlink ref="C1264" r:id="rId1147" xr:uid="{1711652C-E770-454D-B4D9-D207BAAA26ED}"/>
    <hyperlink ref="C1265" r:id="rId1148" xr:uid="{6C4F11A0-EB92-4C9B-8CF1-A32B2C384397}"/>
    <hyperlink ref="C1266" r:id="rId1149" xr:uid="{04028822-4FC9-43F9-BE0B-8805FA79A183}"/>
    <hyperlink ref="C1267" r:id="rId1150" xr:uid="{B73ADEB9-F977-4677-B28C-C10E8E4C4AA6}"/>
    <hyperlink ref="C1268" r:id="rId1151" xr:uid="{8D20E1B4-30EA-411D-9179-89EE9260D2AD}"/>
    <hyperlink ref="C1269" r:id="rId1152" xr:uid="{1D937B19-F53B-42C4-84FD-C6E087D1E241}"/>
    <hyperlink ref="C1271" r:id="rId1153" xr:uid="{2F2AE928-6A6D-4524-BE20-69E7E89E808F}"/>
    <hyperlink ref="C1272" r:id="rId1154" xr:uid="{EA24D648-EE08-4412-A2A7-BD1DA5A8A6A6}"/>
    <hyperlink ref="C1273" r:id="rId1155" xr:uid="{8E18765F-504A-4FEF-B1F6-634B8AAD7D8F}"/>
    <hyperlink ref="C1274" r:id="rId1156" xr:uid="{BA63A63C-29C6-4F35-95A3-C71DC9BBB924}"/>
    <hyperlink ref="C1275" r:id="rId1157" xr:uid="{B77658DF-245C-4AD9-9B38-AFB1F2582EBC}"/>
    <hyperlink ref="C1276" r:id="rId1158" xr:uid="{BE5F51A4-C365-4BA7-A07F-DAC01AA06642}"/>
    <hyperlink ref="C1277" r:id="rId1159" xr:uid="{27D79BFF-4204-46A5-B276-6360564D50A6}"/>
    <hyperlink ref="C1278" r:id="rId1160" xr:uid="{F2B13350-F00B-4DB7-863E-CCF9ACAB0D42}"/>
    <hyperlink ref="C1279" r:id="rId1161" xr:uid="{D9B6D52E-38DF-4388-BCBA-6CAF762C2F05}"/>
    <hyperlink ref="C1280" r:id="rId1162" xr:uid="{6C1CE923-FB0C-4C37-A81D-BABF0EAB2F6C}"/>
    <hyperlink ref="C1281" r:id="rId1163" xr:uid="{FAFBF5FA-E5C8-41DA-9521-E6F999FA3D44}"/>
    <hyperlink ref="C1282" r:id="rId1164" xr:uid="{E0C14FDE-2C6F-4132-A294-FEBFA2BFED81}"/>
    <hyperlink ref="C1283" r:id="rId1165" xr:uid="{F134EA5D-0CB5-4BF8-85B9-43887A6571B2}"/>
    <hyperlink ref="C1284" r:id="rId1166" xr:uid="{849B4716-FE00-4464-B723-81A68A328558}"/>
    <hyperlink ref="C1286" r:id="rId1167" xr:uid="{DD8D160C-C2BC-4705-A936-126FD6C74B3B}"/>
    <hyperlink ref="C1287" r:id="rId1168" xr:uid="{88FA877B-9589-48F2-A67F-0F818F0E1D2F}"/>
    <hyperlink ref="C1288" r:id="rId1169" xr:uid="{979800A5-AEF9-495A-89D1-2488C7F73B0E}"/>
    <hyperlink ref="C1289" r:id="rId1170" xr:uid="{AD2A389A-F291-4A45-A84B-6114A82B4C3F}"/>
    <hyperlink ref="C1290" r:id="rId1171" xr:uid="{34B37982-60DF-4B86-A523-739E04F9E07C}"/>
    <hyperlink ref="C1291" r:id="rId1172" xr:uid="{387F800B-5C63-4F5A-8C23-663009AA32DF}"/>
    <hyperlink ref="C1292" r:id="rId1173" xr:uid="{993B5E75-D7A3-4D9B-8CB4-C43CF44D082D}"/>
    <hyperlink ref="C1293" r:id="rId1174" xr:uid="{933F6487-8C4B-4485-A64A-3A471CCE793C}"/>
    <hyperlink ref="C1294" r:id="rId1175" xr:uid="{50ED28A1-6CC5-4437-BFCF-718B05848C5B}"/>
    <hyperlink ref="C1295" r:id="rId1176" xr:uid="{95D1AC01-42DB-44AC-9AD5-A5AD02610281}"/>
    <hyperlink ref="C1296" r:id="rId1177" xr:uid="{324F69A0-B037-42B8-BDD5-E0046C48F2B2}"/>
    <hyperlink ref="C1297" r:id="rId1178" xr:uid="{92A7BCE3-3290-4126-B01A-E06E4F9E4AD8}"/>
    <hyperlink ref="C1298" r:id="rId1179" xr:uid="{5567816C-4A25-406B-BB6D-A2EF8B256CAF}"/>
    <hyperlink ref="C1299" r:id="rId1180" xr:uid="{55527248-404F-4C5B-B480-B4D747AFB708}"/>
    <hyperlink ref="C1300" r:id="rId1181" xr:uid="{7BC1619E-C15C-4BE3-9F3A-DDDBB6E433C1}"/>
    <hyperlink ref="C1301" r:id="rId1182" xr:uid="{1B4FE6C5-2E4A-492E-91F9-8B02933A32B3}"/>
    <hyperlink ref="C1302" r:id="rId1183" xr:uid="{EA8D8A35-A81D-432E-8927-BA2AADC50704}"/>
    <hyperlink ref="C1303" r:id="rId1184" xr:uid="{30466FA9-B0CC-4E27-97FB-F4BF0AA891D0}"/>
    <hyperlink ref="C1304" r:id="rId1185" xr:uid="{FD99BC99-2B15-4478-A309-9076588AF66B}"/>
    <hyperlink ref="C1305" r:id="rId1186" xr:uid="{9E6F2DFF-65FB-4F84-94D5-9F20AEAA3BC4}"/>
    <hyperlink ref="C1353" r:id="rId1187" xr:uid="{E509AF62-E2B1-4751-90C4-4AC7F6760508}"/>
    <hyperlink ref="C1354" r:id="rId1188" xr:uid="{9D7D6E6D-954C-441C-A342-10E2C81A45E8}"/>
    <hyperlink ref="C1355" r:id="rId1189" xr:uid="{59EC2F2C-1098-416D-AE75-AD45FE642AAA}"/>
    <hyperlink ref="C1356" r:id="rId1190" xr:uid="{F088AE13-EF11-4C5F-9989-86BE316234B9}"/>
    <hyperlink ref="C1357" r:id="rId1191" xr:uid="{C637ACFB-8768-4A0B-86F4-4A7B5C317602}"/>
    <hyperlink ref="C1358" r:id="rId1192" xr:uid="{13DBB346-8127-4CCE-88D4-ADF57DC34C92}"/>
    <hyperlink ref="C1359" r:id="rId1193" xr:uid="{82C5D1DE-7AF6-4C58-B2C8-0704CCAC619D}"/>
    <hyperlink ref="C1360" r:id="rId1194" xr:uid="{443B9AB3-1ECE-4FF1-B0FE-75ABD197310C}"/>
    <hyperlink ref="C1361" r:id="rId1195" xr:uid="{97C55DB5-6E47-4E07-A9F7-0D5F6C17CE2D}"/>
    <hyperlink ref="C1362" r:id="rId1196" xr:uid="{A7CE647F-BA1E-4D64-8402-3065272C679C}"/>
    <hyperlink ref="C1363" r:id="rId1197" xr:uid="{F03AD517-9E0F-416D-9892-2ED74EE2BE0A}"/>
    <hyperlink ref="C1364" r:id="rId1198" xr:uid="{E2DF1057-58BF-44A8-ADE7-AA92BB8A02E1}"/>
    <hyperlink ref="C1365" r:id="rId1199" xr:uid="{07276753-066F-42CF-84C2-585E8ECE79EC}"/>
    <hyperlink ref="C1366" r:id="rId1200" xr:uid="{2A232CF5-AE96-4479-A979-7121536785DF}"/>
    <hyperlink ref="C1367" r:id="rId1201" xr:uid="{43C6B668-CB5E-41E2-8E48-31CC8E1F2CD6}"/>
    <hyperlink ref="C1368" r:id="rId1202" xr:uid="{3263A340-35FD-4122-A1C3-09454C48C36B}"/>
    <hyperlink ref="C1369" r:id="rId1203" xr:uid="{5C02DE89-239C-485D-916C-05A8CA53A807}"/>
    <hyperlink ref="C1370" r:id="rId1204" xr:uid="{62638B76-49F8-4E2E-AD08-2CE2A81A76EC}"/>
    <hyperlink ref="C1371" r:id="rId1205" xr:uid="{A74940C0-A3B4-401D-AB6B-59E1D3D1186E}"/>
    <hyperlink ref="C1372" r:id="rId1206" xr:uid="{5F29327D-038B-4BDB-822B-5AEAED9D7658}"/>
    <hyperlink ref="C1373" r:id="rId1207" xr:uid="{74301EF0-C984-4BEF-A070-D6E498B82545}"/>
    <hyperlink ref="C1376" r:id="rId1208" xr:uid="{B54D425B-85B0-4D95-85A5-404100B65C82}"/>
    <hyperlink ref="C1377" r:id="rId1209" xr:uid="{E92B3ED1-D33C-48E2-97D6-9828B6FC4B20}"/>
    <hyperlink ref="C1378" r:id="rId1210" xr:uid="{60EB9C3A-A990-4B4F-BB27-46F1CEEFB11E}"/>
    <hyperlink ref="C1379" r:id="rId1211" xr:uid="{EDBA3926-F222-432C-AB16-96DEA2421E6D}"/>
    <hyperlink ref="C1380" r:id="rId1212" xr:uid="{5035B2BF-9FA4-4B3B-A826-463650480318}"/>
    <hyperlink ref="C1381" r:id="rId1213" xr:uid="{073F1C61-B1FE-4E36-9DC9-2D8C88029E98}"/>
    <hyperlink ref="C1382" r:id="rId1214" xr:uid="{AE1B1F62-2415-49F2-8639-ED81BEA2E981}"/>
    <hyperlink ref="C1383" r:id="rId1215" xr:uid="{F7A1BB7C-46B0-4CBC-B844-17EDA67CB987}"/>
    <hyperlink ref="C1384" r:id="rId1216" xr:uid="{B6E8C820-B43D-477C-916D-9FE150CB9773}"/>
    <hyperlink ref="C1385" r:id="rId1217" xr:uid="{21559F71-C325-4C65-9E48-9F7B9551CC1C}"/>
    <hyperlink ref="C1386" r:id="rId1218" xr:uid="{B4583CD7-1A4E-428D-96DF-EE9BD4C224F6}"/>
    <hyperlink ref="C1387" r:id="rId1219" xr:uid="{C798F75D-E001-4760-A949-35271F4B9735}"/>
    <hyperlink ref="C1388" r:id="rId1220" xr:uid="{A9DAE352-5734-4B49-B49D-60312C29504C}"/>
    <hyperlink ref="C1390" r:id="rId1221" xr:uid="{6601DA8F-6090-488F-A79D-55D854459F3E}"/>
    <hyperlink ref="C1391" r:id="rId1222" xr:uid="{91C2CE6B-75BA-46CE-9305-C5602C6B2E2A}"/>
    <hyperlink ref="C1392" r:id="rId1223" xr:uid="{C67F5C59-A0F5-4A68-9649-AF756695B226}"/>
    <hyperlink ref="C1393" r:id="rId1224" xr:uid="{162874D8-931E-4817-8A6C-7DDBE6E3AC73}"/>
    <hyperlink ref="C1394" r:id="rId1225" xr:uid="{861FF549-7A09-459D-91AB-43941C4178C9}"/>
    <hyperlink ref="C1395" r:id="rId1226" xr:uid="{C167CD25-775B-4217-AAF6-B23640774CC2}"/>
    <hyperlink ref="C1396" r:id="rId1227" xr:uid="{497A37D2-882E-4EDD-8A49-64E4DCE2050A}"/>
    <hyperlink ref="C1397" r:id="rId1228" xr:uid="{02AC5370-5CC5-4EDD-9057-0617EF9079A0}"/>
    <hyperlink ref="C1398" r:id="rId1229" xr:uid="{146891AB-9625-428C-9E01-2153101CFF9B}"/>
    <hyperlink ref="C1399" r:id="rId1230" xr:uid="{0A8F9C7A-F322-41D5-B123-C4CDAEFC3C23}"/>
    <hyperlink ref="C1400" r:id="rId1231" xr:uid="{CB31F957-D858-44C5-8734-F60097043F9E}"/>
    <hyperlink ref="C1401" r:id="rId1232" xr:uid="{38727672-FFA5-4408-BF1D-311813FEB848}"/>
    <hyperlink ref="C1402" r:id="rId1233" xr:uid="{BE91BB56-223A-4016-A7DF-8FF49B5FB50D}"/>
    <hyperlink ref="C1404" r:id="rId1234" xr:uid="{F5464347-A431-4FE5-B0C8-3C21E035238B}"/>
    <hyperlink ref="C1405" r:id="rId1235" xr:uid="{3345668D-7BD8-4F8C-8B96-7A7E0070A14B}"/>
    <hyperlink ref="C1406" r:id="rId1236" xr:uid="{D8EB36B4-2ECA-4139-962D-6EDD922520AB}"/>
    <hyperlink ref="C1407" r:id="rId1237" xr:uid="{747401A2-6D40-4027-A476-E5120E6AFE11}"/>
    <hyperlink ref="C1408" r:id="rId1238" xr:uid="{18A06C96-53AD-404F-A2BB-99557E46225A}"/>
    <hyperlink ref="C1409" r:id="rId1239" xr:uid="{27BA718D-42DE-44C1-8318-58EC346F1D6D}"/>
    <hyperlink ref="C1410" r:id="rId1240" xr:uid="{4E4D95BE-EF67-4C0D-979B-B743CA755690}"/>
    <hyperlink ref="C1411" r:id="rId1241" xr:uid="{9E296D7D-53BD-44FB-8DCC-8D4834BEBE18}"/>
    <hyperlink ref="C1412" r:id="rId1242" xr:uid="{32B64EFE-059A-446F-BF91-523E78E97997}"/>
    <hyperlink ref="C1413" r:id="rId1243" xr:uid="{3FE2AAC4-6815-4E9F-8D1C-2E7C59C9A3E4}"/>
    <hyperlink ref="C1414" r:id="rId1244" xr:uid="{C710D703-9062-4FEF-B4C9-FA9D1206DCD4}"/>
    <hyperlink ref="C1415" r:id="rId1245" xr:uid="{6AB72569-06D8-438A-8037-3F18031819EB}"/>
    <hyperlink ref="C1416" r:id="rId1246" xr:uid="{398E6363-A3D7-4E6B-8CDE-972C615CEEFB}"/>
    <hyperlink ref="C1417" r:id="rId1247" xr:uid="{707B153C-88EE-4E6A-B135-5F7597527089}"/>
    <hyperlink ref="C1418" r:id="rId1248" xr:uid="{F1AD616B-BFEC-44A6-8C61-EA9711626CB9}"/>
    <hyperlink ref="C1419" r:id="rId1249" xr:uid="{E87B23DC-0697-4F7F-9325-63980CA29044}"/>
    <hyperlink ref="C1420" r:id="rId1250" xr:uid="{B7550D4B-C21C-4BE0-B8DC-2F3EAB77679F}"/>
    <hyperlink ref="C1306" r:id="rId1251" xr:uid="{40802A40-5D12-48F8-BF67-BADA7BD93C9E}"/>
    <hyperlink ref="C1307" r:id="rId1252" xr:uid="{210C8F61-421E-4A86-8F73-CA5C6F2E3FD4}"/>
    <hyperlink ref="C1308" r:id="rId1253" xr:uid="{2A711E94-EEF6-4850-B728-9D1D8216BFBD}"/>
    <hyperlink ref="C1309" r:id="rId1254" xr:uid="{622EFE05-0BCF-4FA1-954B-DFB7572C49F7}"/>
    <hyperlink ref="C1310" r:id="rId1255" xr:uid="{56E319EE-059D-4548-B415-6AC89E5D4B8D}"/>
    <hyperlink ref="C1311" r:id="rId1256" xr:uid="{3303A414-EB5F-4A84-8DA1-8A32308A3AF9}"/>
    <hyperlink ref="C1312" r:id="rId1257" xr:uid="{FADAD854-C890-4AD9-8470-7DC62644B280}"/>
    <hyperlink ref="C1313" r:id="rId1258" xr:uid="{93E1A9E9-2DE9-450E-B5E3-BEC7A455AEC9}"/>
    <hyperlink ref="C1314" r:id="rId1259" xr:uid="{D97B1547-D3EB-45EF-A432-46523D59AA6E}"/>
    <hyperlink ref="C1315" r:id="rId1260" xr:uid="{F3EDDEFB-BDE7-425C-9D32-FFC687894B08}"/>
    <hyperlink ref="C1316" r:id="rId1261" xr:uid="{FD9904CD-677A-4C57-AEE8-50A6DA298329}"/>
    <hyperlink ref="C1317" r:id="rId1262" xr:uid="{5277D589-6E7A-43C0-BF18-AA7A243CAC69}"/>
    <hyperlink ref="C1339" r:id="rId1263" xr:uid="{CA2C07FA-F6A9-4102-98E0-440F330C0683}"/>
    <hyperlink ref="C1340" r:id="rId1264" xr:uid="{5DAC695D-99E6-4B1A-BD16-3563C175AE1C}"/>
    <hyperlink ref="C1341" r:id="rId1265" xr:uid="{AB6CCEDD-151A-4BC1-B3C5-56EEA2A18BBA}"/>
    <hyperlink ref="C1342" r:id="rId1266" xr:uid="{1BFAAA39-7B84-4FCB-8DEE-BBF412F654B5}"/>
    <hyperlink ref="C1343" r:id="rId1267" xr:uid="{1F1573D3-AF3C-442C-9E8C-2B539AF54787}"/>
    <hyperlink ref="C1344" r:id="rId1268" xr:uid="{F91276E6-E59D-463C-B8BD-F23D5BA16F4F}"/>
    <hyperlink ref="C1345" r:id="rId1269" xr:uid="{4B91B894-0D95-4D8D-B654-0EC07DEB5D12}"/>
    <hyperlink ref="C1346" r:id="rId1270" xr:uid="{705BFA88-1AF8-46DB-B1C3-CD4CAB51F02F}"/>
    <hyperlink ref="C1347" r:id="rId1271" xr:uid="{DB4D31E9-C81B-45DD-A1C8-87F60EB6EEA4}"/>
    <hyperlink ref="C1348" r:id="rId1272" xr:uid="{933CA217-D80B-42D2-B865-BDBEB5620588}"/>
    <hyperlink ref="C1349" r:id="rId1273" xr:uid="{E336B896-8159-46F5-B54B-25DB11BAF101}"/>
    <hyperlink ref="C1350" r:id="rId1274" xr:uid="{5289FBE1-A165-4430-A077-B06E382B16DF}"/>
    <hyperlink ref="C1351" r:id="rId1275" xr:uid="{719BF3E2-7351-4792-8B69-4E2043DBD87A}"/>
    <hyperlink ref="C1352" r:id="rId1276" xr:uid="{792EFD53-0986-4B03-B7A6-483AF07AAFB5}"/>
    <hyperlink ref="C1318" r:id="rId1277" xr:uid="{D274369F-D245-4EEC-B05D-53681EC54448}"/>
    <hyperlink ref="C1319" r:id="rId1278" xr:uid="{CED0D711-0856-4FEE-A760-B978F2FDCD5A}"/>
    <hyperlink ref="C1320" r:id="rId1279" xr:uid="{E330827E-A596-47B3-AD74-C7B9BA2B426B}"/>
    <hyperlink ref="C1321" r:id="rId1280" xr:uid="{87B7F219-4723-4CD7-B014-8B72C61E4455}"/>
    <hyperlink ref="C1322" r:id="rId1281" xr:uid="{0681421A-5F3F-47D8-B0F9-BC35288505E9}"/>
    <hyperlink ref="C1323" r:id="rId1282" xr:uid="{C5582D2F-1EDE-4060-BCE4-C7436CCA72E3}"/>
    <hyperlink ref="C1324" r:id="rId1283" xr:uid="{2F8727BB-D645-4504-A92D-BADD99D1F2A3}"/>
    <hyperlink ref="C1325" r:id="rId1284" xr:uid="{21EE224A-5A2F-47FF-A312-113132993AC4}"/>
    <hyperlink ref="C1326" r:id="rId1285" xr:uid="{ED1534BF-7CC4-4CF7-BE88-36065EDD6BC6}"/>
    <hyperlink ref="C1327" r:id="rId1286" xr:uid="{8826B3F9-8795-42AE-99B2-AABA919B82A7}"/>
    <hyperlink ref="C1328" r:id="rId1287" xr:uid="{D79AB819-3E4D-487A-A923-6779A2B4CD9E}"/>
    <hyperlink ref="C1329" r:id="rId1288" xr:uid="{C84E468F-EB7D-4ADF-A8E5-2B9396068FDB}"/>
    <hyperlink ref="C1330" r:id="rId1289" xr:uid="{6323A910-441B-4299-BE14-98126ECC3970}"/>
    <hyperlink ref="C1331" r:id="rId1290" xr:uid="{ECCC3078-4F44-409A-90B2-9861E23C8767}"/>
    <hyperlink ref="C1332" r:id="rId1291" xr:uid="{15E080B1-29D0-4F60-9468-186F38ADAB7F}"/>
    <hyperlink ref="C1333" r:id="rId1292" xr:uid="{961AD919-F595-4453-9714-C5E533CAAF32}"/>
    <hyperlink ref="C1334" r:id="rId1293" xr:uid="{FECF7BCC-B975-4D3D-9200-5A5059ACB074}"/>
    <hyperlink ref="C1335" r:id="rId1294" xr:uid="{E181E258-3887-4E05-9B7D-43C5C429D5B2}"/>
    <hyperlink ref="C1336" r:id="rId1295" xr:uid="{57EB5A9D-4205-49A7-A9B4-3EE51AA29BD0}"/>
    <hyperlink ref="C1337" r:id="rId1296" xr:uid="{5E7FDAF5-B05B-4DDB-9BF9-D67E1CF389BD}"/>
    <hyperlink ref="C1338" r:id="rId1297" xr:uid="{BCE91D03-9996-4CD4-A176-8A743C9F9021}"/>
    <hyperlink ref="C1421" r:id="rId1298" xr:uid="{01EF1B96-A0AE-4FBF-A63A-9E7FBF0B1C29}"/>
    <hyperlink ref="C1451:C1579" r:id="rId1299" display="EMA report" xr:uid="{CAEC8499-DE1E-4FD2-92E5-41C95C012D76}"/>
    <hyperlink ref="C1431:C1569" r:id="rId1300" display="EMA report" xr:uid="{DB518DF3-64DC-410A-84C6-F504DB8CB1F9}"/>
    <hyperlink ref="C1495:C1505" r:id="rId1301" display="EMA report" xr:uid="{BA840AB5-4CCE-45B2-8506-AAFEE0D592A3}"/>
    <hyperlink ref="C1520:C1543" r:id="rId1302" display="EMA report" xr:uid="{2DA55507-C8AB-4B4B-B22F-9BB9F9607058}"/>
    <hyperlink ref="C1431:C1588" r:id="rId1303" display="EMA report" xr:uid="{24DDFDC4-B4D9-481A-A1DE-FF2D3D6AAADD}"/>
    <hyperlink ref="C1422" r:id="rId1304" xr:uid="{B22E65B6-3EE4-408A-8E6A-E4AA7CCCE37E}"/>
    <hyperlink ref="C1423" r:id="rId1305" xr:uid="{13929778-22C8-435A-A1FE-0A85F705CAE7}"/>
    <hyperlink ref="C1424" r:id="rId1306" xr:uid="{FD1258DB-8F0D-4CEF-8846-9C5B9FF708E6}"/>
    <hyperlink ref="C1425" r:id="rId1307" xr:uid="{612BAA57-B384-42E5-9812-C1337F3A6260}"/>
    <hyperlink ref="C1426" r:id="rId1308" xr:uid="{0DEAF90A-6F98-4FCD-B7B6-C8105A77D6E2}"/>
    <hyperlink ref="C1427" r:id="rId1309" xr:uid="{816F3321-BBA1-4E11-8C1E-C92CCBC4130F}"/>
    <hyperlink ref="C1428" r:id="rId1310" xr:uid="{5AFF5C05-F616-4513-8F52-36EA507EA043}"/>
    <hyperlink ref="C1429" r:id="rId1311" xr:uid="{11DEE3ED-BD6F-4F47-A957-1C89B650A43F}"/>
    <hyperlink ref="C1430" r:id="rId1312" xr:uid="{3480CAB9-C39C-450C-AE1F-068BE5738A45}"/>
    <hyperlink ref="C1432" r:id="rId1313" xr:uid="{3781D369-56C2-45CB-9780-60502253F50E}"/>
    <hyperlink ref="C1433" r:id="rId1314" xr:uid="{23593992-1949-4551-87F1-3D5D09EC7EA8}"/>
    <hyperlink ref="C1434" r:id="rId1315" xr:uid="{0C2B5661-0ED5-411D-AA3E-194092795C31}"/>
    <hyperlink ref="C1435" r:id="rId1316" xr:uid="{C7998E78-E157-4220-A247-CB99E2ECB26A}"/>
    <hyperlink ref="C1436" r:id="rId1317" xr:uid="{1C2AC4DB-D393-4E12-BA28-009B7A45B8A8}"/>
    <hyperlink ref="C1437" r:id="rId1318" xr:uid="{3EAEEDE5-5E2A-4DEA-86C0-7F9E6E3DAF8B}"/>
    <hyperlink ref="C1438" r:id="rId1319" xr:uid="{79AE5433-0333-4807-B294-073998EDFFCE}"/>
    <hyperlink ref="C1439" r:id="rId1320" xr:uid="{59CDC2FC-5DCE-4AF6-BB56-4C02174D3063}"/>
    <hyperlink ref="C1440" r:id="rId1321" xr:uid="{C6476EA0-B020-4BBC-BB7C-DED3916E6186}"/>
    <hyperlink ref="C1554" r:id="rId1322" xr:uid="{88D9AEBB-AA7D-4557-BD65-98324DEEFCB9}"/>
    <hyperlink ref="C1555" r:id="rId1323" xr:uid="{6542B4FD-A225-47DC-A433-B5E6C83C3329}"/>
    <hyperlink ref="C1556" r:id="rId1324" xr:uid="{7AA6307E-ACA6-4A1A-AE6D-7244F96F236B}"/>
    <hyperlink ref="C1557" r:id="rId1325" xr:uid="{11501711-7307-406E-B8AC-B09E06EE231A}"/>
    <hyperlink ref="C1558" r:id="rId1326" xr:uid="{3A874191-B636-484C-866F-0C8E2AF96DC4}"/>
    <hyperlink ref="C1559" r:id="rId1327" xr:uid="{A1F43BE8-A216-4BD0-B5C4-989281BDCED7}"/>
    <hyperlink ref="C1560" r:id="rId1328" xr:uid="{AF5AE99D-6ED7-4779-8729-7C220A88B64B}"/>
    <hyperlink ref="C1561" r:id="rId1329" xr:uid="{234ACA5B-F46A-4FA7-97D7-01A9DD45EDA6}"/>
    <hyperlink ref="C1562" r:id="rId1330" xr:uid="{795E7168-6171-42D3-A159-3A1361F88C8F}"/>
    <hyperlink ref="C1563" r:id="rId1331" xr:uid="{4667EB67-F07C-411E-8698-5E629B2A0E41}"/>
    <hyperlink ref="C1564" r:id="rId1332" xr:uid="{B89EE91E-4260-4FD1-B450-3866E24CBEA6}"/>
    <hyperlink ref="C1565" r:id="rId1333" xr:uid="{802FBBCD-53EE-4568-A22D-F0F6245A171A}"/>
    <hyperlink ref="C1566" r:id="rId1334" xr:uid="{A2823B8D-F2DE-4975-9F47-09C7769720D2}"/>
    <hyperlink ref="C1567" r:id="rId1335" xr:uid="{94940E5D-B626-45D8-87FB-36E37C773F8A}"/>
    <hyperlink ref="C1568" r:id="rId1336" xr:uid="{25B0A147-DB60-4A70-8DE4-E3C379966397}"/>
    <hyperlink ref="C1569" r:id="rId1337" xr:uid="{6299F59B-28D1-4E0E-9654-F83D102F1E80}"/>
    <hyperlink ref="C1441" r:id="rId1338" xr:uid="{661CF763-EB57-4284-AE6C-4B74F8568B14}"/>
    <hyperlink ref="C1442" r:id="rId1339" xr:uid="{737AF9DB-B2AB-4A2E-AC90-AD9A7ABA8068}"/>
    <hyperlink ref="C1443" r:id="rId1340" xr:uid="{01B3CE1B-0D08-4D49-8080-FD7F06B85487}"/>
    <hyperlink ref="C1444" r:id="rId1341" xr:uid="{72A13489-0635-46AD-8B0B-DC49C22D579E}"/>
    <hyperlink ref="C1445" r:id="rId1342" xr:uid="{3845FD97-8234-4DE6-B0A2-3DA3064F0FDC}"/>
    <hyperlink ref="C1446" r:id="rId1343" xr:uid="{BE7AF494-AF16-44B3-B500-75550303C91A}"/>
    <hyperlink ref="C1447" r:id="rId1344" xr:uid="{447F7782-AF9F-4F8B-BEF6-9381C1813587}"/>
    <hyperlink ref="C1448" r:id="rId1345" xr:uid="{846CDAAF-F480-4FE1-9A33-611F2E310D12}"/>
    <hyperlink ref="C1449" r:id="rId1346" xr:uid="{2777642B-29B3-4B92-986C-3EA7ED3252E7}"/>
    <hyperlink ref="C1450" r:id="rId1347" xr:uid="{FA1A051B-05C4-4BC1-B86F-44442590BD0C}"/>
    <hyperlink ref="C1544" r:id="rId1348" xr:uid="{30F0014F-250C-47E6-B0DA-2CEFD1BD54B6}"/>
    <hyperlink ref="C1545" r:id="rId1349" xr:uid="{C03AA660-79D1-4ABA-BA4C-D36B3E77E1C2}"/>
    <hyperlink ref="C1546" r:id="rId1350" xr:uid="{3651DF07-8336-418E-B69C-6D00E5E90FE6}"/>
    <hyperlink ref="C1547" r:id="rId1351" xr:uid="{75A1CDAD-E2D7-4C22-956B-04D77F7AAB12}"/>
    <hyperlink ref="C1548" r:id="rId1352" xr:uid="{55DD1B4C-8E7D-4598-B40C-3647C040DF31}"/>
    <hyperlink ref="C1549" r:id="rId1353" xr:uid="{B057911D-8E63-4838-9163-CF94CE5E674A}"/>
    <hyperlink ref="C1550" r:id="rId1354" xr:uid="{D504FEA1-AE9F-4FA7-B765-6800A5DEE1F6}"/>
    <hyperlink ref="C1551" r:id="rId1355" xr:uid="{E658FEB9-BADF-4BC2-A222-6DDB59E89555}"/>
    <hyperlink ref="C1552" r:id="rId1356" xr:uid="{E568C152-44CF-4F21-9E75-542F3623EC8B}"/>
    <hyperlink ref="C1570" r:id="rId1357" xr:uid="{53159FDF-9E4A-4AA2-A7D2-26E190037A5A}"/>
    <hyperlink ref="C1571" r:id="rId1358" xr:uid="{0541C485-1542-46D9-BEF3-85DDA414E7AA}"/>
    <hyperlink ref="C1572" r:id="rId1359" xr:uid="{7C899B3F-3CA9-460D-8CF5-4843EB676584}"/>
    <hyperlink ref="C1573" r:id="rId1360" xr:uid="{7E0FFADE-8615-41A0-8D3F-AFC69FBC85D9}"/>
    <hyperlink ref="C1574" r:id="rId1361" xr:uid="{23CE1173-67AC-41F6-81AA-8F495E414034}"/>
    <hyperlink ref="C1575" r:id="rId1362" xr:uid="{A275DA24-1251-4CCF-B4C3-D8BE28A23A64}"/>
    <hyperlink ref="C1576" r:id="rId1363" xr:uid="{78947672-C28E-4921-ABAC-D568614ED7D2}"/>
    <hyperlink ref="C1577" r:id="rId1364" xr:uid="{C9CA3A8B-3721-4E32-A108-7EE6E1887735}"/>
    <hyperlink ref="C1578" r:id="rId1365" xr:uid="{9FA41392-6A32-457E-A2A2-5D0A7DB74E33}"/>
    <hyperlink ref="C1579" r:id="rId1366" xr:uid="{AC1B2598-0367-44EA-87AA-C87AF3B4381C}"/>
    <hyperlink ref="C1580" r:id="rId1367" xr:uid="{883EB147-EEED-45F4-802E-837C73EBF600}"/>
    <hyperlink ref="C1581" r:id="rId1368" xr:uid="{AF40D66F-8ED2-4868-AAD7-F7FB2ADA2BE8}"/>
    <hyperlink ref="C1582" r:id="rId1369" xr:uid="{F0EB007B-E1F6-45D2-AF30-764326511180}"/>
    <hyperlink ref="C1583" r:id="rId1370" xr:uid="{88DFCEAA-7492-4FD2-9140-8DEEF6F652D8}"/>
    <hyperlink ref="C1584" r:id="rId1371" xr:uid="{E73D7504-7E79-4711-9E1A-2622D9352C87}"/>
    <hyperlink ref="C1585" r:id="rId1372" xr:uid="{F06577A3-F049-4540-9EE7-BC90DEF18636}"/>
    <hyperlink ref="C1586" r:id="rId1373" xr:uid="{10546125-2EB2-4F67-82BD-4A1F921D3269}"/>
    <hyperlink ref="C1587" r:id="rId1374" xr:uid="{1B7A8265-B27F-41AF-AFB7-9B482F70B4BB}"/>
    <hyperlink ref="C1588" r:id="rId1375" xr:uid="{61EC1BB9-FD97-41BA-A36F-61D329BC7294}"/>
    <hyperlink ref="C1451" r:id="rId1376" xr:uid="{647E353A-FE61-40D2-A576-03B3B4703161}"/>
    <hyperlink ref="C1452" r:id="rId1377" xr:uid="{0E4D01B0-53C5-4B83-B426-6AAF9B75FC0F}"/>
    <hyperlink ref="C1453" r:id="rId1378" xr:uid="{4539E720-9D89-4138-9FBB-5AC575652295}"/>
    <hyperlink ref="C1454" r:id="rId1379" xr:uid="{0419654E-FD7B-4791-8EC7-3C54F1FE30B4}"/>
    <hyperlink ref="C1455" r:id="rId1380" xr:uid="{5090C100-7DE4-42F4-B4E7-3C79B1E24AE4}"/>
    <hyperlink ref="C1456" r:id="rId1381" xr:uid="{D71C8F54-F311-4C78-8266-A563E5B7DDA2}"/>
    <hyperlink ref="C1457" r:id="rId1382" xr:uid="{2A0114D8-CADA-4607-81C0-821A1BBAF127}"/>
    <hyperlink ref="C1458" r:id="rId1383" xr:uid="{AAFD89CA-18EE-4139-9D5D-55E4974A075E}"/>
    <hyperlink ref="C1459" r:id="rId1384" xr:uid="{7987486A-6DED-4649-B36F-E7372423A041}"/>
    <hyperlink ref="C1460" r:id="rId1385" xr:uid="{D28F8560-DF6B-4C8B-84AA-183BEC5C17BF}"/>
    <hyperlink ref="C1461" r:id="rId1386" xr:uid="{C95EA037-64D0-4F1B-AB0B-7F47EBDBD8C1}"/>
    <hyperlink ref="C1462" r:id="rId1387" xr:uid="{446E2BD6-53B3-47F6-8A5D-01F4E4BAE341}"/>
    <hyperlink ref="C1463" r:id="rId1388" xr:uid="{763BF32D-45C0-4FFE-9141-925B9719701E}"/>
    <hyperlink ref="C1464" r:id="rId1389" xr:uid="{AE1E5257-13B9-4F69-87BD-2C77D4E0EF96}"/>
    <hyperlink ref="C1465" r:id="rId1390" xr:uid="{9D85BEE2-5E1A-4CFC-AA4E-753C3869AC88}"/>
    <hyperlink ref="C1466" r:id="rId1391" xr:uid="{E2B57DF5-0096-4EAE-A0B6-470C0796A296}"/>
    <hyperlink ref="C1467" r:id="rId1392" xr:uid="{1A85789C-9F1F-4497-98E2-A700FEB348DB}"/>
    <hyperlink ref="C1468" r:id="rId1393" xr:uid="{71BB5F42-32BF-43BE-A055-CCE6AE162456}"/>
    <hyperlink ref="C1469" r:id="rId1394" xr:uid="{1F07CD7E-21B3-4681-889E-A2B49892D62B}"/>
    <hyperlink ref="C1470" r:id="rId1395" xr:uid="{479B936C-1EDC-4DAD-A5BC-3C67D1179760}"/>
    <hyperlink ref="C1471" r:id="rId1396" xr:uid="{AE623B79-E14B-4D5A-8CA1-368C0FB208CC}"/>
    <hyperlink ref="C1472" r:id="rId1397" xr:uid="{6DACF7BE-73ED-4739-AFB5-F4EB4C8FFCE0}"/>
    <hyperlink ref="C1473" r:id="rId1398" xr:uid="{AD1C0CA4-208F-43E9-8066-B52DEE2CC40A}"/>
    <hyperlink ref="C1474" r:id="rId1399" xr:uid="{EED1CD5B-FE19-4896-9AF8-CDF667CBED32}"/>
    <hyperlink ref="C1475" r:id="rId1400" xr:uid="{42B0523B-C9D0-46D0-A105-301BC2BCD9DD}"/>
    <hyperlink ref="C1476" r:id="rId1401" xr:uid="{75763645-57AE-46D6-803A-5E9564A32CD0}"/>
    <hyperlink ref="C1477" r:id="rId1402" xr:uid="{342C0CC2-39BC-4535-B88E-E301D3DD0C5E}"/>
    <hyperlink ref="C1478" r:id="rId1403" xr:uid="{2CAB5351-7181-45EA-9438-58826B4E2F0E}"/>
    <hyperlink ref="C1479" r:id="rId1404" xr:uid="{934FBE34-C08E-429B-8D97-B9B2D1051753}"/>
    <hyperlink ref="C1480" r:id="rId1405" xr:uid="{66737094-D0F4-4A20-BCFC-452F21C3ABCC}"/>
    <hyperlink ref="C1481" r:id="rId1406" xr:uid="{FC699414-8798-4DF8-887B-3A36D06E69F1}"/>
    <hyperlink ref="C1482" r:id="rId1407" xr:uid="{8E0CA2D3-BACC-41D7-AB4F-92679432CCE2}"/>
    <hyperlink ref="C1483" r:id="rId1408" xr:uid="{85123A81-4FEF-4048-A31C-D4BE9AA9D310}"/>
    <hyperlink ref="C1484" r:id="rId1409" xr:uid="{C6EB4132-48B7-4946-8A16-983C6272EC46}"/>
    <hyperlink ref="C1485" r:id="rId1410" xr:uid="{B38BAE00-7BF4-4EF5-BAA7-2BF8C4DB2662}"/>
    <hyperlink ref="C1486" r:id="rId1411" xr:uid="{458DDFA3-7421-4421-82DE-BB4B50D4097F}"/>
    <hyperlink ref="C1487" r:id="rId1412" xr:uid="{60072F82-B1E2-4DFA-9289-F6803373FC55}"/>
    <hyperlink ref="C1488" r:id="rId1413" xr:uid="{9709C738-72CF-4526-BA23-A3B8D3F929C3}"/>
    <hyperlink ref="C1489" r:id="rId1414" xr:uid="{C17E2970-C0FA-4799-B471-448AA6FFCBB7}"/>
    <hyperlink ref="C1490" r:id="rId1415" xr:uid="{6BE7C6D4-3A6B-4B40-83FB-5AD01DCF3BEC}"/>
    <hyperlink ref="C1491" r:id="rId1416" xr:uid="{56975676-0D4E-47F5-9451-F1B308C14029}"/>
    <hyperlink ref="C1492" r:id="rId1417" xr:uid="{C6ACF42D-80E6-4D60-A75B-368022156E79}"/>
    <hyperlink ref="C1493" r:id="rId1418" xr:uid="{E90181CF-943F-415C-A7E7-E141A8E634B8}"/>
    <hyperlink ref="C1494" r:id="rId1419" xr:uid="{5ED47FD3-E112-4EC7-8EA1-D3A2B7ED31EC}"/>
    <hyperlink ref="C1495" r:id="rId1420" xr:uid="{7ACBDB47-0477-41D7-A5A8-B38762646566}"/>
    <hyperlink ref="C1496" r:id="rId1421" xr:uid="{638EC30F-000D-4420-87E9-D0B791259BCA}"/>
    <hyperlink ref="C1497" r:id="rId1422" xr:uid="{D557E1CE-89A1-4A3C-84C0-F30443D3AD5E}"/>
    <hyperlink ref="C1498" r:id="rId1423" xr:uid="{48D8E034-4B8C-46CF-8C9F-7A257FE82607}"/>
    <hyperlink ref="C1499" r:id="rId1424" xr:uid="{1ECF1C2C-DA9C-42E7-B7A8-CD00E2CA352D}"/>
    <hyperlink ref="C1500" r:id="rId1425" xr:uid="{F59843EC-D57B-4D08-8594-E2407AD4B6A6}"/>
    <hyperlink ref="C1501" r:id="rId1426" xr:uid="{D0E9D4AD-85AE-4F5A-AB6F-3B354EC3E5A6}"/>
    <hyperlink ref="C1502" r:id="rId1427" xr:uid="{5A0EDBEC-BC07-4762-8010-DA86620EFD14}"/>
    <hyperlink ref="C1503" r:id="rId1428" xr:uid="{A24F7E1B-5B6B-492A-8FE3-D0C83651A853}"/>
    <hyperlink ref="C1504" r:id="rId1429" xr:uid="{C5A6DF5A-05C2-4F14-B10E-7342AD075DC1}"/>
    <hyperlink ref="C1505" r:id="rId1430" xr:uid="{B3AFA8D9-1AE3-4FF8-97E8-C7367D50332C}"/>
    <hyperlink ref="C1506" r:id="rId1431" xr:uid="{9CD66571-9859-499D-A85B-2F50194A2134}"/>
    <hyperlink ref="C1507" r:id="rId1432" xr:uid="{1A76F80B-9FA1-42CB-B01A-023887E42F45}"/>
    <hyperlink ref="C1508" r:id="rId1433" xr:uid="{EFFCBB26-BD70-47A4-83FC-286FCE211BB1}"/>
    <hyperlink ref="C1509" r:id="rId1434" xr:uid="{AEF5632D-C27C-4631-AD45-93F1DC295606}"/>
    <hyperlink ref="C1510" r:id="rId1435" xr:uid="{1C4BD40E-B1DB-455B-9DEF-23CC7CE57D9B}"/>
    <hyperlink ref="C1511" r:id="rId1436" xr:uid="{B220CDB5-3BA0-4237-A8C2-759A0BDCCAE9}"/>
    <hyperlink ref="C1512" r:id="rId1437" xr:uid="{B9647604-4825-4A42-9455-FD36DD499D78}"/>
    <hyperlink ref="C1513" r:id="rId1438" xr:uid="{3A2D5C60-F454-402F-9C44-B2D18F5999A2}"/>
    <hyperlink ref="C1514" r:id="rId1439" xr:uid="{695ACF45-94F4-463A-AA1D-09030FD02A0C}"/>
    <hyperlink ref="C1515" r:id="rId1440" xr:uid="{D1F87792-8FA5-47AE-BD4E-85037D582A0C}"/>
    <hyperlink ref="C1516" r:id="rId1441" xr:uid="{E1A5F053-0DC6-410C-98BE-B680ABC5B885}"/>
    <hyperlink ref="C1517" r:id="rId1442" xr:uid="{98D9E487-0BBA-441C-BC4D-9C641C08D400}"/>
    <hyperlink ref="C1518" r:id="rId1443" xr:uid="{CE3E74C2-ECF2-4501-B128-DF404E5A9328}"/>
    <hyperlink ref="C1519" r:id="rId1444" xr:uid="{4934D32F-A416-4B0F-8C44-9BB97DE06B0B}"/>
    <hyperlink ref="C1520" r:id="rId1445" xr:uid="{2C347FA3-8DB0-4D64-A745-6CE21DA58826}"/>
    <hyperlink ref="C1521" r:id="rId1446" xr:uid="{F51A53E9-5547-4247-B2CA-C7618CD094E4}"/>
    <hyperlink ref="C1522" r:id="rId1447" xr:uid="{7B57312F-1DA9-4344-8A6A-2E644E2DF2BB}"/>
    <hyperlink ref="C1523" r:id="rId1448" xr:uid="{11C0BC6F-CE6B-4DFC-9954-36CF40C6797D}"/>
    <hyperlink ref="C1524" r:id="rId1449" xr:uid="{B68852A4-D59B-4E87-8155-A6A12CF12FB9}"/>
    <hyperlink ref="C1525" r:id="rId1450" xr:uid="{4C73B2AE-C810-4B4B-984A-537F7242AB82}"/>
    <hyperlink ref="C1526" r:id="rId1451" xr:uid="{ED651D87-8D15-434A-BA5F-DFFDC695970D}"/>
    <hyperlink ref="C1527" r:id="rId1452" xr:uid="{1FF76FC5-361B-4C80-8946-BA8DFA5C2E1E}"/>
    <hyperlink ref="C1528" r:id="rId1453" xr:uid="{C1B5AD11-DFD4-471C-A1F4-2A52AC712DB8}"/>
    <hyperlink ref="C1529" r:id="rId1454" xr:uid="{9D479A60-F75C-4035-ACD9-355B529FBEED}"/>
    <hyperlink ref="C1530" r:id="rId1455" xr:uid="{17AA7EBB-618F-4223-9620-C7AE2061EF6F}"/>
    <hyperlink ref="C1531" r:id="rId1456" xr:uid="{10E55F22-38DE-4AFE-93FB-6D770F46590A}"/>
    <hyperlink ref="C1533" r:id="rId1457" xr:uid="{6EC358F7-912A-4E33-8B66-C1289A3FE4BE}"/>
    <hyperlink ref="C1534" r:id="rId1458" xr:uid="{DD139574-F862-4A79-A885-F6FB0AFA4049}"/>
    <hyperlink ref="C1535" r:id="rId1459" xr:uid="{1575E792-3B91-4E2F-BEC5-FE97C28C53ED}"/>
    <hyperlink ref="C1536" r:id="rId1460" xr:uid="{1D016F7E-3ABB-452C-AD75-757B1AF07048}"/>
    <hyperlink ref="C1537" r:id="rId1461" xr:uid="{8F8F6B79-650A-4209-831E-8809535B3CD9}"/>
    <hyperlink ref="C1538" r:id="rId1462" xr:uid="{7BB57492-4CA0-4EF5-8566-232A0413BE13}"/>
    <hyperlink ref="C1539" r:id="rId1463" xr:uid="{D4F13186-2C1C-45DB-B663-B4E519618BCD}"/>
    <hyperlink ref="C1540" r:id="rId1464" xr:uid="{3FD62F08-4C0D-4E63-A35B-2CD364A7A920}"/>
    <hyperlink ref="C1541" r:id="rId1465" xr:uid="{B5BBE926-B00E-4442-80D6-CAD5EDBDF224}"/>
    <hyperlink ref="C1542" r:id="rId1466" xr:uid="{4C1AF81D-AB5F-477C-B4A3-1E8E7C93CD16}"/>
    <hyperlink ref="C1543" r:id="rId1467" xr:uid="{49F5B30C-1187-46A5-B2B2-F2D51E425B1D}"/>
    <hyperlink ref="C1596" r:id="rId1468" xr:uid="{7A81058E-6742-4F68-A7B4-F72655924AFE}"/>
    <hyperlink ref="C1610" r:id="rId1469" xr:uid="{7EE21777-F33F-4D35-B316-6C6BD2D0B41A}"/>
    <hyperlink ref="C1603" r:id="rId1470" xr:uid="{9EB50381-C200-49D9-9ADD-8113A3BA2D96}"/>
    <hyperlink ref="C1589" r:id="rId1471" xr:uid="{F7DC5063-2B61-406A-A361-65DA456719B8}"/>
    <hyperlink ref="C1590" r:id="rId1472" xr:uid="{558D8671-8321-4AF0-ACAC-14017997910C}"/>
    <hyperlink ref="C1591" r:id="rId1473" xr:uid="{9355BBA6-5874-4EE0-85D3-C6C861DEE8F6}"/>
    <hyperlink ref="C1592" r:id="rId1474" xr:uid="{05145E91-9030-4F03-95FE-B40F8D126540}"/>
    <hyperlink ref="C1593" r:id="rId1475" xr:uid="{EA90AD01-FD4C-4061-85D7-AF3BA54ACB74}"/>
    <hyperlink ref="C1594" r:id="rId1476" xr:uid="{EF40C7A7-1101-4506-BFC5-E21F0945AB74}"/>
    <hyperlink ref="C1595" r:id="rId1477" xr:uid="{867231AD-C094-4C75-BE1D-6210B6E5AC39}"/>
    <hyperlink ref="C1597" r:id="rId1478" xr:uid="{A20C8AB9-1490-4F53-818A-98EFA70F2C35}"/>
    <hyperlink ref="C1598" r:id="rId1479" xr:uid="{AB03DC52-D3AE-4B80-AB95-EE886489092F}"/>
    <hyperlink ref="C1599" r:id="rId1480" xr:uid="{CDA0B08A-117F-478D-8470-99C76040D0D4}"/>
    <hyperlink ref="C1600" r:id="rId1481" xr:uid="{5EB4D7EE-3E68-4960-83E6-ED18DDF5302C}"/>
    <hyperlink ref="C1601" r:id="rId1482" xr:uid="{C0C141EA-8F25-4204-8324-CD78A33133FB}"/>
    <hyperlink ref="C1602" r:id="rId1483" xr:uid="{A92AB5DE-0AD1-4019-8B0A-85F84ACB0C95}"/>
    <hyperlink ref="C1604" r:id="rId1484" xr:uid="{301B491F-F7C4-431F-8D3A-916CAEA9583B}"/>
    <hyperlink ref="C1605" r:id="rId1485" xr:uid="{665B7AE5-0C00-427F-874C-04CAF0FEC1FF}"/>
    <hyperlink ref="C1606" r:id="rId1486" xr:uid="{8389E737-BCB1-41BD-AEBA-ED53166688B6}"/>
    <hyperlink ref="C1607" r:id="rId1487" xr:uid="{7669C9FC-00D9-4495-87AC-9E829C09CB89}"/>
    <hyperlink ref="C1608" r:id="rId1488" xr:uid="{6865FAF6-73CF-437D-82C5-EBF335B003F1}"/>
    <hyperlink ref="C1609" r:id="rId1489" xr:uid="{40043A85-8B07-4643-8176-BD6FA8184B6C}"/>
    <hyperlink ref="C1611" r:id="rId1490" xr:uid="{F969BC0E-110A-4F05-A986-AEA85605DF9F}"/>
    <hyperlink ref="C1612" r:id="rId1491" xr:uid="{3206DFF5-EB28-4933-A351-EA0716D623A4}"/>
    <hyperlink ref="C1613" r:id="rId1492" xr:uid="{CD8CBF47-5C01-47E7-9C79-736BAD081600}"/>
    <hyperlink ref="C1614" r:id="rId1493" xr:uid="{412FEB9E-E253-4F8B-AE29-D6C9FC87A8FD}"/>
    <hyperlink ref="C1615" r:id="rId1494" xr:uid="{B4391392-BD9D-4E52-BB84-F2FBEE130DB4}"/>
    <hyperlink ref="C1616" r:id="rId1495" xr:uid="{16C66D3F-5235-42E6-9371-2A4214121A9A}"/>
    <hyperlink ref="C1617" r:id="rId1496" xr:uid="{BC69C8A8-5796-4B23-8330-8AB9C1974713}"/>
    <hyperlink ref="C1618" r:id="rId1497" xr:uid="{2943C9A3-B077-435B-B265-810EDC622A9A}"/>
    <hyperlink ref="C1619" r:id="rId1498" xr:uid="{57D89989-C06F-4EAD-94F5-6CE2CF5F9FE0}"/>
    <hyperlink ref="C1620" r:id="rId1499" xr:uid="{8AF7C6D2-FE28-49EB-BDEE-75B70D2D7388}"/>
    <hyperlink ref="C1621" r:id="rId1500" xr:uid="{D29645FB-37FE-4585-8E32-9E015526BDF4}"/>
    <hyperlink ref="C1622" r:id="rId1501" xr:uid="{A554C946-D02B-4793-B65B-7843A3F1784C}"/>
    <hyperlink ref="C1623" r:id="rId1502" xr:uid="{82977CB2-BC85-4C9A-B966-0EFF18206C10}"/>
    <hyperlink ref="C1624" r:id="rId1503" xr:uid="{410E9F70-6F0F-4406-8636-7F5EF42AC41E}"/>
    <hyperlink ref="C1625" r:id="rId1504" xr:uid="{11DCFDBA-ABCC-48CA-AC7E-C08A4923BFE4}"/>
    <hyperlink ref="C1626" r:id="rId1505" xr:uid="{8A5EFF1B-D285-440D-9020-08BF07BB9DAE}"/>
    <hyperlink ref="C1627" r:id="rId1506" xr:uid="{018D8412-6E95-4B34-8266-ADD7981A03B1}"/>
    <hyperlink ref="C1628" r:id="rId1507" xr:uid="{61971E8D-6721-4209-B7BB-9E8340B39CA8}"/>
    <hyperlink ref="C1629" r:id="rId1508" xr:uid="{B14097AF-C9A4-4816-BF7C-9C0843C2BAEF}"/>
    <hyperlink ref="C1630" r:id="rId1509" xr:uid="{7B990931-A514-4626-A253-4DADF61E0FC2}"/>
    <hyperlink ref="C1631" r:id="rId1510" xr:uid="{CEB6803E-68FA-44B9-8ED0-EE92C3E384E8}"/>
    <hyperlink ref="C1643" r:id="rId1511" xr:uid="{D4CAA62C-7648-4212-AA69-54271CAB7126}"/>
    <hyperlink ref="C1649" r:id="rId1512" xr:uid="{1D4394CC-B62C-485B-8AC0-67E12F1A7F17}"/>
    <hyperlink ref="C1702" r:id="rId1513" xr:uid="{FEDE547E-D5FC-4C13-A1E7-6860C5CC9216}"/>
    <hyperlink ref="C1655" r:id="rId1514" xr:uid="{81921357-837D-461E-82EE-4B5C1B3C79B0}"/>
    <hyperlink ref="C1632" r:id="rId1515" xr:uid="{E711DFE5-174C-43D6-84F5-DDCA24A41129}"/>
    <hyperlink ref="C1633" r:id="rId1516" xr:uid="{4507F413-72F8-4814-AE4A-61A4F6684A11}"/>
    <hyperlink ref="C1634" r:id="rId1517" xr:uid="{D1180FE2-56B1-48A4-AA99-A8C112E4627C}"/>
    <hyperlink ref="C1635" r:id="rId1518" xr:uid="{397AC452-FC23-498A-8DA0-07C19AA8342C}"/>
    <hyperlink ref="C1636" r:id="rId1519" xr:uid="{2FBD56E9-FF75-48A6-AC70-A824688DB1FB}"/>
    <hyperlink ref="C1637" r:id="rId1520" xr:uid="{48AFA00D-80A4-4CED-8155-E7E50E0F1198}"/>
    <hyperlink ref="C1638" r:id="rId1521" xr:uid="{D1E58CF8-F276-40AC-AC71-066236D2A25C}"/>
    <hyperlink ref="C1639" r:id="rId1522" xr:uid="{8F8560CB-6023-485D-85E4-F852BE7A7B4C}"/>
    <hyperlink ref="C1640" r:id="rId1523" xr:uid="{9263319C-A1C4-4C9D-B6F3-606A399F4637}"/>
    <hyperlink ref="C1641" r:id="rId1524" xr:uid="{5C693719-05BD-4B8F-A53E-5DF44B48431D}"/>
    <hyperlink ref="C1642" r:id="rId1525" xr:uid="{6804D31F-CA51-4626-920D-EEF348710E73}"/>
    <hyperlink ref="C1644" r:id="rId1526" xr:uid="{59649C23-36B3-43FA-8F27-B1AE99577268}"/>
    <hyperlink ref="C1645" r:id="rId1527" xr:uid="{FA87F82C-EAE7-4FF4-B86E-FAD50D67DCF6}"/>
    <hyperlink ref="C1646" r:id="rId1528" xr:uid="{C2F435E9-EB6A-4576-AF40-630644E30613}"/>
    <hyperlink ref="C1647" r:id="rId1529" xr:uid="{7F4A666B-9FF9-4404-8DFC-4719B8695B39}"/>
    <hyperlink ref="C1648" r:id="rId1530" xr:uid="{7CD0B677-8038-4BA6-ADC8-EFF879C19A61}"/>
    <hyperlink ref="C1650" r:id="rId1531" xr:uid="{582C2AE7-AF75-4E48-9F73-DA88AF4445E2}"/>
    <hyperlink ref="C1651" r:id="rId1532" xr:uid="{89A8A3FE-F138-4A43-9D3F-193F1F77FC2D}"/>
    <hyperlink ref="C1652" r:id="rId1533" xr:uid="{2A429BFF-DABD-472A-A17D-10C08CEBE48E}"/>
    <hyperlink ref="C1653" r:id="rId1534" xr:uid="{5841B8E0-DDF4-4484-8FFC-82D27D0D6E09}"/>
    <hyperlink ref="C1654" r:id="rId1535" xr:uid="{5430060B-C848-44D5-BF0D-F7E69E1073F1}"/>
    <hyperlink ref="C1656" r:id="rId1536" xr:uid="{E017A5CD-8944-4EFD-B59F-28430E693A95}"/>
    <hyperlink ref="C1657" r:id="rId1537" xr:uid="{5C320E17-43CB-4027-ADD8-398FD5E299BD}"/>
    <hyperlink ref="C1658" r:id="rId1538" xr:uid="{1C13350B-B4E6-4709-AED3-CA5CF35ECDA5}"/>
    <hyperlink ref="C1659" r:id="rId1539" xr:uid="{1CCBAFD5-967F-472F-8D69-48921C5C6707}"/>
    <hyperlink ref="C1660" r:id="rId1540" xr:uid="{FFDE4A64-DDA1-44DF-AA02-259AC1996351}"/>
    <hyperlink ref="C1661" r:id="rId1541" xr:uid="{7709A01B-8B08-4FFC-A04C-F44CA026C894}"/>
    <hyperlink ref="C1662" r:id="rId1542" xr:uid="{DB339C01-9116-4B8F-B2DF-4AC3970064E5}"/>
    <hyperlink ref="C1663" r:id="rId1543" xr:uid="{EDF65F82-9FAB-436D-8587-61EAB5D1DF99}"/>
    <hyperlink ref="C1664" r:id="rId1544" xr:uid="{7230269C-7BA3-4F76-9952-3DBF2C27B856}"/>
    <hyperlink ref="C1665" r:id="rId1545" xr:uid="{9D3B0103-A570-447D-A0F8-11985465A951}"/>
    <hyperlink ref="C1666" r:id="rId1546" xr:uid="{66A93B53-1F99-49A5-9A1B-A6B04F474F46}"/>
    <hyperlink ref="C1667" r:id="rId1547" xr:uid="{EF8C565B-FDBB-4D09-ACC3-C69BB3736C0F}"/>
    <hyperlink ref="C1668" r:id="rId1548" xr:uid="{4A14BCC3-0457-4B22-99D0-F6ACF6C1517A}"/>
    <hyperlink ref="C1669" r:id="rId1549" xr:uid="{F4BE8627-F51F-4D8A-A763-D886F29376CD}"/>
    <hyperlink ref="C1670" r:id="rId1550" xr:uid="{39DE42C6-F24F-4611-8138-F1424FA9257E}"/>
    <hyperlink ref="C1691" r:id="rId1551" xr:uid="{77C27910-934F-42D6-82EC-7B3F23446BF1}"/>
    <hyperlink ref="C1692" r:id="rId1552" xr:uid="{DECBDEB0-1A34-4E39-AB48-865E94A634D7}"/>
    <hyperlink ref="C1693" r:id="rId1553" xr:uid="{87AD3F14-B157-4EE5-BC6B-EFB8B2F7683C}"/>
    <hyperlink ref="C1694" r:id="rId1554" xr:uid="{E96AA32C-3EA1-4604-A641-75B50E3D1158}"/>
    <hyperlink ref="C1695" r:id="rId1555" xr:uid="{621DC80C-216E-4A2A-8A7D-9BA8D58FC5C1}"/>
    <hyperlink ref="C1696" r:id="rId1556" xr:uid="{2D3592B2-68A6-4369-9FF0-C626846E885D}"/>
    <hyperlink ref="C1697" r:id="rId1557" xr:uid="{AAC654C6-4E8A-4DF4-830D-5C5ECB0C76EA}"/>
    <hyperlink ref="C1698" r:id="rId1558" xr:uid="{1D8304E7-5A6B-4AAA-B26B-2E5F3CC674AD}"/>
    <hyperlink ref="C1699" r:id="rId1559" xr:uid="{DD8BF442-FCB7-477F-ADFD-3B90F73A7516}"/>
    <hyperlink ref="C1700" r:id="rId1560" xr:uid="{E831DA66-8641-4DCA-9921-678334CD2A4B}"/>
    <hyperlink ref="C1701" r:id="rId1561" xr:uid="{D26F47B0-5577-4058-9F6B-931E4724C33C}"/>
    <hyperlink ref="C1703" r:id="rId1562" xr:uid="{6AB66956-50A7-48A9-A125-A38FD8AFDE25}"/>
    <hyperlink ref="C1704" r:id="rId1563" xr:uid="{C6FE91C7-323F-4D8D-9F83-4FADA2C42E5E}"/>
    <hyperlink ref="C1705" r:id="rId1564" xr:uid="{4AE2C6CA-B912-4264-B2FF-2BF76B09A251}"/>
    <hyperlink ref="C1706" r:id="rId1565" xr:uid="{8F2162DC-E756-4FF7-AD68-E0818F9AFC61}"/>
    <hyperlink ref="C1707" r:id="rId1566" xr:uid="{7B697F8D-FD74-417B-8F24-BC0BC90ECEA3}"/>
    <hyperlink ref="C1708" r:id="rId1567" xr:uid="{CE534E6C-8BAF-498C-ADA3-5FCC85F94591}"/>
    <hyperlink ref="C1709" r:id="rId1568" xr:uid="{A09EE3B7-BB83-404D-8A42-F3C54673F815}"/>
    <hyperlink ref="C1710" r:id="rId1569" xr:uid="{EC416FEB-2891-4E83-AECF-24F9805034C8}"/>
    <hyperlink ref="C1711" r:id="rId1570" xr:uid="{A3B1173A-D468-4800-8C59-7C21F9F779C2}"/>
    <hyperlink ref="C1712" r:id="rId1571" xr:uid="{9631F12F-628D-46F9-9091-BCAFBFE175CE}"/>
    <hyperlink ref="C1713" r:id="rId1572" xr:uid="{606470E4-F318-44DB-A65B-E97AF45D88F6}"/>
    <hyperlink ref="C1714" r:id="rId1573" xr:uid="{A293670C-5D70-4E57-AA49-C6D62FC42D37}"/>
    <hyperlink ref="C1715" r:id="rId1574" xr:uid="{7AE56C35-26AE-45B4-BA51-38B3672089DB}"/>
    <hyperlink ref="C1716" r:id="rId1575" xr:uid="{9460F774-73B0-4698-87FD-966917B9ED1F}"/>
    <hyperlink ref="C1717" r:id="rId1576" xr:uid="{D4345311-FD92-4A2E-AAED-2AD666FCAAB9}"/>
    <hyperlink ref="C1718" r:id="rId1577" xr:uid="{F9AC7FAE-F4FD-441B-B7B9-D8C70224A1FB}"/>
    <hyperlink ref="C1719" r:id="rId1578" xr:uid="{DA656632-A8F9-4CF8-98F9-5E1E25FB4241}"/>
    <hyperlink ref="C1780" r:id="rId1579" xr:uid="{EF0C99C0-DF0D-4B7B-A58C-E417BBA745D7}"/>
    <hyperlink ref="C1781" r:id="rId1580" xr:uid="{445B8928-B2EA-4A98-AEC1-2BE9E0994694}"/>
    <hyperlink ref="C1782" r:id="rId1581" xr:uid="{E8C705D6-CFEC-47CE-BDBC-1B07074E28AE}"/>
    <hyperlink ref="C1783" r:id="rId1582" xr:uid="{C4D1D959-A1E1-415D-B33E-D4552871DBEE}"/>
    <hyperlink ref="C1784" r:id="rId1583" xr:uid="{EC361F50-8B6B-4072-B2B6-D9E81B343E1D}"/>
    <hyperlink ref="C1785" r:id="rId1584" xr:uid="{28440E50-EF1F-4E5D-92DA-A4C4D4F8003F}"/>
    <hyperlink ref="C1786" r:id="rId1585" xr:uid="{C6B2834D-9541-4DDE-8278-555F5288F52A}"/>
    <hyperlink ref="C1787" r:id="rId1586" xr:uid="{FEF5A8C5-DEE2-439A-B9BF-57D6D92DE22A}"/>
    <hyperlink ref="C1788" r:id="rId1587" xr:uid="{EB531396-9E89-4B0F-9261-AED0D1BF1C37}"/>
    <hyperlink ref="C1789" r:id="rId1588" xr:uid="{E5606D10-C43A-4150-9A75-FAFA2DB3F3E5}"/>
    <hyperlink ref="C1790" r:id="rId1589" xr:uid="{08865647-C529-4674-AA32-7E3A2BC94996}"/>
    <hyperlink ref="C1791" r:id="rId1590" xr:uid="{186A42C8-3EC8-48FE-A390-0C2EFB681B5C}"/>
    <hyperlink ref="C1792" r:id="rId1591" xr:uid="{F4548028-D34B-4EBE-B8D6-8257A28C2CA4}"/>
    <hyperlink ref="C1793" r:id="rId1592" xr:uid="{D7DD3CB3-C2A6-4173-836E-1928B7607FB3}"/>
    <hyperlink ref="C1794" r:id="rId1593" xr:uid="{3D78ABD0-6AC4-413A-AEF3-140610D7CEDD}"/>
    <hyperlink ref="C1795" r:id="rId1594" xr:uid="{55F5573F-661F-49B4-9684-3F9AA8C55E38}"/>
    <hyperlink ref="C1796" r:id="rId1595" xr:uid="{8940F533-139D-4963-9A3E-A69583FA81DF}"/>
    <hyperlink ref="C1797" r:id="rId1596" xr:uid="{726A5C64-B83B-468C-B710-1235E44B28D5}"/>
    <hyperlink ref="C1798" r:id="rId1597" xr:uid="{0B73F64F-8551-4EC0-B7D6-EAE0F0952A42}"/>
    <hyperlink ref="C1799" r:id="rId1598" xr:uid="{D0C5B89D-8C7D-4569-BC46-5C8E197DAC49}"/>
    <hyperlink ref="C1671" r:id="rId1599" xr:uid="{203ACFBB-00DA-4547-8E13-7F73072FD378}"/>
    <hyperlink ref="C1672" r:id="rId1600" xr:uid="{091FA4E2-3EA1-4E8D-814B-42420675490F}"/>
    <hyperlink ref="C1673" r:id="rId1601" xr:uid="{A2A22CE6-B032-4206-BB4A-AFFEB40F042C}"/>
    <hyperlink ref="C1674" r:id="rId1602" xr:uid="{3B73656D-3C86-4393-A935-1E42DF30DBDC}"/>
    <hyperlink ref="C1675" r:id="rId1603" xr:uid="{0B387E73-37D4-43DC-AC35-F8F095254C12}"/>
    <hyperlink ref="C1676" r:id="rId1604" xr:uid="{543C3685-1C2B-4D6D-91C8-2CA521724646}"/>
    <hyperlink ref="C1679" r:id="rId1605" xr:uid="{34385ADF-9A40-4FB0-8E6B-54033262C183}"/>
    <hyperlink ref="C1680" r:id="rId1606" xr:uid="{FECD6DAE-CDE0-4162-A882-264D8F8D028A}"/>
    <hyperlink ref="C1681" r:id="rId1607" xr:uid="{52406B42-A304-4F44-920A-8ACC4634F103}"/>
    <hyperlink ref="C1682" r:id="rId1608" xr:uid="{B6E651BB-A6CC-44F1-92C2-92E7C316B9C7}"/>
    <hyperlink ref="C1683" r:id="rId1609" xr:uid="{427BEDEF-D217-4B23-852D-8AFEBB892580}"/>
    <hyperlink ref="C1684" r:id="rId1610" xr:uid="{10D66C7D-3896-4552-B55C-AF89A641723B}"/>
    <hyperlink ref="C1685" r:id="rId1611" xr:uid="{BA08D4A6-03E1-4F3D-BC0A-66AD03791433}"/>
    <hyperlink ref="C1686" r:id="rId1612" xr:uid="{9321D34D-8458-4B82-9DA9-FF4F3CC7FE00}"/>
    <hyperlink ref="C1687" r:id="rId1613" xr:uid="{AFD11DE6-620C-4A57-80DE-AB7EE6A0878E}"/>
    <hyperlink ref="C1688" r:id="rId1614" xr:uid="{355914A1-DDF4-40A3-BDB8-FFBF8D650264}"/>
    <hyperlink ref="C1689" r:id="rId1615" xr:uid="{FB1266D8-C12D-45B1-9934-C339ADCDA6D4}"/>
    <hyperlink ref="C1690" r:id="rId1616" xr:uid="{F1437A02-4A9E-4A93-B1B3-4A5F16C28FC1}"/>
    <hyperlink ref="C1720" r:id="rId1617" xr:uid="{F18263DC-AC44-489D-8881-BAD8100D5794}"/>
    <hyperlink ref="C1721" r:id="rId1618" xr:uid="{3CD017CE-781E-485D-90BC-37E2E93925BD}"/>
    <hyperlink ref="C1722" r:id="rId1619" xr:uid="{B3287F13-8B25-4935-AFBA-2BE5F435D463}"/>
    <hyperlink ref="C1723" r:id="rId1620" xr:uid="{B12516F1-4E10-441D-95FF-4318CC13A2E0}"/>
    <hyperlink ref="C1724" r:id="rId1621" xr:uid="{F8A9BB38-B620-404A-8171-8DAD800CA311}"/>
    <hyperlink ref="C1741" r:id="rId1622" xr:uid="{1A54840F-C881-40E9-A1F5-FB83A163C67E}"/>
    <hyperlink ref="C1742" r:id="rId1623" xr:uid="{709A0240-9606-4BFF-93FD-FA2C7BC5EE2D}"/>
    <hyperlink ref="C1743" r:id="rId1624" xr:uid="{136E1791-162D-4A4B-88F6-89E3DB51E6EB}"/>
    <hyperlink ref="C1744" r:id="rId1625" xr:uid="{A894400E-CAF5-4E63-8D53-596ADD41FC63}"/>
    <hyperlink ref="C1745" r:id="rId1626" xr:uid="{D1A28E39-851B-4F8F-88D5-740F9CE366F4}"/>
    <hyperlink ref="C1746" r:id="rId1627" xr:uid="{826BDDBC-22E0-4EBB-94A8-9DF382FAC7FA}"/>
    <hyperlink ref="C1747" r:id="rId1628" xr:uid="{548024CD-46EE-48B4-B9A0-D6AC93B6DFB4}"/>
    <hyperlink ref="C1748" r:id="rId1629" xr:uid="{60DF3D5A-E1D4-447D-B533-0E01A5954B71}"/>
    <hyperlink ref="C1749" r:id="rId1630" xr:uid="{22B3BC77-A722-494A-9A9C-676AB55212DB}"/>
    <hyperlink ref="C1750" r:id="rId1631" xr:uid="{1A5E2055-E976-494C-B4AE-D7A921107E8F}"/>
    <hyperlink ref="C1751" r:id="rId1632" xr:uid="{1F1E65F6-872C-428F-A6CA-1E2DBD19895F}"/>
    <hyperlink ref="C1752" r:id="rId1633" xr:uid="{29C0DB15-C4A9-47D7-AFE4-3EBA6089F5D2}"/>
    <hyperlink ref="C1753" r:id="rId1634" xr:uid="{4C2F0849-4672-4F27-8B0D-4F02C7B407AF}"/>
    <hyperlink ref="C1754" r:id="rId1635" xr:uid="{58A8F381-DC42-4B36-8503-A20015C63AA2}"/>
    <hyperlink ref="C1755" r:id="rId1636" xr:uid="{435C12B6-EBB6-434D-B662-9C2B1BD491B5}"/>
    <hyperlink ref="C1756" r:id="rId1637" xr:uid="{0679E12F-4A39-441C-903B-801C2705A5F9}"/>
    <hyperlink ref="C1757" r:id="rId1638" xr:uid="{CEEA6283-C1B0-4BF8-9B71-2131B9EAEFFB}"/>
    <hyperlink ref="C1758" r:id="rId1639" xr:uid="{94A78444-38B9-4ED3-B2A5-3C6097594EAF}"/>
    <hyperlink ref="C1759" r:id="rId1640" xr:uid="{0B770427-128B-4C9D-8FA9-C700007785E0}"/>
    <hyperlink ref="C1760" r:id="rId1641" xr:uid="{48CA3685-880E-47EE-B18B-D7CD739EA2B5}"/>
    <hyperlink ref="C1761" r:id="rId1642" xr:uid="{9C7E03E1-61C8-4B8B-AF96-8263B4B3E737}"/>
    <hyperlink ref="C1762" r:id="rId1643" xr:uid="{13FB1786-BC3B-4638-8017-909C24660FF4}"/>
    <hyperlink ref="C1763" r:id="rId1644" xr:uid="{B36524C5-0F3C-4D30-A028-7F4697E0729E}"/>
    <hyperlink ref="C1764" r:id="rId1645" xr:uid="{28AD830D-298E-490C-A337-D5F6BA415DDF}"/>
    <hyperlink ref="C1765" r:id="rId1646" xr:uid="{5DE5503A-AD91-4C25-BBDF-D445960CA62D}"/>
    <hyperlink ref="C1766" r:id="rId1647" xr:uid="{95813574-637A-43AD-BABB-A55381376100}"/>
    <hyperlink ref="C1767" r:id="rId1648" xr:uid="{22B9F77E-32C2-4F5D-89F8-8C242791A629}"/>
    <hyperlink ref="C1768" r:id="rId1649" xr:uid="{E5B6F09A-7AE2-40F4-8899-34442928BA43}"/>
    <hyperlink ref="C1769" r:id="rId1650" xr:uid="{83EC47B6-F872-429E-9AEB-98FE8016EC2C}"/>
    <hyperlink ref="C1770" r:id="rId1651" xr:uid="{503EE62D-6FC6-4B80-87B0-AA47C9BC9348}"/>
    <hyperlink ref="C1771" r:id="rId1652" xr:uid="{A7A55170-452C-4E77-8B82-A5DF576BC02D}"/>
    <hyperlink ref="C1772" r:id="rId1653" xr:uid="{96CB1D68-9325-4F5D-9EDB-5C303C5E9DAD}"/>
    <hyperlink ref="C1773" r:id="rId1654" xr:uid="{88D6BA7B-4030-4336-8A75-FDBF7401C7A8}"/>
    <hyperlink ref="C1774" r:id="rId1655" xr:uid="{D06C6D2A-6F49-4F49-8162-4F7D768AF973}"/>
    <hyperlink ref="C1775" r:id="rId1656" xr:uid="{663CC988-0BA9-45D0-9C00-AD71E5DA3563}"/>
    <hyperlink ref="C1776" r:id="rId1657" xr:uid="{78A7C32D-9BD5-473C-AEAD-168BF11B5703}"/>
    <hyperlink ref="C1777" r:id="rId1658" xr:uid="{F5C02600-87F0-469C-99D8-6C4585470021}"/>
    <hyperlink ref="C1778" r:id="rId1659" xr:uid="{4689D83E-E75F-40AC-BBF1-A2B900F72780}"/>
    <hyperlink ref="C1779" r:id="rId1660" xr:uid="{F9BF7A92-F33E-457C-AC1E-D7DF90AB88AD}"/>
    <hyperlink ref="C1725" r:id="rId1661" xr:uid="{6C9C5BAB-A562-4FEB-A41E-36436D890C78}"/>
    <hyperlink ref="C1726" r:id="rId1662" xr:uid="{6BAF5A60-5368-4C65-A5E2-0963FA7B4183}"/>
    <hyperlink ref="C1727" r:id="rId1663" xr:uid="{36274333-BDEC-4C84-936F-A94BDF428F3F}"/>
    <hyperlink ref="C1728" r:id="rId1664" xr:uid="{0DE8E5AE-6864-456B-88DE-3A8E823CCF12}"/>
    <hyperlink ref="C1729" r:id="rId1665" xr:uid="{EB925C47-4B17-4D9F-B020-B03F661B59B6}"/>
    <hyperlink ref="C1730" r:id="rId1666" xr:uid="{459F76D5-32C4-4ECA-BF71-17845E084F4F}"/>
    <hyperlink ref="C1731" r:id="rId1667" xr:uid="{56EC1C12-760A-409D-91A9-1EB8CD55A564}"/>
    <hyperlink ref="C1732" r:id="rId1668" xr:uid="{19BFDCCF-1197-49C6-9F34-FB314093735D}"/>
    <hyperlink ref="C1733" r:id="rId1669" xr:uid="{993EC6AE-359D-4F52-B432-50252E1499D7}"/>
    <hyperlink ref="C1734" r:id="rId1670" xr:uid="{DCD7C985-F525-4CEA-95F5-94C1B6047295}"/>
    <hyperlink ref="C1735" r:id="rId1671" xr:uid="{38B208E3-730E-4AE0-9E38-925D1EFB62E1}"/>
    <hyperlink ref="C1736" r:id="rId1672" xr:uid="{6B4B5F76-5216-4017-A21F-70D25699D77C}"/>
    <hyperlink ref="C1737" r:id="rId1673" xr:uid="{76D43F0C-1D91-48FF-8840-9E1E25331A67}"/>
    <hyperlink ref="C1738" r:id="rId1674" xr:uid="{5BA3F8CE-D657-4541-AC45-C10BFE690CD3}"/>
    <hyperlink ref="C1739" r:id="rId1675" xr:uid="{1156E0E3-F2FA-4444-A4B2-8120E35E0B52}"/>
    <hyperlink ref="C1740" r:id="rId1676" xr:uid="{71FBA87F-EF4D-405D-9249-337568BA0400}"/>
    <hyperlink ref="C1677" r:id="rId1677" xr:uid="{EB908B45-6DD4-420F-928E-E81BB81E5259}"/>
    <hyperlink ref="C1678" r:id="rId1678" xr:uid="{AEA70C0C-1B3A-417A-918C-F4825B261C1D}"/>
    <hyperlink ref="C1800" r:id="rId1679" xr:uid="{68429BA6-3BDF-416E-8746-145D7DCA652B}"/>
    <hyperlink ref="C1801" r:id="rId1680" xr:uid="{001F5440-87A4-40CE-8AAB-A17AA9BA98CA}"/>
    <hyperlink ref="C1802" r:id="rId1681" xr:uid="{CC922DB4-FC30-4126-A99C-762F043A1A30}"/>
    <hyperlink ref="C1803" r:id="rId1682" xr:uid="{568CE17C-8F8A-4098-A1C9-DD46FD944E55}"/>
    <hyperlink ref="C1804" r:id="rId1683" xr:uid="{5252D437-C0E3-4373-ABDC-1FBAEC23065E}"/>
    <hyperlink ref="C1805" r:id="rId1684" xr:uid="{227B121E-FDD0-48D6-9A9B-57586797CAC8}"/>
    <hyperlink ref="C1806" r:id="rId1685" xr:uid="{7A978242-C799-4C3A-B4CA-F75A9597E990}"/>
    <hyperlink ref="C1807" r:id="rId1686" xr:uid="{8D986F06-2E9D-4A5A-82DA-C308FE9E07FD}"/>
    <hyperlink ref="C1843" r:id="rId1687" xr:uid="{71AEA16A-D866-4182-8702-12C0AB59ED13}"/>
    <hyperlink ref="C1819" r:id="rId1688" xr:uid="{D285DD61-5EE3-4D4E-8512-7765B263725E}"/>
    <hyperlink ref="C1808" r:id="rId1689" xr:uid="{BE9AC055-A7AA-4591-90DF-A4F70440EF83}"/>
    <hyperlink ref="C1809" r:id="rId1690" xr:uid="{A03536EA-EB03-4B82-A348-6E1CF4686870}"/>
    <hyperlink ref="C1810" r:id="rId1691" xr:uid="{82504EB8-A20A-4352-9BEC-842F4C036410}"/>
    <hyperlink ref="C1811" r:id="rId1692" xr:uid="{498FBAB9-8E73-49F8-9A41-9A9FFA5F95B2}"/>
    <hyperlink ref="C1812" r:id="rId1693" xr:uid="{7E30A2D3-0E08-4948-92D7-A2C14C9080C4}"/>
    <hyperlink ref="C1813" r:id="rId1694" xr:uid="{3D848ED1-60D6-4C22-95CC-7AF2093FAEAE}"/>
    <hyperlink ref="C1814" r:id="rId1695" xr:uid="{1A215FB0-2B86-429A-87C8-056C51355D1D}"/>
    <hyperlink ref="C1815" r:id="rId1696" xr:uid="{C05D4B2C-B880-4D3D-BB82-2E41D9AED918}"/>
    <hyperlink ref="C1816" r:id="rId1697" xr:uid="{2662FD0E-17B8-4BB2-9308-15BE15E36D6D}"/>
    <hyperlink ref="C1817" r:id="rId1698" xr:uid="{2DD32B95-4D9D-4017-9DEE-6F82AE744186}"/>
    <hyperlink ref="C1818" r:id="rId1699" xr:uid="{5501FE2B-0D0D-455B-BDF8-C130598779E3}"/>
    <hyperlink ref="C1820" r:id="rId1700" xr:uid="{26CF9F23-6325-47E2-92BA-2B9EC079FC73}"/>
    <hyperlink ref="C1821" r:id="rId1701" xr:uid="{A42362A6-9343-44D8-9E24-75531E5FDE69}"/>
    <hyperlink ref="C1822" r:id="rId1702" xr:uid="{67EE92D5-A893-4600-8005-92E10578ABF2}"/>
    <hyperlink ref="C1823" r:id="rId1703" xr:uid="{B10F4B16-4958-41E4-975F-A0ECCAE21611}"/>
    <hyperlink ref="C1824" r:id="rId1704" xr:uid="{57DA3DBE-47BF-49F9-AA9C-E090E3B38157}"/>
    <hyperlink ref="C1825" r:id="rId1705" xr:uid="{1D1B2D8E-BD9B-46C4-AEC8-16B781DD44BE}"/>
    <hyperlink ref="C1826" r:id="rId1706" xr:uid="{897989D2-4C36-4A75-8138-85155CBE0BED}"/>
    <hyperlink ref="C1827" r:id="rId1707" xr:uid="{FA1CFBC7-6761-491C-B204-DB270BB8599C}"/>
    <hyperlink ref="C1828" r:id="rId1708" xr:uid="{498D8789-872F-48A4-B3D6-533307E64A94}"/>
    <hyperlink ref="C1829" r:id="rId1709" xr:uid="{5128815C-EABB-4214-9EA9-23E60178609C}"/>
    <hyperlink ref="C1830" r:id="rId1710" xr:uid="{14D124F4-020C-4E63-8A51-B518162311EE}"/>
    <hyperlink ref="C1844" r:id="rId1711" xr:uid="{D151B2A8-456E-4BEC-A88F-1CAD407BA34E}"/>
    <hyperlink ref="C1845" r:id="rId1712" xr:uid="{5AF64183-E616-45CF-B59C-DB97ACD49808}"/>
    <hyperlink ref="C1846" r:id="rId1713" xr:uid="{CF2DDD54-4560-4EA8-A1CE-1278BE9F465F}"/>
    <hyperlink ref="C1847" r:id="rId1714" xr:uid="{8FDD001E-2C53-4FD6-9DA6-9D7759DC08F9}"/>
    <hyperlink ref="C1848" r:id="rId1715" xr:uid="{2460995A-23B1-4433-910E-2ED3D265532A}"/>
    <hyperlink ref="C1849" r:id="rId1716" xr:uid="{788EFADC-98D8-4692-A742-92B922AD8EEF}"/>
    <hyperlink ref="C1850" r:id="rId1717" xr:uid="{68A0D071-66C6-401B-A9B4-53E34BB57E73}"/>
    <hyperlink ref="C858" r:id="rId1718" xr:uid="{F0428D3E-0648-4470-A25B-E427DFFAC741}"/>
    <hyperlink ref="C872" r:id="rId1719" xr:uid="{3656743A-1982-4417-958A-D4C7A6B84A30}"/>
    <hyperlink ref="C1041" r:id="rId1720" xr:uid="{E896E263-501D-4482-A048-24C6533187AB}"/>
    <hyperlink ref="C1042" r:id="rId1721" xr:uid="{7A322E94-42B6-4CAD-899B-2D652C2B6EB2}"/>
    <hyperlink ref="C1043" r:id="rId1722" xr:uid="{1D5A6CD6-981A-4417-9922-DC4C9BC405E1}"/>
    <hyperlink ref="C1044" r:id="rId1723" xr:uid="{896A27F7-0D82-4A83-8D19-BB6B037809BE}"/>
    <hyperlink ref="C1045" r:id="rId1724" xr:uid="{5832DAFA-D5C1-4510-BCDE-BC655250B6DE}"/>
    <hyperlink ref="C1046" r:id="rId1725" xr:uid="{A1B8D2AE-5615-42F5-8404-7980C454EBDA}"/>
    <hyperlink ref="C1047" r:id="rId1726" xr:uid="{A6CFF240-4115-4713-958E-A0FCBC31863A}"/>
    <hyperlink ref="C1048" r:id="rId1727" xr:uid="{2B8E4475-DD6B-4B25-9333-119FBF0519D1}"/>
    <hyperlink ref="C1049" r:id="rId1728" xr:uid="{485A3F0A-101A-4A41-A60D-C50068A8AADA}"/>
    <hyperlink ref="C1050" r:id="rId1729" xr:uid="{E754F382-9C72-44F5-9B99-CFF691136E6D}"/>
    <hyperlink ref="C1051" r:id="rId1730" xr:uid="{D1CA2C30-AC44-4FA2-8D54-D5054E317BA6}"/>
    <hyperlink ref="C1052" r:id="rId1731" xr:uid="{13D310A5-D439-4DC9-814C-D9248272C93D}"/>
    <hyperlink ref="C1064" r:id="rId1732" xr:uid="{7A62A61B-C509-4AC4-A887-6425BC00A757}"/>
    <hyperlink ref="C1065" r:id="rId1733" xr:uid="{0988E3F9-EEF5-4A81-B729-099C3333BF10}"/>
    <hyperlink ref="C1066" r:id="rId1734" xr:uid="{F046F4FF-17AA-48BB-8E42-DF12C9B5193B}"/>
    <hyperlink ref="C1067" r:id="rId1735" xr:uid="{CB474856-BFF2-4FEF-A5F6-C26284B127F6}"/>
    <hyperlink ref="C1068" r:id="rId1736" xr:uid="{6200E42C-3F64-4F6E-993B-D4916FEA5DB5}"/>
    <hyperlink ref="C1069" r:id="rId1737" xr:uid="{42A97D9E-51E8-46E2-9625-8C4737F65F9F}"/>
    <hyperlink ref="C1070" r:id="rId1738" xr:uid="{498FA67A-0A5B-4FC3-A315-85B53711591C}"/>
    <hyperlink ref="C1071" r:id="rId1739" xr:uid="{CAD2E9C8-8510-4452-A078-F98C12859AAA}"/>
    <hyperlink ref="C1072" r:id="rId1740" xr:uid="{02C2C4DE-D1FE-476C-8CC5-D276EEC758A3}"/>
    <hyperlink ref="C1073" r:id="rId1741" xr:uid="{5E9E02B4-524D-4BE2-9D6A-F8A57F8BB4E4}"/>
    <hyperlink ref="C1074" r:id="rId1742" xr:uid="{72ABF0CD-9F69-4595-97EF-4527E036E456}"/>
    <hyperlink ref="C1075" r:id="rId1743" xr:uid="{15168CE0-B089-4477-A368-910672DAC033}"/>
    <hyperlink ref="C1076" r:id="rId1744" xr:uid="{F183B9B3-7F89-414F-A81B-F40658D16A72}"/>
    <hyperlink ref="C1077" r:id="rId1745" xr:uid="{E0205BEC-57EF-41B6-9B15-AF5AA21F8BFE}"/>
    <hyperlink ref="C1078" r:id="rId1746" xr:uid="{983F071F-2568-40BA-A6B7-FEE6B092CF02}"/>
    <hyperlink ref="C1079" r:id="rId1747" xr:uid="{375C905D-C777-45C5-8BD2-FC4F8617F954}"/>
    <hyperlink ref="C1080" r:id="rId1748" xr:uid="{8C434090-04FC-4549-BB42-853315647ACA}"/>
    <hyperlink ref="C1081" r:id="rId1749" xr:uid="{AA545DF8-95FE-496F-B660-E76C9B729837}"/>
    <hyperlink ref="C1082" r:id="rId1750" xr:uid="{3B5D364D-D3CF-493A-8504-B51E6FF2DAD3}"/>
    <hyperlink ref="C1083" r:id="rId1751" xr:uid="{AE15D666-9B55-4B05-B2F0-352CBCBD163E}"/>
    <hyperlink ref="C1084" r:id="rId1752" xr:uid="{A4AC16F4-6ED1-496E-8378-AB8084311088}"/>
    <hyperlink ref="C1085" r:id="rId1753" xr:uid="{97FC8176-466E-4CDD-A27B-51786F0AEECA}"/>
    <hyperlink ref="C1532" r:id="rId1754" xr:uid="{6DD5C3FF-7FBC-49AA-A116-461885CAD9D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85FB31D2F372459D1E4916A2C86E79" ma:contentTypeVersion="11" ma:contentTypeDescription="Ein neues Dokument erstellen." ma:contentTypeScope="" ma:versionID="fd83eb54faa38a1ebe3c81eb0db0f3f5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58a9d9bf4e61078f6aec0a3bf8dbae78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986938-3be0-4a21-8706-801e2184af7c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5302C6-9E16-4DAF-B17D-C54160C62ABF}">
  <ds:schemaRefs>
    <ds:schemaRef ds:uri="http://schemas.microsoft.com/office/2006/metadata/properties"/>
    <ds:schemaRef ds:uri="http://schemas.microsoft.com/office/infopath/2007/PartnerControls"/>
    <ds:schemaRef ds:uri="5032b7f1-9c73-4c9d-8c6d-860c2174f34c"/>
    <ds:schemaRef ds:uri="724efb74-552a-4553-b4ae-5b11ac2c720c"/>
  </ds:schemaRefs>
</ds:datastoreItem>
</file>

<file path=customXml/itemProps2.xml><?xml version="1.0" encoding="utf-8"?>
<ds:datastoreItem xmlns:ds="http://schemas.openxmlformats.org/officeDocument/2006/customXml" ds:itemID="{5B0B2299-CCB6-4A14-B5F4-A0FE79CCB4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0624A1-1726-47C9-9CBC-F3C2B7F40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StudiesList</vt:lpstr>
      <vt:lpstr>Compounds</vt:lpstr>
      <vt:lpstr>Protocols</vt:lpstr>
      <vt:lpstr>Formulations</vt:lpstr>
      <vt:lpstr>ObservedData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Lefaudeux</dc:creator>
  <cp:lastModifiedBy>Diane Lefaudeux</cp:lastModifiedBy>
  <dcterms:created xsi:type="dcterms:W3CDTF">2025-02-25T12:45:24Z</dcterms:created>
  <dcterms:modified xsi:type="dcterms:W3CDTF">2025-03-07T16:04:02Z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0x010100D185FB31D2F372459D1E4916A2C86E79</vt:lpwstr>
  </property>
</Properties>
</file>