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eLefaudeux\Github projects\ESQhtpbpk\inst\extdata\"/>
    </mc:Choice>
  </mc:AlternateContent>
  <xr:revisionPtr revIDLastSave="0" documentId="13_ncr:1_{8A04FA45-DA27-42EE-936A-04BE945BD617}" xr6:coauthVersionLast="47" xr6:coauthVersionMax="47" xr10:uidLastSave="{00000000-0000-0000-0000-000000000000}"/>
  <bookViews>
    <workbookView xWindow="22932" yWindow="-3024" windowWidth="30936" windowHeight="16776" xr2:uid="{00000000-000D-0000-FFFF-FFFF00000000}"/>
  </bookViews>
  <sheets>
    <sheet name="Sheet1" sheetId="1" r:id="rId1"/>
    <sheet name="Protocol" sheetId="2" r:id="rId2"/>
    <sheet name="Compoun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2" i="1"/>
  <c r="I483" i="1"/>
  <c r="I484" i="1"/>
  <c r="I485" i="1"/>
  <c r="I486" i="1"/>
  <c r="I487" i="1"/>
  <c r="I488" i="1"/>
  <c r="I489" i="1"/>
  <c r="I482" i="1"/>
  <c r="E228" i="2"/>
  <c r="E233" i="2"/>
  <c r="E232" i="2"/>
  <c r="E231" i="2"/>
  <c r="E230" i="2"/>
  <c r="E229" i="2"/>
  <c r="E212" i="2"/>
  <c r="E213" i="2"/>
  <c r="E214" i="2"/>
  <c r="E215" i="2"/>
  <c r="E216" i="2"/>
  <c r="E217" i="2"/>
  <c r="E218" i="2"/>
  <c r="E219" i="2"/>
  <c r="E220" i="2"/>
  <c r="E210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68" i="2"/>
  <c r="E167" i="2"/>
  <c r="E166" i="2"/>
  <c r="E131" i="2"/>
  <c r="E107" i="2"/>
  <c r="L489" i="1"/>
  <c r="L488" i="1"/>
  <c r="L487" i="1"/>
  <c r="L486" i="1"/>
  <c r="L485" i="1"/>
  <c r="L484" i="1"/>
  <c r="L483" i="1"/>
  <c r="L482" i="1"/>
  <c r="K489" i="1"/>
  <c r="K488" i="1"/>
  <c r="K487" i="1"/>
  <c r="K486" i="1"/>
  <c r="K485" i="1"/>
  <c r="K484" i="1"/>
  <c r="K483" i="1"/>
  <c r="K482" i="1"/>
  <c r="E211" i="2"/>
  <c r="E197" i="2"/>
  <c r="E198" i="2"/>
  <c r="E199" i="2"/>
  <c r="E200" i="2"/>
  <c r="E201" i="2"/>
  <c r="E202" i="2"/>
  <c r="E203" i="2"/>
  <c r="E204" i="2"/>
  <c r="E205" i="2"/>
  <c r="E206" i="2"/>
  <c r="P206" i="2"/>
  <c r="P205" i="2"/>
  <c r="P204" i="2"/>
  <c r="P203" i="2"/>
  <c r="P202" i="2"/>
  <c r="P201" i="2"/>
  <c r="P200" i="2"/>
  <c r="P199" i="2"/>
  <c r="P198" i="2"/>
  <c r="P197" i="2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E158" i="2"/>
  <c r="F158" i="2"/>
  <c r="P211" i="2"/>
  <c r="AD467" i="1"/>
  <c r="AD466" i="1"/>
  <c r="E207" i="2"/>
  <c r="P207" i="2"/>
  <c r="AD456" i="1"/>
  <c r="AD457" i="1"/>
  <c r="AD455" i="1"/>
  <c r="F203" i="2"/>
  <c r="F200" i="2"/>
  <c r="P170" i="2"/>
  <c r="E170" i="2" s="1"/>
  <c r="F170" i="2"/>
  <c r="P173" i="2"/>
  <c r="E173" i="2" s="1"/>
  <c r="F173" i="2"/>
  <c r="P174" i="2"/>
  <c r="E174" i="2" s="1"/>
  <c r="P172" i="2"/>
  <c r="E172" i="2" s="1"/>
  <c r="P171" i="2"/>
  <c r="E171" i="2" s="1"/>
  <c r="P169" i="2"/>
  <c r="E169" i="2" s="1"/>
  <c r="AD378" i="1"/>
  <c r="AD377" i="1"/>
  <c r="AD376" i="1"/>
  <c r="AD375" i="1"/>
  <c r="AD374" i="1"/>
  <c r="AD373" i="1"/>
  <c r="AD372" i="1"/>
  <c r="AD371" i="1"/>
  <c r="AD370" i="1"/>
  <c r="AD369" i="1"/>
  <c r="K100" i="2"/>
  <c r="F99" i="2"/>
  <c r="E99" i="2"/>
  <c r="F97" i="2"/>
  <c r="E97" i="2"/>
  <c r="K96" i="2"/>
  <c r="J164" i="2"/>
  <c r="F163" i="2"/>
  <c r="E163" i="2"/>
  <c r="J161" i="2"/>
  <c r="F160" i="2"/>
  <c r="E160" i="2"/>
  <c r="E40" i="2"/>
  <c r="P49" i="2"/>
  <c r="E49" i="2" s="1"/>
  <c r="P48" i="2"/>
  <c r="E48" i="2" s="1"/>
  <c r="P47" i="2"/>
  <c r="E47" i="2" s="1"/>
  <c r="P42" i="2"/>
  <c r="E42" i="2" s="1"/>
  <c r="P43" i="2"/>
  <c r="E43" i="2" s="1"/>
  <c r="P44" i="2"/>
  <c r="E44" i="2" s="1"/>
  <c r="P45" i="2"/>
  <c r="E45" i="2" s="1"/>
  <c r="P46" i="2"/>
  <c r="E46" i="2" s="1"/>
  <c r="P41" i="2"/>
  <c r="E41" i="2" s="1"/>
  <c r="AD81" i="1"/>
  <c r="AD82" i="1"/>
  <c r="AD83" i="1"/>
  <c r="AD84" i="1"/>
  <c r="AD85" i="1"/>
  <c r="AD80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62" i="1"/>
  <c r="L58" i="1"/>
  <c r="L57" i="1"/>
  <c r="L56" i="1"/>
  <c r="K56" i="1"/>
  <c r="K55" i="1"/>
  <c r="L55" i="1"/>
  <c r="L54" i="1"/>
  <c r="L53" i="1"/>
  <c r="L52" i="1"/>
  <c r="L51" i="1"/>
  <c r="L50" i="1"/>
  <c r="L49" i="1"/>
  <c r="K54" i="1"/>
  <c r="K53" i="1"/>
  <c r="K52" i="1"/>
  <c r="K51" i="1"/>
  <c r="K50" i="1"/>
  <c r="K49" i="1"/>
  <c r="I58" i="1"/>
  <c r="I56" i="1"/>
  <c r="I57" i="1"/>
  <c r="I55" i="1"/>
  <c r="I54" i="1"/>
  <c r="I53" i="1"/>
  <c r="I52" i="1"/>
  <c r="I51" i="1"/>
  <c r="I50" i="1"/>
  <c r="I49" i="1"/>
  <c r="K57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8" i="2"/>
  <c r="E100" i="2"/>
  <c r="E101" i="2"/>
  <c r="E102" i="2"/>
  <c r="E103" i="2"/>
  <c r="E104" i="2"/>
  <c r="E105" i="2"/>
  <c r="E106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6" i="2"/>
  <c r="E157" i="2"/>
  <c r="E159" i="2"/>
  <c r="E161" i="2"/>
  <c r="E162" i="2"/>
  <c r="E164" i="2"/>
  <c r="E165" i="2"/>
  <c r="E175" i="2"/>
  <c r="E176" i="2"/>
  <c r="E208" i="2"/>
  <c r="E221" i="2"/>
  <c r="E222" i="2"/>
  <c r="E223" i="2"/>
  <c r="E224" i="2"/>
  <c r="E225" i="2"/>
  <c r="E226" i="2"/>
  <c r="E22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8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9" i="2"/>
  <c r="F161" i="2"/>
  <c r="F162" i="2"/>
  <c r="F164" i="2"/>
  <c r="F165" i="2"/>
  <c r="F166" i="2"/>
  <c r="F167" i="2"/>
  <c r="F168" i="2"/>
  <c r="F169" i="2"/>
  <c r="F171" i="2"/>
  <c r="F172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1" i="2"/>
  <c r="F202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" i="2"/>
  <c r="E2" i="2"/>
  <c r="P209" i="2"/>
  <c r="E209" i="2" s="1"/>
  <c r="P155" i="2"/>
  <c r="E155" i="2" s="1"/>
  <c r="P508" i="1"/>
  <c r="AD462" i="1"/>
  <c r="AD461" i="1"/>
  <c r="AD460" i="1"/>
  <c r="L448" i="1"/>
  <c r="I448" i="1" s="1"/>
  <c r="K448" i="1"/>
  <c r="L444" i="1"/>
  <c r="I444" i="1" s="1"/>
  <c r="K444" i="1"/>
  <c r="Y448" i="1"/>
  <c r="Y447" i="1"/>
  <c r="Y444" i="1"/>
  <c r="Y443" i="1"/>
  <c r="L447" i="1"/>
  <c r="I447" i="1" s="1"/>
  <c r="K447" i="1"/>
  <c r="L443" i="1"/>
  <c r="I443" i="1" s="1"/>
  <c r="K443" i="1"/>
  <c r="L416" i="1"/>
  <c r="K416" i="1"/>
  <c r="L415" i="1"/>
  <c r="K415" i="1"/>
  <c r="L410" i="1"/>
  <c r="K410" i="1"/>
  <c r="L409" i="1"/>
  <c r="K409" i="1"/>
  <c r="L408" i="1"/>
  <c r="L407" i="1"/>
  <c r="K408" i="1"/>
  <c r="K407" i="1"/>
  <c r="L414" i="1"/>
  <c r="K414" i="1"/>
  <c r="L413" i="1"/>
  <c r="K413" i="1"/>
  <c r="I414" i="1"/>
  <c r="I413" i="1"/>
  <c r="I408" i="1"/>
  <c r="I407" i="1"/>
  <c r="I416" i="1"/>
  <c r="I415" i="1"/>
  <c r="I410" i="1"/>
  <c r="I409" i="1"/>
  <c r="I376" i="1"/>
  <c r="K378" i="1"/>
  <c r="I378" i="1"/>
  <c r="I377" i="1"/>
  <c r="I373" i="1"/>
  <c r="I372" i="1"/>
  <c r="I371" i="1"/>
  <c r="L351" i="1"/>
  <c r="K351" i="1"/>
  <c r="L350" i="1"/>
  <c r="K350" i="1"/>
  <c r="I351" i="1"/>
  <c r="I350" i="1"/>
  <c r="L355" i="1"/>
  <c r="K355" i="1"/>
  <c r="I355" i="1"/>
  <c r="L354" i="1"/>
  <c r="K354" i="1"/>
  <c r="I354" i="1"/>
  <c r="L343" i="1"/>
  <c r="K343" i="1"/>
  <c r="I343" i="1"/>
  <c r="L344" i="1"/>
  <c r="K344" i="1"/>
  <c r="I344" i="1"/>
  <c r="L345" i="1"/>
  <c r="I345" i="1"/>
  <c r="AD339" i="1"/>
  <c r="AD338" i="1"/>
  <c r="AD337" i="1"/>
  <c r="L336" i="1"/>
  <c r="K336" i="1"/>
  <c r="I336" i="1"/>
  <c r="K335" i="1"/>
  <c r="I335" i="1"/>
  <c r="L334" i="1"/>
  <c r="K334" i="1"/>
  <c r="I334" i="1"/>
  <c r="K333" i="1"/>
  <c r="I333" i="1"/>
  <c r="L330" i="1"/>
  <c r="K330" i="1"/>
  <c r="I330" i="1"/>
  <c r="K329" i="1"/>
  <c r="I329" i="1"/>
  <c r="L328" i="1"/>
  <c r="K328" i="1"/>
  <c r="I328" i="1"/>
  <c r="K327" i="1"/>
  <c r="I327" i="1"/>
  <c r="L324" i="1"/>
  <c r="K324" i="1"/>
  <c r="I324" i="1"/>
  <c r="K323" i="1"/>
  <c r="I323" i="1"/>
  <c r="K319" i="1"/>
  <c r="K320" i="1"/>
  <c r="L320" i="1"/>
  <c r="I320" i="1"/>
  <c r="I319" i="1"/>
  <c r="L318" i="1"/>
  <c r="K318" i="1"/>
  <c r="K317" i="1"/>
  <c r="I318" i="1"/>
  <c r="I317" i="1"/>
  <c r="K313" i="1"/>
  <c r="L314" i="1"/>
  <c r="K314" i="1"/>
  <c r="I314" i="1"/>
  <c r="I313" i="1"/>
  <c r="K305" i="1"/>
  <c r="I306" i="1"/>
  <c r="I305" i="1"/>
  <c r="L263" i="1"/>
  <c r="K263" i="1"/>
  <c r="K262" i="1"/>
  <c r="L256" i="1"/>
  <c r="K256" i="1"/>
  <c r="K255" i="1"/>
  <c r="I256" i="1"/>
  <c r="I255" i="1"/>
  <c r="I254" i="1"/>
  <c r="I263" i="1"/>
  <c r="I262" i="1"/>
  <c r="K191" i="1"/>
  <c r="K189" i="1"/>
  <c r="K187" i="1"/>
  <c r="I192" i="1"/>
  <c r="I191" i="1"/>
  <c r="I190" i="1"/>
  <c r="I189" i="1"/>
  <c r="I187" i="1"/>
  <c r="I188" i="1"/>
  <c r="Y192" i="1"/>
  <c r="Y191" i="1"/>
  <c r="Y190" i="1"/>
  <c r="Y189" i="1"/>
  <c r="Y188" i="1"/>
  <c r="Y187" i="1"/>
  <c r="I164" i="1"/>
  <c r="I163" i="1"/>
  <c r="I162" i="1"/>
  <c r="I161" i="1"/>
  <c r="I160" i="1"/>
  <c r="I159" i="1"/>
  <c r="L164" i="1"/>
  <c r="K164" i="1"/>
  <c r="L163" i="1"/>
  <c r="K163" i="1"/>
  <c r="L162" i="1"/>
  <c r="K162" i="1"/>
  <c r="L161" i="1"/>
  <c r="K161" i="1"/>
  <c r="L160" i="1"/>
  <c r="K160" i="1"/>
  <c r="K159" i="1"/>
  <c r="L159" i="1"/>
  <c r="L123" i="1"/>
  <c r="K123" i="1"/>
  <c r="L122" i="1"/>
  <c r="K122" i="1"/>
  <c r="K121" i="1"/>
  <c r="L121" i="1" s="1"/>
  <c r="L129" i="1"/>
  <c r="K129" i="1"/>
  <c r="L128" i="1"/>
  <c r="K128" i="1"/>
  <c r="K127" i="1"/>
  <c r="L127" i="1" s="1"/>
  <c r="I127" i="1"/>
  <c r="I121" i="1"/>
  <c r="L117" i="1"/>
  <c r="K117" i="1"/>
  <c r="L116" i="1"/>
  <c r="K116" i="1"/>
  <c r="K115" i="1"/>
  <c r="L115" i="1" s="1"/>
  <c r="I115" i="1"/>
  <c r="L111" i="1"/>
  <c r="K111" i="1"/>
  <c r="L105" i="1"/>
  <c r="K105" i="1"/>
  <c r="K103" i="1"/>
  <c r="L103" i="1" s="1"/>
  <c r="K109" i="1"/>
  <c r="L109" i="1" s="1"/>
  <c r="L110" i="1"/>
  <c r="K110" i="1"/>
  <c r="I109" i="1"/>
  <c r="L104" i="1"/>
  <c r="K104" i="1"/>
  <c r="I103" i="1"/>
  <c r="I129" i="1"/>
  <c r="I128" i="1"/>
  <c r="I123" i="1"/>
  <c r="I122" i="1"/>
  <c r="I117" i="1"/>
  <c r="I116" i="1"/>
  <c r="I111" i="1"/>
  <c r="I110" i="1"/>
  <c r="I105" i="1"/>
  <c r="I104" i="1"/>
  <c r="I84" i="1"/>
  <c r="I83" i="1"/>
  <c r="I82" i="1"/>
  <c r="I81" i="1"/>
  <c r="I80" i="1"/>
  <c r="I85" i="1"/>
  <c r="L85" i="1"/>
  <c r="K85" i="1"/>
  <c r="L84" i="1"/>
  <c r="K84" i="1"/>
  <c r="L83" i="1"/>
  <c r="K83" i="1"/>
  <c r="L82" i="1"/>
  <c r="K82" i="1"/>
  <c r="L80" i="1"/>
  <c r="K80" i="1"/>
  <c r="L81" i="1"/>
  <c r="K81" i="1"/>
  <c r="K58" i="1"/>
  <c r="Y55" i="1"/>
  <c r="Y53" i="1"/>
  <c r="Y51" i="1"/>
  <c r="Y49" i="1"/>
  <c r="Y56" i="1"/>
  <c r="Y54" i="1"/>
  <c r="Y52" i="1"/>
  <c r="Y50" i="1"/>
</calcChain>
</file>

<file path=xl/sharedStrings.xml><?xml version="1.0" encoding="utf-8"?>
<sst xmlns="http://schemas.openxmlformats.org/spreadsheetml/2006/main" count="9690" uniqueCount="1341">
  <si>
    <t>canonical_smiles</t>
  </si>
  <si>
    <t>assay_description.x</t>
  </si>
  <si>
    <t>document_chembl_id</t>
  </si>
  <si>
    <t>molecule_chembl_id</t>
  </si>
  <si>
    <t>molecule_pref_name</t>
  </si>
  <si>
    <t>parent_molecule_chembl_id</t>
  </si>
  <si>
    <t>AUC</t>
  </si>
  <si>
    <t>Cmax</t>
  </si>
  <si>
    <t>Cmax_unit</t>
  </si>
  <si>
    <t>Dose</t>
  </si>
  <si>
    <t>DoseUnit</t>
  </si>
  <si>
    <t>Route</t>
  </si>
  <si>
    <t>Time</t>
  </si>
  <si>
    <t>TimeUnit</t>
  </si>
  <si>
    <t>NCCCCN(Cc1nc2ccccc2[nH]1)[C@H]1CCCc2cccnc21</t>
  </si>
  <si>
    <t>AUC ( 0 to infinity) in fasting healthy human at 50 mg, po administered as single dose after 12 hrs</t>
  </si>
  <si>
    <t>Cmax in fasting healthy human at 50 mg, po administered as single dose</t>
  </si>
  <si>
    <t>CHEMBL1150800</t>
  </si>
  <si>
    <t>CHEMBL518924</t>
  </si>
  <si>
    <t>MAVORIXAFOR</t>
  </si>
  <si>
    <t>ng.hr.mL-1</t>
  </si>
  <si>
    <t>nM</t>
  </si>
  <si>
    <t>mg</t>
  </si>
  <si>
    <t>ORAL</t>
  </si>
  <si>
    <t>AUC ( 0 to infinity) in fasting healthy human at 100 mg, po administered as single dose after 12 hrs</t>
  </si>
  <si>
    <t>Cmax in fasting healthy human at 100 mg, po administered as single dose</t>
  </si>
  <si>
    <t>Cmax in fasting healthy human at 100 mg, po administered every 12 hrs</t>
  </si>
  <si>
    <t>AUC ( 0 to infinity) in fasting healthy human at 200 mg, po administered as single dose after 12 hrs</t>
  </si>
  <si>
    <t>Cmax in fasting healthy human at 200 mg, po administered as single dose</t>
  </si>
  <si>
    <t>Cmax in fasting healthy human at 200 mg, po administered every 12 hrs</t>
  </si>
  <si>
    <t>AUC ( 0 to infinity) in fasting healthy human at 400 mg, po administered as single dose after 12 hrs</t>
  </si>
  <si>
    <t>Cmax in fasting healthy human at 400 mg, po administered as single dose</t>
  </si>
  <si>
    <t>Cmax in fasting healthy human at 400 mg, po administered every 12 hrs</t>
  </si>
  <si>
    <t>CC[C@H]1OC(=O)[C@H](C)[C@@H](O[C@H]2C[C@@](C)(OC)[C@@H](O)[C@H](C)O2)[C@H](C)[C@@H](O[C@@H]2O[C@H](C)C[C@H](N(C)C)[C@H]2O)[C@](C)(OC)C[C@@H](C)C(=O)[C@H](C)[C@@H](O)[C@]1(C)O</t>
  </si>
  <si>
    <t>CHEMBL1741</t>
  </si>
  <si>
    <t>CLARITHROMYCIN</t>
  </si>
  <si>
    <t>C=C(C)[C@@H]1CC[C@]2(C(=O)O)CC[C@]3(C)[C@H](CC[C@@H]4[C@@]5(C)CC[C@H](OC(=O)CC(C)(C)C(=O)O)C(C)(C)[C@@H]5CC[C@]43C)[C@@H]12</t>
  </si>
  <si>
    <t>AUC (0 to infinity) in healthy human plasma at 25 mg, po administered as single dose</t>
  </si>
  <si>
    <t>Cmax in healthy human plasma at 25 mg, po administered as single dose</t>
  </si>
  <si>
    <t>CHEMBL1143419</t>
  </si>
  <si>
    <t>CHEMBL404519</t>
  </si>
  <si>
    <t>BEVIRIMAT</t>
  </si>
  <si>
    <t>AUC (0 to infinity) in healthy human plasma at 50 mg, po administered as single dose</t>
  </si>
  <si>
    <t>Cmax in healthy human plasma at 50 mg, po administered as single dose</t>
  </si>
  <si>
    <t>AUC (0 to infinity) in healthy human plasma at 100 mg, po administered as single dose</t>
  </si>
  <si>
    <t>Cmax in healthy human plasma at 100 mg, po administered as single dose</t>
  </si>
  <si>
    <t>AUC (0 to infinity) in healthy human plasma at 250 mg, po administered as single dose</t>
  </si>
  <si>
    <t>Cmax in healthy human plasma at 250 mg, po administered as single dose</t>
  </si>
  <si>
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</si>
  <si>
    <t>CHEMBL1155169</t>
  </si>
  <si>
    <t>CHEMBL387675</t>
  </si>
  <si>
    <t>DAPTOMYCIN</t>
  </si>
  <si>
    <t>Cn1c(=O)c(C(=O)NCCO)c(O)c2ncc(Cc3ccc(F)cc3)cc21</t>
  </si>
  <si>
    <t>AUC (0 to infinity) in fasted human at 50 mg administered as single dose</t>
  </si>
  <si>
    <t>Cmax in fasted human at 50 mg administered as single dose</t>
  </si>
  <si>
    <t>CHEMBL1151440</t>
  </si>
  <si>
    <t>CHEMBL1256978</t>
  </si>
  <si>
    <t>GSK-364735</t>
  </si>
  <si>
    <t>Cmax in human at 50 mg administered with fat meal every 12 hrs for 8 days measured on day 1</t>
  </si>
  <si>
    <t>Cmax in human at 50 mg administered with fat meal every 12 hrs for 8 days measured on day 8</t>
  </si>
  <si>
    <t>AUC (0 to infinity) in fasted human at 100 mg administered as single dose</t>
  </si>
  <si>
    <t>Cmax in fasted human at 100 mg administered as single dose</t>
  </si>
  <si>
    <t>Cmax in human at 100 mg administered with fat meal every 12 hrs for 8 days measured on day 1</t>
  </si>
  <si>
    <t>Cmax in human at 100 mg administered with fat meal every 12 hrs for 8 days measured on day 8</t>
  </si>
  <si>
    <t>AUC (0 to infinity) in fasted human at 200 mg administered as single dose</t>
  </si>
  <si>
    <t>Cmax in fasted human at 200 mg administered as single dose</t>
  </si>
  <si>
    <t>Cmax in human at 200 mg administered with fat meal as single dose</t>
  </si>
  <si>
    <t>Cmax in human at 200 mg administered with fat meal every 12 hrs for 8 days measured on day 1</t>
  </si>
  <si>
    <t>Cmax in human at 200 mg administered with fat meal every 8 hrs for 8 days measured on day 1</t>
  </si>
  <si>
    <t>Cmax in human at 200 mg administered with fat meal every 12 hrs for 8 days measured on day 8</t>
  </si>
  <si>
    <t>Cmax in human at 200 mg administered with fat meal every 8 hrs for 8 days measured on day 8</t>
  </si>
  <si>
    <t>AUC (0 to infinity) in fasted human at 400 mg administered as single dose</t>
  </si>
  <si>
    <t>Cmax in fasted human at 400 mg administered as single dose</t>
  </si>
  <si>
    <t>Cmax in human at 400 mg administered with fat meal as single dose</t>
  </si>
  <si>
    <t>Cmax in human at 400 mg administered with fat meal daily for 8 days measured on day 1</t>
  </si>
  <si>
    <t>Cmax in human at 400 mg administered with fat meal daily for 8 days measured on day 8</t>
  </si>
  <si>
    <t>AUC (0 to infinity) in human at 200 mg administered with fat meal as single dose</t>
  </si>
  <si>
    <t>AUC (0 to infinity) in human at 400 mg administered with fat meal as single dose</t>
  </si>
  <si>
    <t>AUC (0 to infinity) in human at 50 mg administered with fat meal every 12 hrs for 8 days measured on day 1</t>
  </si>
  <si>
    <t>AUC (0 to infinity) in human at 100 mg administered with fat meal every 12 hrs for 8 days measured on day 1</t>
  </si>
  <si>
    <t>AUC (0 to infinity) in human at 200 mg administered with fat meal every 12 hrs for 8 days measured on day 1</t>
  </si>
  <si>
    <t>AUC (0 to infinity) in human at 400 mg administered with fat meal daily for 8 days measured on day 1</t>
  </si>
  <si>
    <t>AUC (0 to infinity) in human at 200 mg administered with fat meal every 8 hrs for 8 days measured on day 1</t>
  </si>
  <si>
    <t>Cc1cn([C@@H]2C[C@@H](O)[C@H](CO)O2)c(=O)[nH]c1=O</t>
  </si>
  <si>
    <t>AUC (0 to infinity) in human with normal renal function at 600 mg, po administered as single dose</t>
  </si>
  <si>
    <t>Cmax in human with normal renal function at 600 mg, po administered as single dose</t>
  </si>
  <si>
    <t>CHEMBL1153546</t>
  </si>
  <si>
    <t>CHEMBL374731</t>
  </si>
  <si>
    <t>TELBIVUDINE</t>
  </si>
  <si>
    <t>C[C@@H]1CCO[C@H]2Cn3cc(C(=O)NCc4ccc(F)cc4F)c(=O)c([O-])c3C(=O)N12.[Na+]</t>
  </si>
  <si>
    <t>AUC (0-infinity) in healthy human at 2 mg administered as single dose suspension</t>
  </si>
  <si>
    <t>Cmax in healthy human at 2 mg administered as single dose suspension</t>
  </si>
  <si>
    <t>CHEMBL1212763</t>
  </si>
  <si>
    <t>CHEMBL1213165</t>
  </si>
  <si>
    <t>DOLUTEGRAVIR SODIUM</t>
  </si>
  <si>
    <t>CHEMBL1229211</t>
  </si>
  <si>
    <t>AUC (0-infinity) in healthy human at 5 mg administered as single dose suspension</t>
  </si>
  <si>
    <t>Cmax in healthy human at 5 mg administered as single dose suspension</t>
  </si>
  <si>
    <t>AUC (0-infinity) in healthy human at 10 mg administered as single dose suspension</t>
  </si>
  <si>
    <t>Cmax in healthy human at 10 mg administered as single dose suspension</t>
  </si>
  <si>
    <t>Cmax in healthy human at 10 mg, qd for 10 days administered as suspension measured after last dose</t>
  </si>
  <si>
    <t>AUC (0-infinity) in healthy human at 25 mg administered as single dose suspension</t>
  </si>
  <si>
    <t>Cmax in healthy human at 25 mg administered as single dose suspension</t>
  </si>
  <si>
    <t>Cmax in healthy human at 25 mg, qd for 10 days administered as suspension measured after last dose</t>
  </si>
  <si>
    <t>AUC (0-infinity) in healthy human at 50 mg administered as single dose suspension</t>
  </si>
  <si>
    <t>Cmax in healthy human at 50 mg administered as single dose suspension</t>
  </si>
  <si>
    <t>Cmax in healthy human at 50 mg, qd for 10 days administered as suspension measured after last dose</t>
  </si>
  <si>
    <t>AUC (0-infinity) in healthy human at 100 mg administered as single dose suspension</t>
  </si>
  <si>
    <t>Cmax in healthy human at 100 mg administered as single dose suspension</t>
  </si>
  <si>
    <t>COc1c(N2C[C@@H](C)C[C@H](N)C2)ccc2c(=O)c(C(=O)O)cn(C3CC3)c12</t>
  </si>
  <si>
    <t>AUC (0 to infinity) in healthy human at 1500 mg/kg, po administered as single dose</t>
  </si>
  <si>
    <t>Cmax in healthy human at 1500 mg/kg, po administered as single dose</t>
  </si>
  <si>
    <t>CHEMBL1212766</t>
  </si>
  <si>
    <t>CHEMBL1213456</t>
  </si>
  <si>
    <t>NEMONOXACIN</t>
  </si>
  <si>
    <t>mg/kg</t>
  </si>
  <si>
    <t>AUC (0 to infinity) in healthy human at 1000 mg/kg, po administered as single dose</t>
  </si>
  <si>
    <t>Cmax in healthy human at 1000 mg/kg, po administered as single dose</t>
  </si>
  <si>
    <t>AUC (0 to infinity) in healthy human at 500 mg/kg, po administered as single dose</t>
  </si>
  <si>
    <t>Cmax in healthy human at 500 mg/kg, po administered as single dose</t>
  </si>
  <si>
    <t>AUC (0 to infinity) in healthy human at 250 mg/kg, po administered as single dose</t>
  </si>
  <si>
    <t>Cmax in healthy human at 250 mg/kg, po administered as single dose</t>
  </si>
  <si>
    <t>AUC (0 to infinity) in healthy human at 125 mg/kg, po administered as single dose</t>
  </si>
  <si>
    <t>Cmax in healthy human at 125 mg/kg, po administered as single dose</t>
  </si>
  <si>
    <t>AUC (0 to infinity) in healthy human at 50 mg/kg, po administered as single dose</t>
  </si>
  <si>
    <t>Cmax in healthy human at 50 mg/kg, po administered as single dose</t>
  </si>
  <si>
    <t>AUC (0 to infinity) in healthy human at 25 mg/kg, po administered as single dose</t>
  </si>
  <si>
    <t>Cmax in healthy human at 25 mg/kg, po administered as single dose</t>
  </si>
  <si>
    <t>AUC (0 to last) in human at 75 mg/kg, po measured on day 1</t>
  </si>
  <si>
    <t>Cmax in human at 75 mg/kg, po measured on day 1</t>
  </si>
  <si>
    <t>CHEMBL1212769</t>
  </si>
  <si>
    <t>Cmax in human at 75 mg/kg, po measured on day 10</t>
  </si>
  <si>
    <t>AUC (0 to last) in human at 75 mg/kg, po measured on day 10</t>
  </si>
  <si>
    <t>AUC (0 to last) in human at 250 mg/kg, po measured on day 1</t>
  </si>
  <si>
    <t>Cmax in human at 250 mg/kg, po measured on day 1</t>
  </si>
  <si>
    <t>Cmax in human at 250 mg/kg, po measured on day 10</t>
  </si>
  <si>
    <t>AUC (0 to last) in human at 250 mg/kg, po measured on day 10</t>
  </si>
  <si>
    <t>Cmax in human at 500 mg/kg, po measured on day 1</t>
  </si>
  <si>
    <t>Cmax in human at 500 mg/kg, po measured on day 10</t>
  </si>
  <si>
    <t>AUC(0 to last) in human at 500 mg/kg, po measured on day 1</t>
  </si>
  <si>
    <t>AUC (0 to last) in human at 500 mg/kg, po measured on day 10</t>
  </si>
  <si>
    <t>AUC (0 to last) in human at 750 mg/kg, po measured on day 10</t>
  </si>
  <si>
    <t>Cmax in human at 750 mg/kg, po measured on day 1</t>
  </si>
  <si>
    <t>Cmax in human at 750 mg/kg, po measured on day 10</t>
  </si>
  <si>
    <t>AUC (0 to last) in human at 750 mg/kg, po measured on day 1</t>
  </si>
  <si>
    <t>AUC (0 to last) in human at 1000 mg/kg, po measured on day 10</t>
  </si>
  <si>
    <t>Cmax in human at 1000 mg/kg, po measured on day 1</t>
  </si>
  <si>
    <t>Cmax in human at 1000 mg/kg, po measured on day 10</t>
  </si>
  <si>
    <t>AUC (0 to last) in human at 1000 mg/kg, po measured on day 1</t>
  </si>
  <si>
    <t>O=C(NN1C(=O)[C@@H]2[C@@H]3C=C[C@@H]([C@H]4C[C@@H]34)[C@@H]2C1=O)c1ccc(C(F)(F)F)cc1</t>
  </si>
  <si>
    <t>AUC(0 to infinity) in fasting healthy human at 500 mg, po administered as single dose measured after 48 hrs</t>
  </si>
  <si>
    <t>Cmax in fasting healthy human at 500 mg, po administered as single dose measured after 48 hrs</t>
  </si>
  <si>
    <t>CHEMBL1255336</t>
  </si>
  <si>
    <t>CHEMBL1257073</t>
  </si>
  <si>
    <t>TECOVIRIMAT</t>
  </si>
  <si>
    <t>ug.mL-1</t>
  </si>
  <si>
    <t>AUC(0 to infinity) in fasting healthy human at 1000 mg, po administered as single dose measured after 48 hrs</t>
  </si>
  <si>
    <t>Cmax in fasting healthy human at 1000 mg, po administered as single dose measured after 48 hrs</t>
  </si>
  <si>
    <t>Cmax in nonfasting healthy human at 1000 mg, po administered as single dose measured after 72 hrs</t>
  </si>
  <si>
    <t>AUC(0 to infinity) in fasting healthy human at 2000 mg, po administered as single dose measured after 48 hrs</t>
  </si>
  <si>
    <t>Cmax in fasting healthy human at 2000 mg, po administered as single dose measured after 48 hrs</t>
  </si>
  <si>
    <t>AUC(0 to infinity) in nonfasting healthy human at 1000 mg, po administered as single dose measured after 72 hrs</t>
  </si>
  <si>
    <t>CC(C)Nc1nc2cc(Cl)c(Cl)cc2n1[C@H]1O[C@@H](CO)[C@H](O)[C@@H]1O</t>
  </si>
  <si>
    <t>CHEMBL1255341</t>
  </si>
  <si>
    <t>CHEMBL515408</t>
  </si>
  <si>
    <t>MARIBAVIR</t>
  </si>
  <si>
    <t>Cmax in human plasma at 400 mg, po after 24 hrs</t>
  </si>
  <si>
    <t>AUC (0 to infinity) in human at 400 mg, po after 24 hrs</t>
  </si>
  <si>
    <t>CCc1nn(CCO)c(CC)c1Oc1cc(C#N)cc(C#N)c1</t>
  </si>
  <si>
    <t>AUC (infinity) in healthy human plasma at 750 mg by HPLC-tandem mass spectrometry method</t>
  </si>
  <si>
    <t>Cmax in healthy human plasma at 750 mg after 24 hrs by HPLC-tandem mass spectrometry method</t>
  </si>
  <si>
    <t>CHEMBL1255427</t>
  </si>
  <si>
    <t>CHEMBL571987</t>
  </si>
  <si>
    <t>LERSIVIRINE</t>
  </si>
  <si>
    <t>COC[C@@H](c1ccc(C(F)(F)F)cc1)N1CCN(C2(C)CCN(C(=O)c3c(C)ncnc3C)CC2)C[C@@H]1C</t>
  </si>
  <si>
    <t>AUC (0 to infinity) in healthy human at 200 mg/kg, po administered as single dose after 1 day</t>
  </si>
  <si>
    <t>Cmax in healthy human at 200 mg/kg, po administered as single dose after 1 day</t>
  </si>
  <si>
    <t>CHEMBL1255486</t>
  </si>
  <si>
    <t>CHEMBL82301</t>
  </si>
  <si>
    <t>VICRIVIROC</t>
  </si>
  <si>
    <t>AUC (0 to infinity) in healthy human at 300 mg/kg, po administered as single dose after 1 day</t>
  </si>
  <si>
    <t>Cmax in healthy human at 300 mg/kg, po administered as single dose after 1 day</t>
  </si>
  <si>
    <t>AUC (0 to infinity) in healthy human at 250 mg/kg, po administered as single dose after 1 day</t>
  </si>
  <si>
    <t>Cmax in healthy human at 250 mg/kg, po administered as single dose after 1 day</t>
  </si>
  <si>
    <t>Cc1nnc(C(=O)NC(C)(C)c2nc(C(=O)NCc3ccc(F)cc3)c(O)c(=O)n2C)o1</t>
  </si>
  <si>
    <t>AUC (0 to infinity) in HIV-negative human at 400 mg, po administered as single dose</t>
  </si>
  <si>
    <t>Cmax in HIV-negative human at 400 mg, po administered as single dose</t>
  </si>
  <si>
    <t>CHEMBL1275565</t>
  </si>
  <si>
    <t>CHEMBL254316</t>
  </si>
  <si>
    <t>RALTEGRAVIR</t>
  </si>
  <si>
    <t>Cn1c(N)c(NC(=O)NCCN)c[n+]1CC1=C(C(=O)O)N2C(=O)[C@@H](NC(=O)/C(=N\OC(C)(C)C(=O)[O-])c3nsc(N)n3)[C@H]2SC1</t>
  </si>
  <si>
    <t>AUC (0 to infinity) in healthy human at 250 mg, iv administered as single dose as 1 hr iv infusion</t>
  </si>
  <si>
    <t>Cmax in healthy human at 250 mg, iv administered as single dose as 1 hr iv infusion</t>
  </si>
  <si>
    <t>CHEMBL1275247</t>
  </si>
  <si>
    <t>CHEMBL2103872</t>
  </si>
  <si>
    <t>CEFTOLOZANE</t>
  </si>
  <si>
    <t>AUC (0 to infinity) in healthy human at 500 mg, iv administered as single dose as 1 hr iv infusion</t>
  </si>
  <si>
    <t>Cmax in healthy human at 500 mg, iv administered as single dose as 1 hr iv infusion</t>
  </si>
  <si>
    <t>Cmax in healthy human at 1000 mg, iv administered as single dose as 1 hr iv infusion</t>
  </si>
  <si>
    <t>Cmax in healthy human at 1500 mg, iv administered as single dose as 1 hr iv infusion</t>
  </si>
  <si>
    <t>AUC (0 to infinity) in healthy human at 1000 mg, iv administered as single dose as 1 hr iv infusion</t>
  </si>
  <si>
    <t>AUC (0 to infinity) in healthy human at 1500 mg, iv administered as single dose as 1 hr iv infusion</t>
  </si>
  <si>
    <t>AUC (0 to infinity) in healthy human at 2000 mg, iv administered as single dose as 1 hr iv infusion</t>
  </si>
  <si>
    <t>Cmax in healthy human at 2000 mg, iv administered as single dose as 1 hr iv infusion</t>
  </si>
  <si>
    <t>CCN1c2ncc(CCOc3cc[n+]([O-])c4ccccc34)cc2C(=O)N(C)c2cccnc21</t>
  </si>
  <si>
    <t>AUC (0 to last) in healthy human at 100 mg, po administered as single dose</t>
  </si>
  <si>
    <t>Cmax in healthy human at 100 mg, po administered as single dose by high-pressure liquid chromatography-tandem mass spectrometry/mass spectrometry method</t>
  </si>
  <si>
    <t>CHEMBL1629563</t>
  </si>
  <si>
    <t>CHEMBL1630842</t>
  </si>
  <si>
    <t>BILR 355</t>
  </si>
  <si>
    <t>AUC (0 to last) in healthy human at 75 mg, po administered as single dose</t>
  </si>
  <si>
    <t>Cmax in healthy human at 75 mg, po administered as single dose by high-pressure liquid chromatography-tandem mass spectrometry/mass spectrometry method</t>
  </si>
  <si>
    <t>AUC (0 to last) in healthy human at 50 mg, po administered as single dose</t>
  </si>
  <si>
    <t>Cmax in healthy human at 50 mg, po administered as single dose by high-pressure liquid chromatography-tandem mass spectrometry/mass spectrometry method</t>
  </si>
  <si>
    <t>AUC (0 to last) in healthy human at 25 mg, po administered as single dose</t>
  </si>
  <si>
    <t>Cmax in healthy human at 25 mg, po administered as single dose by high-pressure liquid chromatography-tandem mass spectrometry/mass spectrometry method</t>
  </si>
  <si>
    <t>AUC (0 to last) in healthy human at 12.5 mg, po administered as single dose</t>
  </si>
  <si>
    <t>Cmax in healthy human at 12.5 mg, po administered as single dose by high-pressure liquid chromatography-tandem mass spectrometry/mass spectrometry method</t>
  </si>
  <si>
    <t>AUC (0 to last) in healthy human at 5 mg, po administered as single dose</t>
  </si>
  <si>
    <t>Cmax in healthy human at 5 mg, po administered as single dose by high-pressure liquid chromatography-tandem mass spectrometry/mass spectrometry method</t>
  </si>
  <si>
    <t>AUC (0 to infinity) in healthy human at 100 mg, po administered as single dose</t>
  </si>
  <si>
    <t>AUC (0 to infinity) in healthy human at 75 mg, po administered as single dose</t>
  </si>
  <si>
    <t>AUC (0 to infinity) in healthy human at 50 mg, po administered as single dose</t>
  </si>
  <si>
    <t>AUC (0 to infinity) in healthy human at 25 mg, po administered as single dose</t>
  </si>
  <si>
    <t>AUC (0 to infinity) in healthy human at 12.5 mg, po administered as single dose</t>
  </si>
  <si>
    <t>AUC (0 to infinity) in healthy human at 5 mg, po administered as single dose</t>
  </si>
  <si>
    <t>Nc1nc(=O)n([C@@H]2C=C[C@H](CO)O2)cc1F</t>
  </si>
  <si>
    <t>AUC (0 to infinity) in human at 20 mg administered under fasting condition</t>
  </si>
  <si>
    <t>Cmax in human at 20 mg administered under fasting condition</t>
  </si>
  <si>
    <t>CHEMBL1629605</t>
  </si>
  <si>
    <t>CHEMBL38700</t>
  </si>
  <si>
    <t>ELVUCITABINE</t>
  </si>
  <si>
    <t>C[C@@H]([C@H](N)C(=O)N[C@H](C(=O)O)[C@H]1O[C@@H](n2ccc(=O)[nH]c2=O)[C@H](O)[C@@H]1O)[C@H](O)c1ccc(O)cn1</t>
  </si>
  <si>
    <t>AUC (0 to infinity) in healthy human at 250 mg/kg, po administered as single dose measured after 72 hrs by HPLC method</t>
  </si>
  <si>
    <t>Cmax in healthy human at 250 mg/kg, po administered as single dose measured after 72 hrs by HPLC method</t>
  </si>
  <si>
    <t>CHEMBL1649469</t>
  </si>
  <si>
    <t>CHEMBL35306</t>
  </si>
  <si>
    <t>NIKKOMYCIN</t>
  </si>
  <si>
    <t>AUC (0 to infinity) in healthy human at 500 mg/kg, po administered as single dose measured after 72 hrs by HPLC method</t>
  </si>
  <si>
    <t>Cmax in healthy human at 500 mg/kg, po administered as single dose measured after 72 hrs by HPLC method</t>
  </si>
  <si>
    <t>AUC (0 to infinity) in healthy human at 1000 mg/kg, po administered as single dose measured after 72 hrs by HPLC method</t>
  </si>
  <si>
    <t>Cmax in healthy human at 1000 mg/kg, po administered as single dose measured after 72 hrs by HPLC method</t>
  </si>
  <si>
    <t>AUC (0 to infinity) in healthy human at 1500 mg/kg, po administered as single dose measured after 72 hrs by HPLC method</t>
  </si>
  <si>
    <t>Cmax in healthy human at 1500 mg/kg, po administered as single dose measured after 72 hrs by HPLC method</t>
  </si>
  <si>
    <t>AUC (0 to infinity) in healthy human at 1750 mg/kg, po administered as single dose measured after 72 hrs by HPLC method</t>
  </si>
  <si>
    <t>Cmax in healthy human at 1750 mg/kg, po administered as single dose measured after 72 hrs by HPLC method</t>
  </si>
  <si>
    <t>AUC (0 to infinity) in healthy human at 2000 mg/kg, po administered as single dose measured after 72 hrs by HPLC method</t>
  </si>
  <si>
    <t>Cmax in healthy human at 2000 mg/kg, po administered as single dose measured after 72 hrs by HPLC method</t>
  </si>
  <si>
    <t>COP(=O)(c1cc(C)cc(/C=C/C#N)c1)c1c(C(N)=O)[nH]c2ccc(Cl)cc12</t>
  </si>
  <si>
    <t>AUC (0 to infinity) in fasted state healthy human at 200 mg, po administered as single dose</t>
  </si>
  <si>
    <t>Cmax in fasted state healthy human at 200 mg, po administered as single dose</t>
  </si>
  <si>
    <t>CHEMBL1649173</t>
  </si>
  <si>
    <t>CHEMBL1652111</t>
  </si>
  <si>
    <t>Cmax in fed state healthy human at 200 mg, po administered as single dose</t>
  </si>
  <si>
    <t>AUC (0 to infinity) in fasted state healthy human at 50 mg, po administered as single dose</t>
  </si>
  <si>
    <t>Cmax in fasted state healthy human at 50 mg, po administered as single dose</t>
  </si>
  <si>
    <t>AUC (0 to infinity) in fasted state healthy human at 400 mg, po administered as single dose</t>
  </si>
  <si>
    <t>Cmax in fasted state healthy human at 400 mg, po administered as single dose</t>
  </si>
  <si>
    <t>Cmax in fed state female healthy human at 400 mg, po administered as single dose</t>
  </si>
  <si>
    <t>Cmax in healthy human at 400 mg, po bid after 1 day</t>
  </si>
  <si>
    <t>Cmax in fed state healthy human at 400 mg, po administered as single dose</t>
  </si>
  <si>
    <t>Cmax in healthy human at 400 mg, po bid after 7 days</t>
  </si>
  <si>
    <t>AUC (0 to infinity) in fasted state healthy human at 100 mg, po administered as single dose</t>
  </si>
  <si>
    <t>Cmax in fasted state healthy human at 100 mg, po administered as single dose</t>
  </si>
  <si>
    <t>AUC (0 to infinity) in fed state healthy human at 200 mg, po administered as single dose</t>
  </si>
  <si>
    <t>AUC (0 to infinity) in fed state female healthy human at 400 mg, po administered as single dose</t>
  </si>
  <si>
    <t>AUC (0 to infinity) in fed state healthy human at 400 mg, po administered as single dose</t>
  </si>
  <si>
    <t>AUC (0 to infinity) in fed state healthy human at 800 mg, po administered as single dose</t>
  </si>
  <si>
    <t>Cmax in fed state healthy human at 800 mg, po administered as single dose</t>
  </si>
  <si>
    <t>Cmax in healthy human at 800 mg, po qd after 7 days</t>
  </si>
  <si>
    <t>Cmax in healthy human at 800 mg, po qd after 1 day</t>
  </si>
  <si>
    <t>AUC (0 to infinity) in healthy human at 800 mg, po qd after 1 day</t>
  </si>
  <si>
    <t>AUC (0 to infinity) in fed state healthy human at 1200 mg, po administered as single dose</t>
  </si>
  <si>
    <t>Cmax in fed state healthy human at 1200 mg, po administered as single dose</t>
  </si>
  <si>
    <t>AUC (0 to infinity) in healthy human at 400 mg, po administered as single dose</t>
  </si>
  <si>
    <t>Cmax in healthy human at 400 mg, po administered as single dose</t>
  </si>
  <si>
    <t>CHEMBL1649175</t>
  </si>
  <si>
    <t>CCN(CCO)CCCC(C)Nc1ccnc2cc(Cl)ccc12</t>
  </si>
  <si>
    <t>AUC (last) in healthy human at 400 mg, po administered as single dose</t>
  </si>
  <si>
    <t>Cmax in healthy human plasma at 400 mg, po administered as single dose</t>
  </si>
  <si>
    <t>CHEMBL1649152</t>
  </si>
  <si>
    <t>CHEMBL1535</t>
  </si>
  <si>
    <t>HYDROXYCHLOROQUINE</t>
  </si>
  <si>
    <t>AUC (infinity) in healthy human at 400 mg, po administered as single dose</t>
  </si>
  <si>
    <t>CC(=O)OCC(CCn1cnc2cnc(N)nc21)COC(C)=O</t>
  </si>
  <si>
    <t>AUC (0 to infinity) in healthy human at 500 mg, po administered as single dose</t>
  </si>
  <si>
    <t>Cmax in healthy human at 500 mg, po administered as single dose</t>
  </si>
  <si>
    <t>CHEMBL1649203</t>
  </si>
  <si>
    <t>CHEMBL880</t>
  </si>
  <si>
    <t>FAMCICLOVIR</t>
  </si>
  <si>
    <t>CC[C@H]1OC(=O)[C@H](C)[C@@H](O[C@H]2C[C@@](C)(OC)[C@@H](O)[C@H](C)O2)[C@H](C)[C@@H](O[C@@H]2O[C@H](C)C[C@H](N(C)C)[C@H]2O)[C@](C)(O)C[C@@H](C)C(=O)[C@H](C)[C@@H](O)[C@]1(C)O</t>
  </si>
  <si>
    <t>CHEMBL1649161</t>
  </si>
  <si>
    <t>CHEMBL532</t>
  </si>
  <si>
    <t>ERYTHROMYCIN</t>
  </si>
  <si>
    <t>CC[C@H]1OC(=O)[C@H](C)[C@@H](O[C@H]2C[C@@](C)(OC)[C@@H](O)[C@H](C)O2)[C@H](C)[C@@H](O[C@@H]2O[C@H](C)C[C@H](N(C)C)[C@H]2O)[C@](C)(O)C[C@@H](C)CN(C)[C@H](C)[C@@H](O)[C@]1(C)O</t>
  </si>
  <si>
    <t>CHEMBL529</t>
  </si>
  <si>
    <t>AZITHROMYCIN</t>
  </si>
  <si>
    <t>CC[C@H]1OC(=O)[C@H](C)C(=O)[C@H](C)[C@@H](O[C@@H]2O[C@H](C)C[C@H](N(C)C)[C@H]2O)[C@](C)(OC)C[C@@H](C)C(=O)[C@H](C)[C@H]2N(CCCCn3cnc(-c4cccnc4)c3)C(=O)O[C@]12C</t>
  </si>
  <si>
    <t>CHEMBL1136</t>
  </si>
  <si>
    <t>TELITHROMYCIN</t>
  </si>
  <si>
    <t>AUC (0 to infinity) in healthy human at 4 mg/kg, iv administered as single dose 30 mins infusion</t>
  </si>
  <si>
    <t>Cmax in healthy human at 4 mg/kg, iv administered as single dose 30 mins infusion</t>
  </si>
  <si>
    <t>CHEMBL1649119</t>
  </si>
  <si>
    <t>Cmax in nonobese human subjects at 4 mg/kg, iv administered as single dose 30 mins infusion</t>
  </si>
  <si>
    <t>Cmax in healthy human at 4 mg/kg, iv administered as 30 mins infusion every 24 hrs measured on day 1</t>
  </si>
  <si>
    <t>Cmax in healthy human at 4 mg/kg, iv administered as 30 mins infusion every 24 hrs measured on day 7</t>
  </si>
  <si>
    <t>AUC (0 to infinity) in nonobese human subjects at 4 mg/kg, iv administered as single dose 30 mins infusion</t>
  </si>
  <si>
    <t>Cmax in healthy adult human at 6 mg/kg, iv administered as single dose 30 mins infusion</t>
  </si>
  <si>
    <t>Cmax in healthy human at 6 mg/kg, iv administered as 30 mins infusion every 24 hrs measured on day 1</t>
  </si>
  <si>
    <t>Cmax in healthy human at 6 mg/kg, iv administered as 30 mins infusion every 24 hrs measured on day 7</t>
  </si>
  <si>
    <t>Cmax in healthy human subjects at 6 mg/kg, iv administered as 30 mins infusion every 24 hrs measured on day 1</t>
  </si>
  <si>
    <t>Cmax in healthy human subjects at 6 mg/kg, iv administered as 30 mins infusion every 24 hrs measured on day 4</t>
  </si>
  <si>
    <t>AUC (0 to infinity) in healthy adult human at 6 mg/kg, iv administered as single dose 30 mins infusion</t>
  </si>
  <si>
    <t>AUC (0 to infinity) in healthy human at 4 mg/kg, iv administered as 30 mins infusion every 24 hrs measured on day 1</t>
  </si>
  <si>
    <t>AUC (0 to infinity) in healthy human at 6 mg/kg, iv administered as 30 mins infusion every 24 hrs measured on day 1</t>
  </si>
  <si>
    <t>AUC (0 to infinity) in healthy human at 8 mg/kg, iv administered as 30 mins infusion every 24 hrs measured on day 1</t>
  </si>
  <si>
    <t>Cmax in healthy human at 8 mg/kg, iv administered as 30 mins infusion every 24 hrs measured on day 1</t>
  </si>
  <si>
    <t>Cmax in healthy human at 8 mg/kg, iv administered as 30 mins infusion every 24 hrs measured on day 7</t>
  </si>
  <si>
    <t>Cmax in healthy human at 8 mg/kg, iv administered as 30 mins infusion every 24 hrs measured on day 14</t>
  </si>
  <si>
    <t>Cmax in healthy human subjects at 8 mg/kg, iv administered as 30 mins infusion every 24 hrs measured on day 1</t>
  </si>
  <si>
    <t>Cmax in healthy human subjects at 8 mg/kg, iv administered as 30 mins infusion every 24 hrs measured on day 4</t>
  </si>
  <si>
    <t>AUC (0 to infinity) in healthy human at 4 mg/kg, iv administered as 30 mins infusion every 24 hrs measured on day 7</t>
  </si>
  <si>
    <t>AUC (0 to infinity) in healthy human at 6 mg/kg, iv administered as 30 mins infusion every 24 hrs measured on day 7</t>
  </si>
  <si>
    <t>AUC (0 to infinity) in healthy human at 8 mg/kg, iv administered as 30 mins infusion every 24 hrs measured on day 7</t>
  </si>
  <si>
    <t>AUC (0 to infinity) in healthy human at 8 mg/kg, iv administered as 30 mins infusion every 24 hrs measured on day 14</t>
  </si>
  <si>
    <t>AUC (0 to infinity) in healthy human subjects at 6 mg/kg, iv administered as 30 mins infusion every 24 hrs measured on day 1</t>
  </si>
  <si>
    <t>AUC (0 to infinity) in healthy human subjects at 8 mg/kg, iv administered as 30 mins infusion every 24 hrs measured on day 1</t>
  </si>
  <si>
    <t>AUC (0 to infinity) in healthy human subjects at 10 mg/kg, iv administered as 30 mins infusion every 24 hrs measured on day 1</t>
  </si>
  <si>
    <t>Cmax in healthy human subjects at 10 mg/kg, iv administered as 30 mins infusion every 24 hrs measured on day 1</t>
  </si>
  <si>
    <t>Cmax in healthy human subjects at 10 mg/kg, iv administered as 30 mins infusion every 24 hrs measured on day 4</t>
  </si>
  <si>
    <t>Cmax in healthy human subjects at 10 mg/kg, iv administered as 30 mins infusion every 24 hrs measured on day 14</t>
  </si>
  <si>
    <t>AUC (0 to infinity) in healthy human subjects at 12 mg/kg, iv administered as 30 mins infusion every 24 hrs measured on day 1</t>
  </si>
  <si>
    <t>Cmax in healthy human subjects at 12 mg/kg, iv administered as 30 mins infusion every 24 hrs measured on day 1</t>
  </si>
  <si>
    <t>Cmax in healthy human subjects at 12 mg/kg, iv administered as 30 mins infusion every 24 hrs measured on day 4</t>
  </si>
  <si>
    <t>Cmax in healthy human subjects at 12 mg/kg, iv administered as 30 mins infusion every 24 hrs measured on day 14</t>
  </si>
  <si>
    <t>CC[C@@H]([C@H](C)O)n1ncn(-c2ccc(N3CCN(c4ccc(OC[C@@H]5CO[C@@](Cn6cncn6)(c6ccc(F)cc6F)C5)cc4)CC3)cc2)c1=O</t>
  </si>
  <si>
    <t>AUClast in healthy human at 400 mg/kg, po</t>
  </si>
  <si>
    <t>Cmax in healthy human at 400 mg/kg, po</t>
  </si>
  <si>
    <t>CHEMBL1649520</t>
  </si>
  <si>
    <t>CHEMBL1397</t>
  </si>
  <si>
    <t>POSACONAZOLE</t>
  </si>
  <si>
    <t>AUC (0 to infinity) in healthy human at 400 mg/kg, po</t>
  </si>
  <si>
    <t>AUC (0 to infinity) in healthy human at 400 mg/kg, po administered as single dose</t>
  </si>
  <si>
    <t>Cmax in healthy human at 400 mg/kg, po administered as single dose</t>
  </si>
  <si>
    <t>CHEMBL1649522</t>
  </si>
  <si>
    <t>Cmax in healthy human at 400 mg/kg, po BID for 4 days</t>
  </si>
  <si>
    <t>CC(=O)OCC1=C(C(=O)O)N2C(=O)[C@@H](NC(=O)Cc3cccs3)[C@H]2SC1</t>
  </si>
  <si>
    <t>AUC (0 to infinity) in healthy human at 1 g, iv</t>
  </si>
  <si>
    <t>Cmax in healthy human at 1 g, iv</t>
  </si>
  <si>
    <t>CHEMBL1649272</t>
  </si>
  <si>
    <t>CHEMBL617</t>
  </si>
  <si>
    <t>CEPHALOTHIN</t>
  </si>
  <si>
    <t>g</t>
  </si>
  <si>
    <t>C[C@H]1COc2c(N3CCN(C)CC3)c(F)cc3c(=O)c(C(=O)O)cn1c23.C[C@H]1COc2c(N3CCN(C)CC3)c(F)cc3c(=O)c(C(=O)O)cn1c23.O</t>
  </si>
  <si>
    <t>Cmax in human at 500 mg, po QD measured on day 10 by LS/MS/MS analysis</t>
  </si>
  <si>
    <t>CHEMBL1671723</t>
  </si>
  <si>
    <t>CHEMBL5315124</t>
  </si>
  <si>
    <t>LEVOFLOXACIN</t>
  </si>
  <si>
    <t>CHEMBL33</t>
  </si>
  <si>
    <t>Cmax in human at 500 mg, po by LS/MS/MS analysis</t>
  </si>
  <si>
    <t>AUC (0 to infinity) in human at 500 mg, po by LS/MS/MS analysis</t>
  </si>
  <si>
    <t>AUC (0 to infinity) in HIV-seronegative healthy volunteers at 400 mg, po administered as single dose by LC-MS/MS</t>
  </si>
  <si>
    <t>Cmax in HIV-seronegative healthy volunteers at 400 mg, po administered as single dose by LC-MS/MS</t>
  </si>
  <si>
    <t>CHEMBL1687816</t>
  </si>
  <si>
    <t>CC[C@H]1OC(=O)[C@H](C)C(=O)[C@H](C)[C@@H](O[C@@H]2O[C@H](C)C[C@H](N(C)C)[C@H]2O)[C@@]2(C)C[C@@H](C)/C(=N\C(C)=O)[C@H](C)[C@@H](OC/C(=N\OCc3ccc(-n4cccn4)nc3)CO2)[C@]1(C)O</t>
  </si>
  <si>
    <t>AUC (0 to last) in healthy human plasma at 200 mg, po once daily for 3 days measured after 1 day</t>
  </si>
  <si>
    <t>Cmax in high-fat fed healthy human plasma at 200 mg, po administered as single dose of two-100 mg capsules</t>
  </si>
  <si>
    <t>CHEMBL1687734</t>
  </si>
  <si>
    <t>CHEMBL263886</t>
  </si>
  <si>
    <t>MODITHROMYCIN</t>
  </si>
  <si>
    <t>Cmax in 8 hrs fasted healthy human plasma at 200 mg, po administered as single dose of two-100 mg capsules</t>
  </si>
  <si>
    <t>Cmax in 8 hrs fasted healthy human plasma at 200 mg, po administered as single dose of suspension</t>
  </si>
  <si>
    <t>Cmax in healthy human plasma at 200 mg, po once daily for 3 days measured after 1 day</t>
  </si>
  <si>
    <t>Cmax in healthy human plasma at 200 mg, po once daily for 3 days measured after 3 days</t>
  </si>
  <si>
    <t>AUC (0 to last) in healthy human plasma at 200 mg, po once daily for 3 days measured after 3 days</t>
  </si>
  <si>
    <t>AUC (0 to infinity) in healthy human plasma at 200 mg, po once daily for 3 days measured after 3 days</t>
  </si>
  <si>
    <t>AUC (0 to last) in healthy human plasma at loading dose of 400 mg/day, po once daily for 3 days measured after 1 day</t>
  </si>
  <si>
    <t>Cmax in healthy human plasma at loading dose of 400 mg/day, po once daily for 3 days measured after 1 day</t>
  </si>
  <si>
    <t>AUC (0 to last) in healthy human plasma at 400 mg administered once on day 1 followed by 200 mg once daily for 2 days during 3 days of treatment measured after 3 days</t>
  </si>
  <si>
    <t>Cmax in healthy human plasma at 400 mg administered once on day 1 followed by 200 mg once daily for 2 days during 3 days of treatment measured after 3 days</t>
  </si>
  <si>
    <t>AUC (0 to last) in 8 hrs fasted healthy human plasma at 200 mg, po administered as single dose of suspension</t>
  </si>
  <si>
    <t>AUC (0 to last) in 8 hrs fasted healthy human plasma at 200 mg, po administered as single dose of two-100 mg capsules</t>
  </si>
  <si>
    <t>AUC (0 to last) in high-fat fed healthy human plasma at 200 mg, po administered as single dose of two-100 mg capsules</t>
  </si>
  <si>
    <t>AUC (0 to infinity) in 8 hrs fasted healthy human plasma at 200 mg, po administered as single dose of suspension</t>
  </si>
  <si>
    <t>AUC (0 to infinity) in 8 hrs fasted healthy human plasma at 200 mg, po administered as single dose of two-100 mg capsules</t>
  </si>
  <si>
    <t>AUC (0 to infinity) in high-fat fed healthy human plasma at 200 mg, po administered as single dose of two-100 mg capsules</t>
  </si>
  <si>
    <t>C[C@@H](O)[C@H]1C(=O)N2C(C(=O)O)=C(S[C@@H]3CN[C@H](CNS(N)(=O)=O)C3)[C@H](C)[C@H]12</t>
  </si>
  <si>
    <t>AUC (0 to infinity) in healthy human at 500 mg, iv</t>
  </si>
  <si>
    <t>Cmax in healthy human at 500 mg, iv</t>
  </si>
  <si>
    <t>CHEMBL1687854</t>
  </si>
  <si>
    <t>CHEMBL491571</t>
  </si>
  <si>
    <t>DORIPENEM</t>
  </si>
  <si>
    <t>C/C(=N\O)c1nc([C@@H](O)[C@H](O)[C@H](O)CO)c[nH]1.Cl</t>
  </si>
  <si>
    <t>AUC (0 to infinity) in healthy human at 1 mg/kg, po by LC/MS/MS analysis</t>
  </si>
  <si>
    <t>Cmax in healthy human at 1 mg/kg, po by LC/MS/MS analysis</t>
  </si>
  <si>
    <t>CHEMBL1799925</t>
  </si>
  <si>
    <t>CHEMBL1802099</t>
  </si>
  <si>
    <t>CHEMBL1852164</t>
  </si>
  <si>
    <t>CCOc1noc2cc(OCCC3CCN(c4ccc(C)nn4)CC3)ccc12</t>
  </si>
  <si>
    <t>AUC (0 to infinity) in human at 400 mg administered as single dose</t>
  </si>
  <si>
    <t>Cmax in human at 400 mg administered as single dose</t>
  </si>
  <si>
    <t>CHEMBL2062441</t>
  </si>
  <si>
    <t>CHEMBL2062774</t>
  </si>
  <si>
    <t>VAPENDAVIR</t>
  </si>
  <si>
    <t>COc1cnc(OC)c2c1c(C(=O)C(=O)N1CCN(C(=O)c3ccccc3)CC1)cn2COP(=O)(O)O.NCCCC[C@H](N)C(=O)O</t>
  </si>
  <si>
    <t>CHEMBL2163239</t>
  </si>
  <si>
    <t>CHEMBL2165861</t>
  </si>
  <si>
    <t>CHEMBL2219875</t>
  </si>
  <si>
    <t>COc1ncc(OC)c2c(C(=O)C(=O)N3CCN(C(=O)c4ccccc4)CC3)c[nH]c12</t>
  </si>
  <si>
    <t>AUC (infinity) in high fat fed healthy human at 800 mg, po administered as capsule with high fat meal</t>
  </si>
  <si>
    <t>Cmax in high fat fed healthy human at 800 mg, po administered as capsule with high fat meal</t>
  </si>
  <si>
    <t>CHEMBL238103</t>
  </si>
  <si>
    <t>O=[N+]([O-])c1cn2c(n1)OC[C@@H](OCc1ccc(OC(F)(F)F)cc1)C2</t>
  </si>
  <si>
    <t>CHEMBL2163329</t>
  </si>
  <si>
    <t>CHEMBL227875</t>
  </si>
  <si>
    <t>PRETOMANID</t>
  </si>
  <si>
    <t>COC(=O)N[C@H](C(=O)N1CC2(CC2)C[C@H]1c1nc(-c2ccc3c(c2)C(F)(F)c2cc(-c4ccc5[nH]c([C@@H]6[C@H]7CC[C@H](C7)N6C(=O)[C@@H](NC(=O)OC)C(C)C)nc5c4)ccc2-3)c[nH]1)C(C)C</t>
  </si>
  <si>
    <t>AUC (infinity) in fasted healthy human at 100 mg/kg, po</t>
  </si>
  <si>
    <t>Cmax in fasted healthy human at 100 mg/kg, po</t>
  </si>
  <si>
    <t>CHEMBL3120075</t>
  </si>
  <si>
    <t>CHEMBL2374220</t>
  </si>
  <si>
    <t>LEDIPASVIR</t>
  </si>
  <si>
    <t>AUClast in fasted healthy human at 100 mg/kg, po</t>
  </si>
  <si>
    <t>AUC (infinity) in fasted healthy human at 60 mg/kg, po</t>
  </si>
  <si>
    <t>Cmax in fasted healthy human at 60 mg/kg, po</t>
  </si>
  <si>
    <t>AUClast in fasted healthy human at 60 mg/kg, po</t>
  </si>
  <si>
    <t>AUC (infinity) in fasted healthy human at 30 mg/kg, po</t>
  </si>
  <si>
    <t>Cmax in fasted healthy human at 30 mg/kg, po</t>
  </si>
  <si>
    <t>AUClast in fasted healthy human at 30 mg/kg, po</t>
  </si>
  <si>
    <t>AUC (infinity) in fasted healthy human at 10 mg/kg, po</t>
  </si>
  <si>
    <t>Cmax in fasted healthy human at 10 mg/kg, po</t>
  </si>
  <si>
    <t>AUClast in fasted healthy human at 10 mg/kg, po</t>
  </si>
  <si>
    <t>AUC (infinity) in fasted healthy human at 3 mg/kg, po</t>
  </si>
  <si>
    <t>Cmax in fasted healthy human at 3 mg/kg, po</t>
  </si>
  <si>
    <t>AUClast in fasted healthy human at 3 mg/kg, po</t>
  </si>
  <si>
    <t>O=C1C=CN(c2c(F)cc(N3C[C@H](CNc4ccon4)OC3=O)c(F)c2F)CC1</t>
  </si>
  <si>
    <t>AUC (0 to infinity) in fasted human at 300 mg, po administered as single dose</t>
  </si>
  <si>
    <t>Cmax in fasted human at 300 mg, po administered as single dose</t>
  </si>
  <si>
    <t>CHEMBL3286113</t>
  </si>
  <si>
    <t>CHEMBL3287379</t>
  </si>
  <si>
    <t>CONTEZOLID</t>
  </si>
  <si>
    <t>AUC (0 to infinity) in fasted human at 600 mg, po administered as single dose</t>
  </si>
  <si>
    <t>Cmax in fasted human at 600 mg, po administered as single dose</t>
  </si>
  <si>
    <t>Cmax in human at 600 mg, po administered as single dose with meal measured on day 1</t>
  </si>
  <si>
    <t>Cmax in human at 600 mg, po administered as single dose with meal measured on day 15</t>
  </si>
  <si>
    <t>AUC (0 to infinity) in fasted human at 900 mg, po administered as single dose</t>
  </si>
  <si>
    <t>Cmax in fasted human at 900 mg, po administered as single dose</t>
  </si>
  <si>
    <t>Cmax in human at 900 mg, po administered as single dose at 30 mins post fat meal</t>
  </si>
  <si>
    <t>AUC (0 to infinity) in human at 900 mg, po administered as single dose at 30 mins post fat meal</t>
  </si>
  <si>
    <t>CCOc1ccc(Cc2cc([C@]34OC[C@](CO)(O3)[C@@H](O)[C@H](O)[C@H]4O)ccc2Cl)cc1</t>
  </si>
  <si>
    <t>AUC (0 to last) in healthy human at 25 mg, po</t>
  </si>
  <si>
    <t>Cmax in healthy human at 25 mg, po</t>
  </si>
  <si>
    <t>CHEMBL3526027</t>
  </si>
  <si>
    <t>CHEMBL1770248</t>
  </si>
  <si>
    <t>ERTUGLIFLOZIN</t>
  </si>
  <si>
    <t>AUC (0 to infinity) in healthy human at 25 mg, po</t>
  </si>
  <si>
    <t>CHEMBL3525964</t>
  </si>
  <si>
    <t>CHEMBL3542265</t>
  </si>
  <si>
    <t>CS(=O)(=O)CCNCc1ccc(-c2ccc3ncnc(Nc4ccc(OCc5cccc(F)c5)c(Cl)c4)c3c2)o1.Cc1ccc(S(=O)(=O)O)cc1.Cc1ccc(S(=O)(=O)O)cc1.O</t>
  </si>
  <si>
    <t>AUC (infinity) in healthy human at 250 mg, po administered as single dose</t>
  </si>
  <si>
    <t>Cmax in healthy human at 250 mg, po administered as single dose</t>
  </si>
  <si>
    <t>CHEMBL3526055</t>
  </si>
  <si>
    <t>CHEMBL1201179</t>
  </si>
  <si>
    <t>LAPATINIB DITOSYLATE</t>
  </si>
  <si>
    <t>CHEMBL554</t>
  </si>
  <si>
    <t>CC(C)OC(=O)N[C@H]1Cc2c(n(Cc3ccccn3)c3ccc(C#N)cc23)C1</t>
  </si>
  <si>
    <t>AUC (0 to last) in human at 15 mg, po administered as single dose by liquid scintillation counting method</t>
  </si>
  <si>
    <t>Cmax in human at 15 mg, po administered as single dose by liquid scintillation counting method</t>
  </si>
  <si>
    <t>LY2452473</t>
  </si>
  <si>
    <t>AUC (0 to infinity) in human at 15 mg, po administered as single dose by liquid scintillation counting method</t>
  </si>
  <si>
    <t>CHEMBL3526145</t>
  </si>
  <si>
    <t>CHEMBL515387</t>
  </si>
  <si>
    <t>O=C([C@@H]1C[C@H](N2CCN(c3ncccn3)CC2)CN1)N1CCC(F)(F)C1</t>
  </si>
  <si>
    <t>AUC (0 to infinity) in human treated with [14C]PF-00734200 at 20 mg/kg, po administered as single dose</t>
  </si>
  <si>
    <t>Cmax in human treated with [14C]PF-00734200 at 20 mg/kg, po administered as single dose</t>
  </si>
  <si>
    <t>GOSOGLIPTIN</t>
  </si>
  <si>
    <t>CNC(=O)[C@@H](c1ccccc1)N1CCc2cc(OC)c(OC)cc2[14C@@H]1CCc1ccc(C(F)(F)F)cc1</t>
  </si>
  <si>
    <t>AUC (0 to infinity) in healthy human at 200 mg, po dosed as single dose</t>
  </si>
  <si>
    <t>Cmax in healthy human at 200 mg, po dosed as single dose</t>
  </si>
  <si>
    <t>CHEMBL3526050</t>
  </si>
  <si>
    <t>CHEMBL3542330</t>
  </si>
  <si>
    <t>CHEMBL455136</t>
  </si>
  <si>
    <t>CCC(CC)O[C@@H]1C=C(C(=O)O)C[C@H](N)[C@H]1NC(C)=O</t>
  </si>
  <si>
    <t>AUC(0 to infinity) in healthy human at 150 mg, po administered as single dose by HPLC-tandem mass spectrometry under fed conditions</t>
  </si>
  <si>
    <t>Cmax in healthy human at 150 mg, po administered as single dose by HPLC-tandem mass spectrometry under fed conditions</t>
  </si>
  <si>
    <t>CHEMBL3526035</t>
  </si>
  <si>
    <t>CHEMBL674</t>
  </si>
  <si>
    <t>OSELTAMIVIR CARBOXYLATE</t>
  </si>
  <si>
    <t>Cmax in healthy human at 150 mg, po administered as single dose by HPLC-tandem mass spectrometry under fasting conditions</t>
  </si>
  <si>
    <t>CCOC(=O)C1=C[C@@H](OC(CC)CC)[C@H](NC(C)=O)[C@@H](N)C1</t>
  </si>
  <si>
    <t>CHEMBL1229</t>
  </si>
  <si>
    <t>OSELTAMIVIR</t>
  </si>
  <si>
    <t>AUC(0 to infinity) in healthy human at 150 mg, po administered as single dose by HPLC-tandem mass spectrometry under fasting conditions</t>
  </si>
  <si>
    <t>CC(C)(C)NC(=O)c1ccc(Oc2cc(F)c(CC(=O)O)cc2Cl)c(NS(=O)(=O)c2ccc(C3CC3)cc2Cl)c1</t>
  </si>
  <si>
    <t>AUC (0 to infinity) in healthy human at 50 mg, po</t>
  </si>
  <si>
    <t>Cmax in healthy human at 50 mg, po</t>
  </si>
  <si>
    <t>CHEMBL3526017</t>
  </si>
  <si>
    <t>CHEMBL1951575</t>
  </si>
  <si>
    <t>VIDUPIPRANT</t>
  </si>
  <si>
    <t>CCS(=O)(=O)NCc1cncc(-c2c(C#N)c3ccc(Cl)cc3n2C)c1</t>
  </si>
  <si>
    <t>CHEMBL3745671</t>
  </si>
  <si>
    <t>CHEMBL3747562</t>
  </si>
  <si>
    <t>CC(=O)Nc1ccc(O)cc1</t>
  </si>
  <si>
    <t>AUC (0 to infinity) in Japanese healthy volunteer (5 volunteers) at 1000 mg, po by HPLC method</t>
  </si>
  <si>
    <t>Cmax in Japanese healthy volunteer (5 volunteers) at 1000 mg, po by HPLC method</t>
  </si>
  <si>
    <t>CHEMBL3785018</t>
  </si>
  <si>
    <t>CHEMBL112</t>
  </si>
  <si>
    <t>ACETAMINOPHEN</t>
  </si>
  <si>
    <t>O=C([O-])Cc1ccccc1Nc1c(Cl)cccc1Cl.[Na+]</t>
  </si>
  <si>
    <t>AUC (0 to infinity) in healthy subject (7 subjects) at 50 mg, po administered as single dose</t>
  </si>
  <si>
    <t>Cmax in healthy subject (7 subjects) at 50 mg, po administered as single dose</t>
  </si>
  <si>
    <t>CHEMBL3785039</t>
  </si>
  <si>
    <t>CHEMBL1034</t>
  </si>
  <si>
    <t>DICLOFENAC SODIUM</t>
  </si>
  <si>
    <t>CHEMBL139</t>
  </si>
  <si>
    <t>AUC (0 to infinity) in healthy subject (7 subjects) at 50 mg, iv by three compartment open model</t>
  </si>
  <si>
    <t>Cmax in healthy subject (7 subjects) at 50 mg, iv measured after 5 mins</t>
  </si>
  <si>
    <t>AUC (0 to t) in healthy human (24 volunteers) at 400 mg, po test formulation of drug administered as single dose measured after 0.5 to 10 hrs</t>
  </si>
  <si>
    <t>Cmax in healthy human (24 volunteers) at 400 mg, po test formulation of drug administered as single dose measured after 0.5 to 10 hrs</t>
  </si>
  <si>
    <t>CHEMBL3797119</t>
  </si>
  <si>
    <t>Cmax in healthy human (24 volunteers) at 400 mg, po reference formulation of drug administered as single dose measured after 0.5 to 10 hrs</t>
  </si>
  <si>
    <t>AUC (0 to t) in healthy human (24 volunteers) at 400 mg, po reference formulation of drug administered as single dose measured after 0.5 to 10 hrs</t>
  </si>
  <si>
    <t>AUC (0 to infinity) in healthy human (24 volunteers) at 400 mg, po test formulation of drug administered as single dose measured after 0.5 to 10 hrs</t>
  </si>
  <si>
    <t>AUC (0 to infinity) in healthy human (24 volunteers) at 400 mg, po reference formulation of drug administered as single dose measured after 0.5 to 10 hrs</t>
  </si>
  <si>
    <t>CC[C@@H]1OC(=O)[C@H](C)[C@@H](O[C@@H]2C[C@](C)(OC)[C@H](O)[C@@H](C)O2)[C@@H](C)[C@@H](O[C@@H]2O[C@H](C)C[C@H](N(C)C)[C@H]2O)[C@](C)(O)C[C@@H](C)CN(C)[C@H](C)[C@@H](O)[C@]1(C)O</t>
  </si>
  <si>
    <t>AUC (0 to t) in healthy human (24 volunteers) at 500 mg, po test formulation of drug administered as single dose measured after 0.5 to 72 hrs</t>
  </si>
  <si>
    <t>Cmax in healthy human (24 volunteers) at 500 mg, po test formulation of drug administered as single dose measured after 0.5 to 72 hrs</t>
  </si>
  <si>
    <t>CHEMBL4299381</t>
  </si>
  <si>
    <t>Cmax in healthy human (24 volunteers) at 500 mg, po reference formulation of drug administered as single dose measured after 0.5 to 72 hrs</t>
  </si>
  <si>
    <t>AUC (0 to t) in healthy human (24 volunteers) at 500 mg, po reference formulation of drug administered as single dose measured after 0.5 to 72 hrs</t>
  </si>
  <si>
    <t>AUC (0 to infinity) in healthy human (24 volunteers) at 500 mg, po test formulation of drug administered as single dose measured after 0.5 to 72 hrs</t>
  </si>
  <si>
    <t>AUC (0 to infinity) in healthy human (24 volunteers) at 500 mg, po reference formulation of drug administered as single dose measured after 0.5 to 72 hrs</t>
  </si>
  <si>
    <t>CC(=O)Nc1cc(-c2c(-c3ccc(F)cc3)nc([S+](C)[O-])n2C)ccn1</t>
  </si>
  <si>
    <t>AUC (0 to infinity) in human at 10 mg, po administered as single dose</t>
  </si>
  <si>
    <t>Cmax in human at 10 mg, po administered as single dose</t>
  </si>
  <si>
    <t>CHEMBL4028848</t>
  </si>
  <si>
    <t>CHEMBL1773422</t>
  </si>
  <si>
    <t>Cmax in fasting human at 10 mg, po administered as single dose</t>
  </si>
  <si>
    <t>Cmax in fed human at 10 mg, po administered as single dose</t>
  </si>
  <si>
    <t>AUC (0 to infinity) in human at 50 mg, po administered as single dose</t>
  </si>
  <si>
    <t>Cmax in human at 50 mg, po administered as single dose</t>
  </si>
  <si>
    <t>AUC (0 to infinity) in fasting human at 10 mg, po administered as single dose</t>
  </si>
  <si>
    <t>AUC (0 to infinity) in fed human at 10 mg, po administered as single dose</t>
  </si>
  <si>
    <t>AUC (0 to infinity) in human at 20 mg, po administered as single dose</t>
  </si>
  <si>
    <t>Cmax in human at 20 mg, po administered as single dose</t>
  </si>
  <si>
    <t>AUC (0 to infinity) in human at 30 mg, po administered as single dose</t>
  </si>
  <si>
    <t>Cmax in human at 30 mg, po administered as single dose</t>
  </si>
  <si>
    <t>StudyID</t>
  </si>
  <si>
    <t>Time_between_rep</t>
  </si>
  <si>
    <t>Nrep</t>
  </si>
  <si>
    <t>Infusion_duration</t>
  </si>
  <si>
    <t>Infusion_duration_unit</t>
  </si>
  <si>
    <t>Comment</t>
  </si>
  <si>
    <t>Study1</t>
  </si>
  <si>
    <t>Study2</t>
  </si>
  <si>
    <t>Study3</t>
  </si>
  <si>
    <t>Study4</t>
  </si>
  <si>
    <t>Study5</t>
  </si>
  <si>
    <t>Study6</t>
  </si>
  <si>
    <t>Study7</t>
  </si>
  <si>
    <t>Study8</t>
  </si>
  <si>
    <t>Study9</t>
  </si>
  <si>
    <t>Study10</t>
  </si>
  <si>
    <t>Study11</t>
  </si>
  <si>
    <t>Study12</t>
  </si>
  <si>
    <t>Study13</t>
  </si>
  <si>
    <t>Study14</t>
  </si>
  <si>
    <t>Study17</t>
  </si>
  <si>
    <t>Study20</t>
  </si>
  <si>
    <t>Study26</t>
  </si>
  <si>
    <t>Study30</t>
  </si>
  <si>
    <t>Study31</t>
  </si>
  <si>
    <t>Study32</t>
  </si>
  <si>
    <t>Study36</t>
  </si>
  <si>
    <t>Study37</t>
  </si>
  <si>
    <t>Study40</t>
  </si>
  <si>
    <t>Study41</t>
  </si>
  <si>
    <t>Study42</t>
  </si>
  <si>
    <t>Study43</t>
  </si>
  <si>
    <t>Study49</t>
  </si>
  <si>
    <t>Study52</t>
  </si>
  <si>
    <t>Study62</t>
  </si>
  <si>
    <t>Study65</t>
  </si>
  <si>
    <t>Study66</t>
  </si>
  <si>
    <t>Study67</t>
  </si>
  <si>
    <t>Study68</t>
  </si>
  <si>
    <t>Study69</t>
  </si>
  <si>
    <t>Study70</t>
  </si>
  <si>
    <t>Study71</t>
  </si>
  <si>
    <t>Study72</t>
  </si>
  <si>
    <t>Study73</t>
  </si>
  <si>
    <t>Study74</t>
  </si>
  <si>
    <t>Study75</t>
  </si>
  <si>
    <t>Study76</t>
  </si>
  <si>
    <t>Study77</t>
  </si>
  <si>
    <t>Study78</t>
  </si>
  <si>
    <t>Study79</t>
  </si>
  <si>
    <t>Study80</t>
  </si>
  <si>
    <t>Study81</t>
  </si>
  <si>
    <t>Study83</t>
  </si>
  <si>
    <t>Study85</t>
  </si>
  <si>
    <t>Study87</t>
  </si>
  <si>
    <t>Study92</t>
  </si>
  <si>
    <t>Study95</t>
  </si>
  <si>
    <t>Study98</t>
  </si>
  <si>
    <t>Study100</t>
  </si>
  <si>
    <t>Study102</t>
  </si>
  <si>
    <t>Study104</t>
  </si>
  <si>
    <t>Study106</t>
  </si>
  <si>
    <t>Study107</t>
  </si>
  <si>
    <t>Study110</t>
  </si>
  <si>
    <t>Study111</t>
  </si>
  <si>
    <t>Study126</t>
  </si>
  <si>
    <t>Study130</t>
  </si>
  <si>
    <t>Study131</t>
  </si>
  <si>
    <t>Study140</t>
  </si>
  <si>
    <t>Study141</t>
  </si>
  <si>
    <t>Study142</t>
  </si>
  <si>
    <t>Study143</t>
  </si>
  <si>
    <t>Study144</t>
  </si>
  <si>
    <t>Study145</t>
  </si>
  <si>
    <t>Study146</t>
  </si>
  <si>
    <t>Study147</t>
  </si>
  <si>
    <t>Study148</t>
  </si>
  <si>
    <t>Study149</t>
  </si>
  <si>
    <t>Study151</t>
  </si>
  <si>
    <t>Study153</t>
  </si>
  <si>
    <t>Study155</t>
  </si>
  <si>
    <t>Study156</t>
  </si>
  <si>
    <t>Study157</t>
  </si>
  <si>
    <t>Study158</t>
  </si>
  <si>
    <t>Study159</t>
  </si>
  <si>
    <t>Study160</t>
  </si>
  <si>
    <t>Study161</t>
  </si>
  <si>
    <t>Study162</t>
  </si>
  <si>
    <t>Study164</t>
  </si>
  <si>
    <t>Study166</t>
  </si>
  <si>
    <t>Study168</t>
  </si>
  <si>
    <t>Study170</t>
  </si>
  <si>
    <t>Study184</t>
  </si>
  <si>
    <t>Study189</t>
  </si>
  <si>
    <t>Study191</t>
  </si>
  <si>
    <t>Study192</t>
  </si>
  <si>
    <t>Study193</t>
  </si>
  <si>
    <t>Study195</t>
  </si>
  <si>
    <t>Study196</t>
  </si>
  <si>
    <t>Study197</t>
  </si>
  <si>
    <t>Study198</t>
  </si>
  <si>
    <t>Study199</t>
  </si>
  <si>
    <t>Study200</t>
  </si>
  <si>
    <t>Study201</t>
  </si>
  <si>
    <t>Study202</t>
  </si>
  <si>
    <t>Study203</t>
  </si>
  <si>
    <t>Study204</t>
  </si>
  <si>
    <t>Inf</t>
  </si>
  <si>
    <t>h</t>
  </si>
  <si>
    <t>AUC ( 0 to 12h) in fasting healthy human at 100 mg, po administered every 12 hrs</t>
  </si>
  <si>
    <t>AUC ( 0 to 12h) in fasting healthy human at 200 mg, po administered every 12 hrs</t>
  </si>
  <si>
    <t>AUC ( 0 to 12h) in fasting healthy human at 400 mg, po administered every 12 hrs</t>
  </si>
  <si>
    <t>BW [kg]</t>
  </si>
  <si>
    <t>ug/ml</t>
  </si>
  <si>
    <t>ng/ml</t>
  </si>
  <si>
    <t>Curated</t>
  </si>
  <si>
    <t>IV INFUSION</t>
  </si>
  <si>
    <t>min</t>
  </si>
  <si>
    <t>Cmax in normal weight human at 236 mg (4 mg/kg) infused over 30 mins</t>
  </si>
  <si>
    <t>mg/l</t>
  </si>
  <si>
    <t>AUC (0 to infinity) in normal weight human at 236 mg (4mg/kg) infused over 30 mins</t>
  </si>
  <si>
    <t>AUC (0 to 24h) in normal weight human at 236 mg (4mg/kg) infused over 30 mins</t>
  </si>
  <si>
    <t>Metric</t>
  </si>
  <si>
    <t>ProtocolID</t>
  </si>
  <si>
    <t>Protocol1</t>
  </si>
  <si>
    <t>Protocol2</t>
  </si>
  <si>
    <t>Protocol3</t>
  </si>
  <si>
    <t>Protocol4</t>
  </si>
  <si>
    <t>Protocol5</t>
  </si>
  <si>
    <t>Protocol6</t>
  </si>
  <si>
    <t>Protocol7</t>
  </si>
  <si>
    <t>Protocol8</t>
  </si>
  <si>
    <t>Protocol9</t>
  </si>
  <si>
    <t>Protocol10</t>
  </si>
  <si>
    <t>Protocol11</t>
  </si>
  <si>
    <t>Protocol12</t>
  </si>
  <si>
    <t>Protocol13</t>
  </si>
  <si>
    <t>Protocol14</t>
  </si>
  <si>
    <t>Protocol17</t>
  </si>
  <si>
    <t>Protocol20</t>
  </si>
  <si>
    <t>Protocol26</t>
  </si>
  <si>
    <t>Protocol30</t>
  </si>
  <si>
    <t>Protocol31</t>
  </si>
  <si>
    <t>Protocol32</t>
  </si>
  <si>
    <t>Protocol36</t>
  </si>
  <si>
    <t>Protocol37</t>
  </si>
  <si>
    <t>Protocol40</t>
  </si>
  <si>
    <t>Protocol41</t>
  </si>
  <si>
    <t>Protocol42</t>
  </si>
  <si>
    <t>Protocol43</t>
  </si>
  <si>
    <t>Protocol49</t>
  </si>
  <si>
    <t>Protocol52</t>
  </si>
  <si>
    <t>Protocol62</t>
  </si>
  <si>
    <t>Protocol65</t>
  </si>
  <si>
    <t>Protocol66</t>
  </si>
  <si>
    <t>Protocol67</t>
  </si>
  <si>
    <t>Protocol68</t>
  </si>
  <si>
    <t>Protocol69</t>
  </si>
  <si>
    <t>Protocol70</t>
  </si>
  <si>
    <t>Protocol71</t>
  </si>
  <si>
    <t>Protocol72</t>
  </si>
  <si>
    <t>Protocol73</t>
  </si>
  <si>
    <t>Protocol74</t>
  </si>
  <si>
    <t>Protocol75</t>
  </si>
  <si>
    <t>Protocol76</t>
  </si>
  <si>
    <t>Protocol77</t>
  </si>
  <si>
    <t>Protocol78</t>
  </si>
  <si>
    <t>Protocol79</t>
  </si>
  <si>
    <t>Protocol80</t>
  </si>
  <si>
    <t>Protocol81</t>
  </si>
  <si>
    <t>Protocol83</t>
  </si>
  <si>
    <t>Protocol85</t>
  </si>
  <si>
    <t>Protocol87</t>
  </si>
  <si>
    <t>Protocol92</t>
  </si>
  <si>
    <t>Protocol95</t>
  </si>
  <si>
    <t>Protocol98</t>
  </si>
  <si>
    <t>Protocol100</t>
  </si>
  <si>
    <t>Protocol102</t>
  </si>
  <si>
    <t>Protocol104</t>
  </si>
  <si>
    <t>Protocol106</t>
  </si>
  <si>
    <t>Protocol107</t>
  </si>
  <si>
    <t>Protocol110</t>
  </si>
  <si>
    <t>Protocol111</t>
  </si>
  <si>
    <t>Protocol126</t>
  </si>
  <si>
    <t>Protocol130</t>
  </si>
  <si>
    <t>Protocol131</t>
  </si>
  <si>
    <t>Protocol140</t>
  </si>
  <si>
    <t>Protocol141</t>
  </si>
  <si>
    <t>Protocol142</t>
  </si>
  <si>
    <t>Protocol143</t>
  </si>
  <si>
    <t>Protocol144</t>
  </si>
  <si>
    <t>Protocol145</t>
  </si>
  <si>
    <t>Protocol146</t>
  </si>
  <si>
    <t>Protocol147</t>
  </si>
  <si>
    <t>Protocol148</t>
  </si>
  <si>
    <t>Protocol149</t>
  </si>
  <si>
    <t>Protocol151</t>
  </si>
  <si>
    <t>Protocol153</t>
  </si>
  <si>
    <t>Protocol155</t>
  </si>
  <si>
    <t>Protocol156</t>
  </si>
  <si>
    <t>Protocol157</t>
  </si>
  <si>
    <t>Protocol158</t>
  </si>
  <si>
    <t>Protocol159</t>
  </si>
  <si>
    <t>Protocol160</t>
  </si>
  <si>
    <t>Protocol161</t>
  </si>
  <si>
    <t>Protocol162</t>
  </si>
  <si>
    <t>Protocol164</t>
  </si>
  <si>
    <t>Protocol166</t>
  </si>
  <si>
    <t>Protocol168</t>
  </si>
  <si>
    <t>Protocol170</t>
  </si>
  <si>
    <t>Protocol184</t>
  </si>
  <si>
    <t>Protocol189</t>
  </si>
  <si>
    <t>Protocol191</t>
  </si>
  <si>
    <t>Protocol192</t>
  </si>
  <si>
    <t>Protocol193</t>
  </si>
  <si>
    <t>Protocol195</t>
  </si>
  <si>
    <t>Protocol196</t>
  </si>
  <si>
    <t>Protocol197</t>
  </si>
  <si>
    <t>Protocol198</t>
  </si>
  <si>
    <t>Protocol199</t>
  </si>
  <si>
    <t>Protocol200</t>
  </si>
  <si>
    <t>Protocol201</t>
  </si>
  <si>
    <t>Protocol202</t>
  </si>
  <si>
    <t>Protocol203</t>
  </si>
  <si>
    <t>Protocol204</t>
  </si>
  <si>
    <t>Value</t>
  </si>
  <si>
    <t>Unit</t>
  </si>
  <si>
    <t>Value_paper</t>
  </si>
  <si>
    <t>Value_paper_unit</t>
  </si>
  <si>
    <t>Metric_t1 [h]</t>
  </si>
  <si>
    <t>Metric_t2 [h]</t>
  </si>
  <si>
    <t>D: 50mg on day1; then every 12 h from day 2-8</t>
  </si>
  <si>
    <t>E: 100mg on day1; then every 12 h from day 2-8</t>
  </si>
  <si>
    <t>F: 200mg on day1; then every 12 h from day 2-8</t>
  </si>
  <si>
    <t>H: 200mg on day1; then every 8 h from day 2-8</t>
  </si>
  <si>
    <t>Meal</t>
  </si>
  <si>
    <t>AUC (0-t) in human at 50 mg administered with fat meal every 12 hrs for 8 days measured on day 8</t>
  </si>
  <si>
    <t>AUC (0-t) in human at 100 mg administered with fat meal every 12 hrs for 8 days measured on day 8</t>
  </si>
  <si>
    <t>AUC (0-t) in human at 200 mg administered with fat meal every 12 hrs for 8 days measured on day 8</t>
  </si>
  <si>
    <t>AUC (0-t) in human at 200 mg administered with fat meal every 8 hrs for 8 days measured on day 8</t>
  </si>
  <si>
    <t>AUC (0-t) in human at 400 mg administered with fat meal daily for 8 days measured on day 8</t>
  </si>
  <si>
    <t>AUC (0 to t) in human with normal renal function at 600 mg, po administered as single dose</t>
  </si>
  <si>
    <t>uM.h</t>
  </si>
  <si>
    <t>AUC (0-t) in healthy human at 2 mg administered as single dose suspension</t>
  </si>
  <si>
    <t>AUC (0-t) in healthy human at 5 mg administered as single dose suspension</t>
  </si>
  <si>
    <t>AUC (0-t) in healthy human at 10 mg administered as single dose suspension</t>
  </si>
  <si>
    <t>AUC (0-t) in healthy human at 25 mg administered as single dose suspension</t>
  </si>
  <si>
    <t>AUC (0-t) in healthy human at 50 mg administered as single dose suspension</t>
  </si>
  <si>
    <t>AUC (0-t) in healthy human at 100 mg administered as single dose suspension</t>
  </si>
  <si>
    <t>AUC (0-t) in healthy human at 10 mg, qd for 10 days administered as suspension measured after last dose</t>
  </si>
  <si>
    <t>AUC (0-t) in healthy human at 25 mg, qd for 10 days administered as suspension measured after last dose</t>
  </si>
  <si>
    <t>AUC (0-t) in healthy human at 50 mg, qd for 10 days administered as suspension measured after last dose</t>
  </si>
  <si>
    <t>t_end [h]</t>
  </si>
  <si>
    <t>AUC (0 to 24) in human at 75 mg/kg, po measured on day 1</t>
  </si>
  <si>
    <t>AUC (0 to 24) in human at 75 mg/kg, po measured on day 10</t>
  </si>
  <si>
    <t>AUC (0 to 24) in human at 250 mg/kg, po measured on day 1</t>
  </si>
  <si>
    <t>AUC (0 to 24) in human at 250 mg/kg, po measured on day 10</t>
  </si>
  <si>
    <t>AUC(0 to 24) in human at 500 mg/kg, po measured on day 1</t>
  </si>
  <si>
    <t>AUC (0 to 24) in human at 500 mg/kg, po measured on day 10</t>
  </si>
  <si>
    <t>AUC (0 to 24) in human at 750 mg/kg, po measured on day 10</t>
  </si>
  <si>
    <t>AUC (0 to 24) in human at 750 mg/kg, po measured on day 1</t>
  </si>
  <si>
    <t>AUC (0 to 24) in human at 1000 mg/kg, po measured on day 1</t>
  </si>
  <si>
    <t>AUC (0 to 24) in human at 1000 mg/kg, po measured on day 10</t>
  </si>
  <si>
    <t>AUC(0 to last) in fasting healthy human at 500 mg, po administered as single dose measured after 48 hrs</t>
  </si>
  <si>
    <t>AUC(0 to last) in fasting healthy human at 1000 mg, po administered as single dose measured after 48 hrs</t>
  </si>
  <si>
    <t>AUC(0 to last) in nonfasting healthy human at 1000 mg, po administered as single dose measured after 72 hrs</t>
  </si>
  <si>
    <t>AUC(0 to last) in fasting healthy human at 2000 mg, po administered as single dose measured after 48 hrs</t>
  </si>
  <si>
    <t>AUC (0 to last) in human at 400 mg, po after 24 hrs</t>
  </si>
  <si>
    <t>AUC (0 to 24) in healthy human at 200 mg/kg, po once daily for 7 days measured on day 1</t>
  </si>
  <si>
    <t>AUC (0 to 24) in healthy human at 150 mg/kg, po once daily for 7 days measured on day 1</t>
  </si>
  <si>
    <t>AUC (0 to 24) in healthy human at 250 mg/kg, po once daily for 7 days measured on day 1</t>
  </si>
  <si>
    <t>Cmax in healthy human at 150 mg/kg, po once daily for 7 days measured on day 1</t>
  </si>
  <si>
    <t>Cmax in healthy human at 200 mg/kg, po once daily for 7 days measured on day 1</t>
  </si>
  <si>
    <t>Cmax in healthy human at 250 mg/kg, po once daily for 7 days measured on day 1</t>
  </si>
  <si>
    <t>AUC (0 to 24) in healthy human at 150 mg/kg, po once daily for 7 days measured on day 7</t>
  </si>
  <si>
    <t>AUC (0 to 24) in healthy human at 200 mg/kg, po once daily for 7 days measured on day 7</t>
  </si>
  <si>
    <t>Cmax in healthy human at 150 mg/kg, po once daily for 7 days measured on day 7</t>
  </si>
  <si>
    <t>Cmax in healthy human at 200 mg/kg, po once daily for 7 days measured on day 7</t>
  </si>
  <si>
    <t>AUC (0 to 24) in healthy human at 250 mg/kg, po once daily for 7 days measured on day 7</t>
  </si>
  <si>
    <t>Cmax in healthy human at 250 mg/kg, po once daily for 7 days measured on day 7</t>
  </si>
  <si>
    <t>C12h in HIV-negative human at 400 mg, po administered as single dose</t>
  </si>
  <si>
    <t>C</t>
  </si>
  <si>
    <t>day 1 1 dose, day 2-9 500mg every 8h, day 10 1dose</t>
  </si>
  <si>
    <t>day 1 1 dose, day 2-9 1000mg every 8h, day 10 1dose</t>
  </si>
  <si>
    <t>day 1 1 dose, day 2-9 1500mg every 12h, day 10 1dose</t>
  </si>
  <si>
    <t>AUC (0 to infinity) in healthy human at 500 mg, iv administered every 8h as 1 hr iv infusion measured at day 1</t>
  </si>
  <si>
    <t>Cmax in healthy human at 500 mg, iv administered every 8h as 1 hr iv infusion measured at day 1</t>
  </si>
  <si>
    <t>AUC (0 to infinity) in healthy human at 1000 mg, iv administered every 8h as 1 hr iv infusion measured at day 1</t>
  </si>
  <si>
    <t>Cmax in healthy human at 1000 mg, iv administered every 8h as 1 hr iv infusion measured at day 1</t>
  </si>
  <si>
    <t>AUC (0 to infinity) in healthy human at 1500 mg,iv administered every 12h as 1 hr iv infusion measured at day 1</t>
  </si>
  <si>
    <t>Cmax in healthy human at 1500 mg, iv administered every 12h as 1 hr iv infusion measured at day 1</t>
  </si>
  <si>
    <t>AUC (0 to infinity) in healthy human at 500 mg, iv administered every 8h as 1 hr iv infusion measured at day 10</t>
  </si>
  <si>
    <t>Cmax in healthy human at 500 mg, iv administered every 8h as 1 hr iv infusion measured at day 10</t>
  </si>
  <si>
    <t>AUC (0 to infinity) in healthy human at 1000 mg, iv administered every 8h as 1 hr iv infusion measured at day 10</t>
  </si>
  <si>
    <t>Cmax in healthy human at 1000 mg, iv administered every 8h as 1 hr iv infusion measured at day 10</t>
  </si>
  <si>
    <t>AUC (0 to infinity) in healthy human at 1500 mg,iv administered every 12h as 1 hr iv infusion measured at day 10</t>
  </si>
  <si>
    <t>Cmax in healthy human at 1500 mg, iv administered every 12h as 1 hr iv infusion measured at day 10</t>
  </si>
  <si>
    <t>AUC (0 to 24h) in human at 20 mg administered under fasting condition</t>
  </si>
  <si>
    <t>AUC (0 to las) in human at 20 mg administered under fasting condition</t>
  </si>
  <si>
    <t>AUC (0 to last) in healthy human at 250 mg/kg, po administered as single dose measured after 72 hrs by HPLC method</t>
  </si>
  <si>
    <t>AUC (0 to last) in healthy human at 500 mg/kg, po administered as single dose measured after 72 hrs by HPLC method</t>
  </si>
  <si>
    <t>AUC (0 to last) in healthy human at 1000 mg/kg, po administered as single dose measured after 72 hrs by HPLC method</t>
  </si>
  <si>
    <t>AUC (0 to last) in healthy human at 1500 mg/kg, po administered as single dose measured after 72 hrs by HPLC method</t>
  </si>
  <si>
    <t>AUC (0 to last) in healthy human at 1750 mg/kg, po administered as single dose measured after 72 hrs by HPLC method</t>
  </si>
  <si>
    <t>AUC (0 to last) in healthy human at 2000 mg/kg, po administered as single dose measured after 72 hrs by HPLC method</t>
  </si>
  <si>
    <t>C(24h) in fasted state healthy human at 50 mg, po administered as single dose</t>
  </si>
  <si>
    <t>C(24h) in fasted state healthy human at 100 mg, po administered as single dose</t>
  </si>
  <si>
    <t>C(24h) in fasted state healthy human at 200 mg, po administered as single dose</t>
  </si>
  <si>
    <t>C(24h) in fed state healthy human at 200 mg, po administered as single dose</t>
  </si>
  <si>
    <t>C(24h) in fasted state healthy human at 400 mg, po administered as single dose</t>
  </si>
  <si>
    <t>C(24h) in fed state female healthy human at 400 mg, po administered as single dose</t>
  </si>
  <si>
    <t>C(24h) in fed state healthy human at 400 mg, po administered as single dose</t>
  </si>
  <si>
    <t>C(24h) in fed state healthy human at 800 mg, po administered as single dose</t>
  </si>
  <si>
    <t>C(24h) in fed state healthy human at 1200 mg, po administered as single dose</t>
  </si>
  <si>
    <t>AUC (0 to last) in healthy human at 400 mg, po bid after 7 days</t>
  </si>
  <si>
    <t>AUC (0 to last) in healthy human at 800 mg, po qd after 7 days</t>
  </si>
  <si>
    <t>uM</t>
  </si>
  <si>
    <t>C(12h) in healthy human at 400 mg, po administered as single dose</t>
  </si>
  <si>
    <t>nM.h</t>
  </si>
  <si>
    <t>AUC (0 to 72h) in healthy human at 500 mg, po administered as single dose</t>
  </si>
  <si>
    <t>AUC (0 to 24) in healthy human at 400 mg, po administered as single dose</t>
  </si>
  <si>
    <t>AUC (0 to infinity) in healthy human at 800 mg, po administered as single dose</t>
  </si>
  <si>
    <t>AUC (0 to 24) in healthy human at 800 mg, po administered as single dose</t>
  </si>
  <si>
    <t>Cmax in healthy human at 800 mg, po administered as single dose</t>
  </si>
  <si>
    <t>AUC (0 to infinity) in healthy human at 1600 mg, po administered as single dose</t>
  </si>
  <si>
    <t>AUC (0 to 24) in healthy human at 1600 mg, po administered as single dose</t>
  </si>
  <si>
    <t>Cmax in healthy human at 1600 mg, po administered as single dose</t>
  </si>
  <si>
    <t>C (24h) in healthy human at 800 mg, po administered as single dose</t>
  </si>
  <si>
    <t>C (24h) in healthy human at 1600 mg, po administered as single dose</t>
  </si>
  <si>
    <t>C (24h) in healthy human at 400 mg, po administered as single dose</t>
  </si>
  <si>
    <t>AUC (0 to 24) in healthy human at 4 mg/kg, iv administered as single dose 30 mins infusion</t>
  </si>
  <si>
    <t>AUC (0 to 24) in nonobese human subjects at 4 mg/kg, iv administered as single dose 30 mins infusion</t>
  </si>
  <si>
    <t>AUC (0 to t) in healthy human subjects at 10 mg/kg, iv administered as 30 mins infusion every 24 hrs measured on day 4</t>
  </si>
  <si>
    <t>AUC (0 to t) in healthy human subjects at 10 mg/kg, iv administered as 30 mins infusion every 24 hrs measured on day 14</t>
  </si>
  <si>
    <t>AUC (0 to t) in healthy human subjects at 12 mg/kg, iv administered as 30 mins infusion every 24 hrs measured on day 4</t>
  </si>
  <si>
    <t>AUC (0 to t) in healthy human subjects at 12 mg/kg, iv administered as 30 mins infusion every 24 hrs measured on day 14</t>
  </si>
  <si>
    <t>AUC (0 to t) in healthy human subjects at 6 mg/kg, iv administered as 30 mins infusion every 24 hrs measured on day 4</t>
  </si>
  <si>
    <t>AUC (0 to t) in healthy human subjects at 8 mg/kg, iv administered as 30 mins infusion every 24 hrs measured on day 4</t>
  </si>
  <si>
    <t>C (12h) in healthy human at 400 mg/kg, po administered as single dose</t>
  </si>
  <si>
    <t>C12</t>
  </si>
  <si>
    <t>AUC (0-12h) in healthy human at 400 mg/kg, po BID for 4 days</t>
  </si>
  <si>
    <t>AUC (0 to 24) in human at 500 mg, po QD measured on day 10 by LS/MS/MS analysis</t>
  </si>
  <si>
    <t>500mg day 1; then once daily from day 4-10</t>
  </si>
  <si>
    <t>AUC (0 to 12h) in HIV-seronegative healthy volunteers at 400 mg, po administered as single dose by LC-MS/MS</t>
  </si>
  <si>
    <t>C (12h) in HIV-seronegative healthy volunteers at 400 mg, po administered as single dose by LC-MS/MS</t>
  </si>
  <si>
    <t>day1 400 mg, then day2-3 200mg every 12h</t>
  </si>
  <si>
    <t>AUC (0 to inf) in healthy human plasma at 400 mg administered once on day 1 followed by 200 mg once daily for 2 days during 3 days of treatment measured after 3 days</t>
  </si>
  <si>
    <t>AUC (0 to 12) in healthy human at 500 mg, iv</t>
  </si>
  <si>
    <t>C (12h) in high fat fed healthy human at 800 mg, po administered as capsule with high fat meal</t>
  </si>
  <si>
    <t>AUC (infinity) in healthy human at 25 mg, po administered</t>
  </si>
  <si>
    <t>Cmax in healthy human at 25 mg, po administered</t>
  </si>
  <si>
    <t>AUC (infinity) in healthy human at 50 mg, po administered</t>
  </si>
  <si>
    <t>Cmax in healthy human at 50 mg, po administered</t>
  </si>
  <si>
    <t>AUC (infinity) in healthy human at 100 mg, po administered</t>
  </si>
  <si>
    <t>Cmax in healthy human at 100 mg, po administered</t>
  </si>
  <si>
    <t>C (12h) in healthy human at 100 mg, po administered</t>
  </si>
  <si>
    <t>AUC (infinity) in healthy human at 200 mg, po administered</t>
  </si>
  <si>
    <t>Cmax in healthy human at 200 mg, po administered</t>
  </si>
  <si>
    <t>C (12h) in healthy human at 200 mg, po administered</t>
  </si>
  <si>
    <t>AUC (infinity) in healthy human at 400 mg, po administered</t>
  </si>
  <si>
    <t>Cmax in healthy human at 400 mg, po administered</t>
  </si>
  <si>
    <t>C (12h) in healthy human at 400 mg, po administered</t>
  </si>
  <si>
    <t>AUC (infinity) in healthy human at 800 mg, po administered</t>
  </si>
  <si>
    <t>Cmax in healthy human at 800 mg, po administered</t>
  </si>
  <si>
    <t>C (12h) in healthy human at 800 mg, po administered</t>
  </si>
  <si>
    <t>Cmax in human at 800mg/day on day1</t>
  </si>
  <si>
    <t>AUC in human at 800mg/day on day8</t>
  </si>
  <si>
    <t>Cmax in human at 800mg/day on day8</t>
  </si>
  <si>
    <t>Cmax in human at 1000mg/day on day1</t>
  </si>
  <si>
    <t>AUC in human at 1000mg/day on day1</t>
  </si>
  <si>
    <t>AUC in human at 1000mg/day on day8</t>
  </si>
  <si>
    <t>Cmax in human at 1000mg/day on day8</t>
  </si>
  <si>
    <t>AUC (0-t) in human at 800mg/day on day1</t>
  </si>
  <si>
    <t>AUC (0-t) in human at 800mg/day on day5</t>
  </si>
  <si>
    <t>Cmax in human at 800mg/day on day5</t>
  </si>
  <si>
    <t>AUC in human at 1000mg/day on day5</t>
  </si>
  <si>
    <t>Cmax in human at 1000mg/day on day5</t>
  </si>
  <si>
    <t>C (24h) in fasted healthy human at 10 mg/kg, po</t>
  </si>
  <si>
    <t>C (24h) in fasted healthy human at 30 mg/kg, po</t>
  </si>
  <si>
    <t>C (24h) in fasted healthy human at 60 mg/kg, po</t>
  </si>
  <si>
    <t>C (24h) in fasted healthy human at 100 mg/kg, po</t>
  </si>
  <si>
    <t>AUC (0-24) in human at 600 mg, po administered as single dose with meal measured on day 15</t>
  </si>
  <si>
    <t>AUC (0-24) in human at 600 mg, po administered as single dose with meal measured on day 1</t>
  </si>
  <si>
    <t>AUC (0-24) in human at 800 mg, po administered as single dose with meal measured on day 1</t>
  </si>
  <si>
    <t>Cmax in human at 800 mg, po administered as single dose with meal measured on day 1</t>
  </si>
  <si>
    <t>AUC (0-24) in human at 800 mg, po administered as single dose with meal measured on day 15</t>
  </si>
  <si>
    <t>Cmax in human at 800 mg, po administered as single dose with meal measured on day 15</t>
  </si>
  <si>
    <t>AUC (0 to 168) in human treated with [14C]PF-00734200 at 20 mg/kg, po administered as single dose</t>
  </si>
  <si>
    <t>ug/l</t>
  </si>
  <si>
    <t>AUC(0 to 24h) in healthy human at 150 mg, po administered as single dose by HPLC-tandem mass spectrometry under fed conditions</t>
  </si>
  <si>
    <t>AUC(0 to 24h) in healthy human at 150 mg, po administered as single dose by HPLC-tandem mass spectrometry under fasting conditions</t>
  </si>
  <si>
    <t>AUCtau in healthy human at 30 mg po bid</t>
  </si>
  <si>
    <t>Cmax in healthy human at 30 mg, po bid</t>
  </si>
  <si>
    <t>AUCtau in healthy human at 60 mg, po bid</t>
  </si>
  <si>
    <t>Cmax in healthy human at 60 mg, po bid</t>
  </si>
  <si>
    <t>AUCtau in healthy human at 100 mg, po bid</t>
  </si>
  <si>
    <t>Cmax in healthy human at 100 mg, po bid</t>
  </si>
  <si>
    <t>AUCtau in healthy human at 200 mg, po bid</t>
  </si>
  <si>
    <t>Cmax in healthy human at 200 mg, po bid</t>
  </si>
  <si>
    <t>AUC (0 to t) in human at 10 mg, po administered as single dose</t>
  </si>
  <si>
    <t>AUC (0 to t) in fasting human at 10 mg, po administered as single dose</t>
  </si>
  <si>
    <t>AUC (0 to t) in fed human at 10 mg, po administered as single dose</t>
  </si>
  <si>
    <t>AUC (0 to t) in human at 50 mg, po administered as single dose</t>
  </si>
  <si>
    <t>AUC (0 to t) in human at 20 mg, po administered as single dose</t>
  </si>
  <si>
    <t>AUC (0 to t) in human at 30 mg, po administered as single dose</t>
  </si>
  <si>
    <t>CBS-3595</t>
  </si>
  <si>
    <t>Study15</t>
  </si>
  <si>
    <t>Protocol15</t>
  </si>
  <si>
    <t>Study16</t>
  </si>
  <si>
    <t>Protocol16</t>
  </si>
  <si>
    <t>Study18</t>
  </si>
  <si>
    <t>Protocol18</t>
  </si>
  <si>
    <t>Study19</t>
  </si>
  <si>
    <t>Protocol19</t>
  </si>
  <si>
    <t>Study21</t>
  </si>
  <si>
    <t>Protocol21</t>
  </si>
  <si>
    <t>Study22</t>
  </si>
  <si>
    <t>Protocol22</t>
  </si>
  <si>
    <t>Study23</t>
  </si>
  <si>
    <t>Protocol23</t>
  </si>
  <si>
    <t>Study24</t>
  </si>
  <si>
    <t>Protocol24</t>
  </si>
  <si>
    <t>Study25</t>
  </si>
  <si>
    <t>Protocol25</t>
  </si>
  <si>
    <t>Study27</t>
  </si>
  <si>
    <t>Protocol27</t>
  </si>
  <si>
    <t>Study28</t>
  </si>
  <si>
    <t>Protocol28</t>
  </si>
  <si>
    <t>Study29</t>
  </si>
  <si>
    <t>Protocol29</t>
  </si>
  <si>
    <t>Study33</t>
  </si>
  <si>
    <t>Protocol33</t>
  </si>
  <si>
    <t>Study34</t>
  </si>
  <si>
    <t>Protocol34</t>
  </si>
  <si>
    <t>Study35</t>
  </si>
  <si>
    <t>Protocol35</t>
  </si>
  <si>
    <t>Study38</t>
  </si>
  <si>
    <t>Protocol38</t>
  </si>
  <si>
    <t>Study39</t>
  </si>
  <si>
    <t>Protocol39</t>
  </si>
  <si>
    <t>Study44</t>
  </si>
  <si>
    <t>Protocol44</t>
  </si>
  <si>
    <t>Study45</t>
  </si>
  <si>
    <t>Protocol45</t>
  </si>
  <si>
    <t>Study46</t>
  </si>
  <si>
    <t>Protocol46</t>
  </si>
  <si>
    <t>Study47</t>
  </si>
  <si>
    <t>Protocol47</t>
  </si>
  <si>
    <t>Study48</t>
  </si>
  <si>
    <t>Protocol48</t>
  </si>
  <si>
    <t>Study50</t>
  </si>
  <si>
    <t>Protocol50</t>
  </si>
  <si>
    <t>Study51</t>
  </si>
  <si>
    <t>Protocol51</t>
  </si>
  <si>
    <t>Study53</t>
  </si>
  <si>
    <t>Protocol53</t>
  </si>
  <si>
    <t>Study54</t>
  </si>
  <si>
    <t>Protocol54</t>
  </si>
  <si>
    <t>Study55</t>
  </si>
  <si>
    <t>Protocol55</t>
  </si>
  <si>
    <t>Study56</t>
  </si>
  <si>
    <t>Protocol56</t>
  </si>
  <si>
    <t>Study57</t>
  </si>
  <si>
    <t>Protocol57</t>
  </si>
  <si>
    <t>Study58</t>
  </si>
  <si>
    <t>Protocol58</t>
  </si>
  <si>
    <t>Study59</t>
  </si>
  <si>
    <t>Protocol59</t>
  </si>
  <si>
    <t>Study60</t>
  </si>
  <si>
    <t>Protocol60</t>
  </si>
  <si>
    <t>Study61</t>
  </si>
  <si>
    <t>Protocol61</t>
  </si>
  <si>
    <t>Study64</t>
  </si>
  <si>
    <t>Protocol64</t>
  </si>
  <si>
    <t>Study82</t>
  </si>
  <si>
    <t>Protocol82</t>
  </si>
  <si>
    <t>Study84</t>
  </si>
  <si>
    <t>Protocol84</t>
  </si>
  <si>
    <t>Study86</t>
  </si>
  <si>
    <t>Protocol86</t>
  </si>
  <si>
    <t>Study88</t>
  </si>
  <si>
    <t>Protocol88</t>
  </si>
  <si>
    <t>Study89</t>
  </si>
  <si>
    <t>Protocol89</t>
  </si>
  <si>
    <t>Study90</t>
  </si>
  <si>
    <t>Protocol90</t>
  </si>
  <si>
    <t>Study91</t>
  </si>
  <si>
    <t>Protocol91</t>
  </si>
  <si>
    <t>Study93</t>
  </si>
  <si>
    <t>Protocol93</t>
  </si>
  <si>
    <t>Study94</t>
  </si>
  <si>
    <t>Protocol94</t>
  </si>
  <si>
    <t>Study96</t>
  </si>
  <si>
    <t>Protocol96</t>
  </si>
  <si>
    <t>Study97</t>
  </si>
  <si>
    <t>Protocol97</t>
  </si>
  <si>
    <t>Study99</t>
  </si>
  <si>
    <t>Protocol99</t>
  </si>
  <si>
    <t>Study101</t>
  </si>
  <si>
    <t>Protocol101</t>
  </si>
  <si>
    <t>Study103</t>
  </si>
  <si>
    <t>Protocol103</t>
  </si>
  <si>
    <t>Study105</t>
  </si>
  <si>
    <t>Protocol105</t>
  </si>
  <si>
    <t>Study108</t>
  </si>
  <si>
    <t>Protocol108</t>
  </si>
  <si>
    <t>Study109</t>
  </si>
  <si>
    <t>Protocol109</t>
  </si>
  <si>
    <t>Study112</t>
  </si>
  <si>
    <t>Protocol112</t>
  </si>
  <si>
    <t>Study113</t>
  </si>
  <si>
    <t>Protocol113</t>
  </si>
  <si>
    <t>Study114</t>
  </si>
  <si>
    <t>Protocol114</t>
  </si>
  <si>
    <t>Study116</t>
  </si>
  <si>
    <t>Protocol116</t>
  </si>
  <si>
    <t>Study117</t>
  </si>
  <si>
    <t>Protocol117</t>
  </si>
  <si>
    <t>Study118</t>
  </si>
  <si>
    <t>Protocol118</t>
  </si>
  <si>
    <t>Study119</t>
  </si>
  <si>
    <t>Protocol119</t>
  </si>
  <si>
    <t>Study120</t>
  </si>
  <si>
    <t>Protocol120</t>
  </si>
  <si>
    <t>Study121</t>
  </si>
  <si>
    <t>Protocol121</t>
  </si>
  <si>
    <t>Study124</t>
  </si>
  <si>
    <t>Protocol124</t>
  </si>
  <si>
    <t>Study127</t>
  </si>
  <si>
    <t>Protocol127</t>
  </si>
  <si>
    <t>Study128</t>
  </si>
  <si>
    <t>Protocol128</t>
  </si>
  <si>
    <t>Study129</t>
  </si>
  <si>
    <t>Protocol129</t>
  </si>
  <si>
    <t>Study132</t>
  </si>
  <si>
    <t>Protocol132</t>
  </si>
  <si>
    <t>Study133</t>
  </si>
  <si>
    <t>Protocol133</t>
  </si>
  <si>
    <t>Study134</t>
  </si>
  <si>
    <t>Protocol134</t>
  </si>
  <si>
    <t>Study135</t>
  </si>
  <si>
    <t>Protocol135</t>
  </si>
  <si>
    <t>Study136</t>
  </si>
  <si>
    <t>Protocol136</t>
  </si>
  <si>
    <t>Study137</t>
  </si>
  <si>
    <t>Protocol137</t>
  </si>
  <si>
    <t>Study138</t>
  </si>
  <si>
    <t>Protocol138</t>
  </si>
  <si>
    <t>Study139</t>
  </si>
  <si>
    <t>Protocol139</t>
  </si>
  <si>
    <t>Study150</t>
  </si>
  <si>
    <t>Protocol150</t>
  </si>
  <si>
    <t>Study152</t>
  </si>
  <si>
    <t>Protocol152</t>
  </si>
  <si>
    <t>Study154</t>
  </si>
  <si>
    <t>Protocol154</t>
  </si>
  <si>
    <t>Study163</t>
  </si>
  <si>
    <t>Protocol163</t>
  </si>
  <si>
    <t>Study165</t>
  </si>
  <si>
    <t>Protocol165</t>
  </si>
  <si>
    <t>Study167</t>
  </si>
  <si>
    <t>Protocol167</t>
  </si>
  <si>
    <t>Study169</t>
  </si>
  <si>
    <t>Protocol169</t>
  </si>
  <si>
    <t>Study171</t>
  </si>
  <si>
    <t>Protocol171</t>
  </si>
  <si>
    <t>Study172</t>
  </si>
  <si>
    <t>Protocol172</t>
  </si>
  <si>
    <t>Study173</t>
  </si>
  <si>
    <t>Protocol173</t>
  </si>
  <si>
    <t>Study174</t>
  </si>
  <si>
    <t>Protocol174</t>
  </si>
  <si>
    <t>Study175</t>
  </si>
  <si>
    <t>Protocol175</t>
  </si>
  <si>
    <t>Study176</t>
  </si>
  <si>
    <t>Protocol176</t>
  </si>
  <si>
    <t>Study177</t>
  </si>
  <si>
    <t>Protocol177</t>
  </si>
  <si>
    <t>Study178</t>
  </si>
  <si>
    <t>Protocol178</t>
  </si>
  <si>
    <t>Study179</t>
  </si>
  <si>
    <t>Protocol179</t>
  </si>
  <si>
    <t>Study180</t>
  </si>
  <si>
    <t>Protocol180</t>
  </si>
  <si>
    <t>Study181</t>
  </si>
  <si>
    <t>Protocol181</t>
  </si>
  <si>
    <t>Study182</t>
  </si>
  <si>
    <t>Protocol182</t>
  </si>
  <si>
    <t>Study183</t>
  </si>
  <si>
    <t>Protocol183</t>
  </si>
  <si>
    <t>Study185</t>
  </si>
  <si>
    <t>Protocol185</t>
  </si>
  <si>
    <t>Study186</t>
  </si>
  <si>
    <t>Protocol186</t>
  </si>
  <si>
    <t>Study187</t>
  </si>
  <si>
    <t>Protocol187</t>
  </si>
  <si>
    <t>Study188</t>
  </si>
  <si>
    <t>Protocol188</t>
  </si>
  <si>
    <t>Study205</t>
  </si>
  <si>
    <t>Protocol205</t>
  </si>
  <si>
    <t>Study206</t>
  </si>
  <si>
    <t>Protocol206</t>
  </si>
  <si>
    <t>Study207</t>
  </si>
  <si>
    <t>Protocol207</t>
  </si>
  <si>
    <t>Study208</t>
  </si>
  <si>
    <t>Protocol208</t>
  </si>
  <si>
    <t>Study209</t>
  </si>
  <si>
    <t>Protocol209</t>
  </si>
  <si>
    <t>Study210</t>
  </si>
  <si>
    <t>Protocol210</t>
  </si>
  <si>
    <t>Study211</t>
  </si>
  <si>
    <t>Protocol211</t>
  </si>
  <si>
    <t>Study212</t>
  </si>
  <si>
    <t>Protocol212</t>
  </si>
  <si>
    <t>Study213</t>
  </si>
  <si>
    <t>Protocol213</t>
  </si>
  <si>
    <t>Study214</t>
  </si>
  <si>
    <t>Protocol214</t>
  </si>
  <si>
    <t>Study215</t>
  </si>
  <si>
    <t>Protocol215</t>
  </si>
  <si>
    <t>Study216</t>
  </si>
  <si>
    <t>Protocol216</t>
  </si>
  <si>
    <t>Study217</t>
  </si>
  <si>
    <t>Protocol217</t>
  </si>
  <si>
    <t>Dose Norm</t>
  </si>
  <si>
    <t>Dose Norm Unit</t>
  </si>
  <si>
    <t>Dose Unit</t>
  </si>
  <si>
    <t>IDX899</t>
  </si>
  <si>
    <t>LX-2931</t>
  </si>
  <si>
    <t>BMS043</t>
  </si>
  <si>
    <t>BMS-663749 Lysine</t>
  </si>
  <si>
    <t>G: 400mg on day1; then every 24 h from day 2-8</t>
  </si>
  <si>
    <t>Mostly male white/Caucasian; Mean BMI 25</t>
  </si>
  <si>
    <t>Mostly male white/Caucasian; Mean BMI 25.1</t>
  </si>
  <si>
    <t>15% of ideal body weight</t>
  </si>
  <si>
    <t>Group1, mostly male hispanic BMI 25.7</t>
  </si>
  <si>
    <t>Group2, male mostly hispanic BMI 25.8</t>
  </si>
  <si>
    <t>day1 200 mg, then day2-3 200mg every 24h</t>
  </si>
  <si>
    <t>male BMI from 23.8 and 30.2</t>
  </si>
  <si>
    <t>ALMOREXANT</t>
  </si>
  <si>
    <t>male Caucasian BMI 23.5</t>
  </si>
  <si>
    <t>Chinese subject</t>
  </si>
  <si>
    <t xml:space="preserve">day1 and day15 600mg, then 600 mg every 12h for day2-14, Chinese subject </t>
  </si>
  <si>
    <t>day1 and day15 800mg, then 800 mg every 12h for day2-14, Chinese subject</t>
  </si>
  <si>
    <t>smiles</t>
  </si>
  <si>
    <t>MW</t>
  </si>
  <si>
    <t>Vol</t>
  </si>
  <si>
    <t>Dense</t>
  </si>
  <si>
    <t>nHA</t>
  </si>
  <si>
    <t>nHD</t>
  </si>
  <si>
    <t>TPSA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</si>
  <si>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</si>
  <si>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</si>
  <si>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</si>
  <si>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</si>
  <si>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</si>
  <si>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</si>
  <si>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</si>
  <si>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</si>
  <si>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</si>
  <si>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</si>
  <si>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</si>
  <si>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</si>
  <si>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</si>
  <si>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</si>
  <si>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</si>
  <si>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</si>
  <si>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</si>
  <si>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</si>
  <si>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</si>
  <si>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</si>
  <si>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</si>
  <si>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</si>
  <si>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</si>
  <si>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</si>
  <si>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</si>
  <si>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</si>
  <si>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</si>
  <si>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</si>
  <si>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</si>
  <si>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</si>
  <si>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</si>
  <si>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</si>
  <si>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</si>
  <si>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</si>
  <si>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</si>
  <si>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</si>
  <si>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</si>
  <si>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</si>
  <si>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OATP1B1</t>
  </si>
  <si>
    <t>OATP1B3</t>
  </si>
  <si>
    <t>BCRP</t>
  </si>
  <si>
    <t>BSEP</t>
  </si>
  <si>
    <t>BBB</t>
  </si>
  <si>
    <t>MRP1</t>
  </si>
  <si>
    <t>PPB</t>
  </si>
  <si>
    <t>logVDss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</si>
  <si>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</si>
  <si>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</si>
  <si>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</si>
  <si>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</si>
  <si>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</si>
  <si>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</si>
  <si>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</si>
  <si>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</si>
  <si>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</si>
  <si>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</si>
  <si>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</si>
  <si>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</si>
  <si>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</si>
  <si>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</si>
  <si>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</si>
  <si>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</si>
  <si>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</si>
  <si>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</si>
  <si>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</si>
  <si>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</si>
  <si>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</si>
  <si>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</si>
  <si>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</si>
  <si>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</si>
  <si>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</si>
  <si>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</si>
  <si>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</si>
  <si>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</si>
  <si>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</si>
  <si>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</si>
  <si>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</si>
  <si>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</si>
  <si>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</si>
  <si>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</si>
  <si>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</si>
  <si>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</si>
  <si>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</si>
  <si>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</si>
  <si>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</si>
  <si>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</si>
  <si>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</si>
  <si>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</si>
  <si>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</si>
  <si>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</si>
  <si>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</si>
  <si>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</si>
  <si>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</si>
  <si>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</si>
  <si>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</si>
  <si>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</si>
  <si>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</si>
  <si>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</si>
  <si>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</si>
  <si>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[(8, 7, 6, 5, 4, 3, 10, 9), (8, 7, 6, 5, 4, 10, 9)]</t>
  </si>
  <si>
    <t>['-']</t>
  </si>
  <si>
    <t>[(3, 4, 5)]</t>
  </si>
  <si>
    <t>[(6, 5, 8, 30, 29, 2, 3, 4), (1, 2, 30, 8, 9, 10, 11)]</t>
  </si>
  <si>
    <t>[(10, 11, 12, 13)]</t>
  </si>
  <si>
    <t>COc1cnc(OC)c2c1c(C(=O)C(=O)N1CCN(C(=O)c3ccccc3)CC1)cn2COP(=O)(O)O</t>
  </si>
  <si>
    <t>[(1, 2, 9, 8, 30, 5, 4, 3), (6, 5, 8, 9, 10, 11, 12)]</t>
  </si>
  <si>
    <t>[(11, 12, 13, 14)]</t>
  </si>
  <si>
    <t>[(17, 18, 19)]</t>
  </si>
  <si>
    <t>[(43, 42, 23, 21, 22), (42, 43, 44)]</t>
  </si>
  <si>
    <t>[(21, 22, 23, 42, 20)]</t>
  </si>
  <si>
    <t>[(24, 23, 13, 11, 12), (18, 22, 21), (23, 24, 25)]</t>
  </si>
  <si>
    <t>[(11, 12, 13, 23, 10)]</t>
  </si>
  <si>
    <t>[(2, 3, 4, 5)]</t>
  </si>
  <si>
    <t>[(20, 21, 22), (3, 2, 1, 0, 28), (4, 5, 6, 8, 9, 23, 25)]</t>
  </si>
  <si>
    <t>[(112, 110, 111), (109, 108, 107, 106, 105, 104, 103)]</t>
  </si>
  <si>
    <t>[(0, 1, 2, 3, 4, 5, 6, 7, 8, 9), (36, 37, 38, 60, 61, 62, 73, 74, 75)]</t>
  </si>
  <si>
    <t>O=C([O-])Cc1ccccc1Nc1c(Cl)cccc1Cl</t>
  </si>
  <si>
    <t>[(10, 9, 8, 7, 6, 5, 4)]</t>
  </si>
  <si>
    <t>C[C@@H]1CCO[C@H]2Cn3cc(C(=O)NCc4ccc(F)cc4F)c(=O)c([O-])c3C(=O)N12</t>
  </si>
  <si>
    <t>[(19, 21, 22, 18), (11, 12, 13)]</t>
  </si>
  <si>
    <t>[(4, 5, 3, 26, 6)]</t>
  </si>
  <si>
    <t>[(0, 1, 2, 3, 5, 13, 14)]</t>
  </si>
  <si>
    <t>[(2, 3, 4, 5, 6, 28, 29)]</t>
  </si>
  <si>
    <t>[(8, 9, 10, 11, 12, 13, 14)]</t>
  </si>
  <si>
    <t>CS(=O)(=O)CCNCc1ccc(-c2ccc3ncnc(Nc4ccc(OCc5cccc(F)c5)c(Cl)c4)c3c2)o1</t>
  </si>
  <si>
    <t>[(1, 2, 3), (20, 21, 22, 23, 24, 34, 36), (25, 24, 23, 22, 21, 36, 34)]</t>
  </si>
  <si>
    <t>[(12, 13, 14, 15, 18, 19, 22)]</t>
  </si>
  <si>
    <t>C[C@H]1COc2c(N3CCN(C)CC3)c(F)cc3c(=O)c(C(=O)O)cn1c23</t>
  </si>
  <si>
    <t>[(6, 5, 4, 25, 24, 23, 19, 17, 16, 15, 13)]</t>
  </si>
  <si>
    <t>C/C(=N\O)c1nc([C@@H](O)[C@H](O)[C@H](O)CO)c[nH]1</t>
  </si>
  <si>
    <t>[(12, 11, 10, 27, 9, 8, 26, 25, 22, 21, 20, 19)]</t>
  </si>
  <si>
    <t>[(3, 4, 5), (34, 32, 31, 30), (30, 31, 32, 34)]</t>
  </si>
  <si>
    <t>[(4, 3, 2, 26, 22, 21, 17, 15, 14, 13, 12)]</t>
  </si>
  <si>
    <t>[(32, 31, 30, 29, 28, 34, 33)]</t>
  </si>
  <si>
    <t>[(6, 5, 3, 4, 2, 1)]</t>
  </si>
  <si>
    <t>[(22, 21, 20, 19, 18, 17, 44, 43), (14, 13, 12, 11, 10, 48, 47), (22, 21, 20, 19, 18, 44, 43)]</t>
  </si>
  <si>
    <t>[(20, 21, 43, 44, 18, 19, 17, 16, 45, 22, 23)]</t>
  </si>
  <si>
    <t>[(17, 16, 15, 14, 13, 23, 22), (3, 1, 0, 2)]</t>
  </si>
  <si>
    <t>[(26, 25, 13, 12, 11, 29, 27)]</t>
  </si>
  <si>
    <t>[(5, 4, 3, 15, 16, 14, 6)]</t>
  </si>
  <si>
    <t>[(15, 16, 17, 18, 19, 21, 22)]</t>
  </si>
  <si>
    <t>[(26, 27, 28, 25), (25, 24, 10, 9, 8, 7, 39), (11, 10, 9, 8, 7, 5, 6), (11, 10, 9, 8, 7, 39, 24)]</t>
  </si>
  <si>
    <t>OspUnits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</si>
</sst>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64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0" borderId="0" xfId="0" applyFont="1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5"/>
  <sheetViews>
    <sheetView tabSelected="1" topLeftCell="Z1" zoomScaleNormal="100" workbookViewId="0">
      <selection activeCell="AR13" sqref="AR13"/>
    </sheetView>
  </sheetViews>
  <sheetFormatPr defaultRowHeight="14.4" x14ac:dyDescent="0.3"/>
  <cols>
    <col min="1" max="1" width="11.21875" customWidth="1"/>
    <col min="2" max="2" width="13.5546875" customWidth="1"/>
    <col min="3" max="3" width="9.109375" customWidth="1"/>
    <col min="4" max="4" width="49.44140625" hidden="1" customWidth="1"/>
    <col min="5" max="5" width="20.77734375" customWidth="1"/>
    <col min="6" max="6" width="19.88671875" hidden="1" customWidth="1"/>
    <col min="7" max="7" width="18.5546875" customWidth="1"/>
    <col min="8" max="8" width="16.44140625" hidden="1" customWidth="1"/>
    <col min="9" max="9" width="9.109375" customWidth="1"/>
    <col min="10" max="10" width="8.21875" customWidth="1"/>
    <col min="11" max="11" width="11.88671875" customWidth="1"/>
    <col min="12" max="12" width="11.6640625" style="5" customWidth="1"/>
    <col min="14" max="15" width="11" customWidth="1"/>
    <col min="20" max="20" width="90.5546875" customWidth="1"/>
    <col min="24" max="24" width="6.77734375" customWidth="1"/>
    <col min="25" max="25" width="5.88671875" customWidth="1"/>
    <col min="26" max="26" width="18.6640625" customWidth="1"/>
    <col min="27" max="27" width="11.77734375" customWidth="1"/>
    <col min="28" max="28" width="5.6640625" customWidth="1"/>
    <col min="29" max="29" width="4.5546875" customWidth="1"/>
    <col min="30" max="31" width="7.21875" customWidth="1"/>
  </cols>
  <sheetData>
    <row r="1" spans="1:32" s="1" customFormat="1" x14ac:dyDescent="0.3">
      <c r="A1" s="1" t="s">
        <v>547</v>
      </c>
      <c r="B1" s="1" t="s">
        <v>670</v>
      </c>
      <c r="C1" s="1" t="s">
        <v>662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799</v>
      </c>
      <c r="J1" s="1" t="s">
        <v>669</v>
      </c>
      <c r="K1" s="1" t="s">
        <v>776</v>
      </c>
      <c r="L1" s="4" t="s">
        <v>777</v>
      </c>
      <c r="M1" s="1" t="s">
        <v>772</v>
      </c>
      <c r="N1" s="1" t="s">
        <v>773</v>
      </c>
      <c r="O1" s="1" t="s">
        <v>1340</v>
      </c>
      <c r="P1" s="1" t="s">
        <v>7</v>
      </c>
      <c r="Q1" s="1" t="s">
        <v>8</v>
      </c>
      <c r="R1" s="1" t="s">
        <v>774</v>
      </c>
      <c r="S1" s="1" t="s">
        <v>775</v>
      </c>
      <c r="T1" s="1" t="s">
        <v>1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549</v>
      </c>
      <c r="Z1" s="1" t="s">
        <v>548</v>
      </c>
      <c r="AA1" s="1" t="s">
        <v>13</v>
      </c>
      <c r="AB1" s="1" t="s">
        <v>550</v>
      </c>
      <c r="AC1" s="1" t="s">
        <v>551</v>
      </c>
      <c r="AD1" s="1" t="s">
        <v>659</v>
      </c>
      <c r="AE1" s="1" t="s">
        <v>782</v>
      </c>
      <c r="AF1" s="1" t="s">
        <v>552</v>
      </c>
    </row>
    <row r="2" spans="1:32" x14ac:dyDescent="0.3">
      <c r="A2" t="s">
        <v>553</v>
      </c>
      <c r="B2" t="s">
        <v>671</v>
      </c>
      <c r="C2" t="b">
        <v>1</v>
      </c>
      <c r="D2" t="s">
        <v>14</v>
      </c>
      <c r="E2" t="s">
        <v>17</v>
      </c>
      <c r="F2" t="s">
        <v>18</v>
      </c>
      <c r="G2" t="s">
        <v>19</v>
      </c>
      <c r="H2" t="s">
        <v>18</v>
      </c>
      <c r="I2">
        <v>24</v>
      </c>
      <c r="J2" t="s">
        <v>6</v>
      </c>
      <c r="K2">
        <v>0</v>
      </c>
      <c r="L2" s="5" t="s">
        <v>654</v>
      </c>
      <c r="M2">
        <v>216</v>
      </c>
      <c r="N2" t="s">
        <v>20</v>
      </c>
      <c r="O2" t="str">
        <f>IF(EXACT(N2,"ng.hr.mL-1"),"ng*h/mL",IF(EXACT(N2,"ug.mL-1"),"ug/mL",N2))</f>
        <v>ng*h/mL</v>
      </c>
      <c r="T2" t="s">
        <v>15</v>
      </c>
      <c r="U2">
        <v>50</v>
      </c>
      <c r="V2" t="s">
        <v>22</v>
      </c>
      <c r="W2" t="s">
        <v>23</v>
      </c>
      <c r="X2">
        <v>0</v>
      </c>
      <c r="Y2">
        <v>1</v>
      </c>
      <c r="AA2" t="s">
        <v>655</v>
      </c>
      <c r="AD2">
        <v>80</v>
      </c>
      <c r="AE2" t="b">
        <v>0</v>
      </c>
    </row>
    <row r="3" spans="1:32" x14ac:dyDescent="0.3">
      <c r="A3" t="s">
        <v>553</v>
      </c>
      <c r="B3" t="s">
        <v>671</v>
      </c>
      <c r="C3" t="b">
        <v>1</v>
      </c>
      <c r="D3" t="s">
        <v>14</v>
      </c>
      <c r="E3" t="s">
        <v>17</v>
      </c>
      <c r="F3" t="s">
        <v>18</v>
      </c>
      <c r="G3" t="s">
        <v>19</v>
      </c>
      <c r="H3" t="s">
        <v>18</v>
      </c>
      <c r="I3">
        <v>24</v>
      </c>
      <c r="J3" t="s">
        <v>7</v>
      </c>
      <c r="K3">
        <v>0</v>
      </c>
      <c r="L3" s="5" t="s">
        <v>654</v>
      </c>
      <c r="M3">
        <v>454.96</v>
      </c>
      <c r="N3" t="s">
        <v>21</v>
      </c>
      <c r="O3" t="str">
        <f t="shared" ref="O3:O66" si="0">IF(EXACT(N3,"ng.hr.mL-1"),"ng*h/mL",IF(EXACT(N3,"ug.mL-1"),"ug/mL",N3))</f>
        <v>nM</v>
      </c>
      <c r="R3">
        <v>159</v>
      </c>
      <c r="S3" t="s">
        <v>661</v>
      </c>
      <c r="T3" t="s">
        <v>16</v>
      </c>
      <c r="U3">
        <v>50</v>
      </c>
      <c r="V3" t="s">
        <v>22</v>
      </c>
      <c r="W3" t="s">
        <v>23</v>
      </c>
      <c r="X3">
        <v>0</v>
      </c>
      <c r="Y3">
        <v>1</v>
      </c>
      <c r="AA3" t="s">
        <v>655</v>
      </c>
      <c r="AD3">
        <v>80</v>
      </c>
      <c r="AE3" t="b">
        <v>0</v>
      </c>
    </row>
    <row r="4" spans="1:32" x14ac:dyDescent="0.3">
      <c r="A4" t="s">
        <v>554</v>
      </c>
      <c r="B4" t="s">
        <v>672</v>
      </c>
      <c r="C4" t="b">
        <v>1</v>
      </c>
      <c r="D4" t="s">
        <v>14</v>
      </c>
      <c r="E4" t="s">
        <v>17</v>
      </c>
      <c r="F4" t="s">
        <v>18</v>
      </c>
      <c r="G4" t="s">
        <v>19</v>
      </c>
      <c r="H4" t="s">
        <v>18</v>
      </c>
      <c r="I4">
        <v>24</v>
      </c>
      <c r="J4" t="s">
        <v>6</v>
      </c>
      <c r="K4">
        <v>0</v>
      </c>
      <c r="L4" s="5" t="s">
        <v>654</v>
      </c>
      <c r="M4">
        <v>358</v>
      </c>
      <c r="N4" t="s">
        <v>20</v>
      </c>
      <c r="O4" t="str">
        <f t="shared" si="0"/>
        <v>ng*h/mL</v>
      </c>
      <c r="T4" t="s">
        <v>24</v>
      </c>
      <c r="U4">
        <v>100</v>
      </c>
      <c r="V4" t="s">
        <v>22</v>
      </c>
      <c r="W4" t="s">
        <v>23</v>
      </c>
      <c r="X4">
        <v>0</v>
      </c>
      <c r="Y4">
        <v>1</v>
      </c>
      <c r="AA4" t="s">
        <v>655</v>
      </c>
      <c r="AD4">
        <v>80</v>
      </c>
      <c r="AE4" t="b">
        <v>0</v>
      </c>
    </row>
    <row r="5" spans="1:32" x14ac:dyDescent="0.3">
      <c r="A5" t="s">
        <v>554</v>
      </c>
      <c r="B5" t="s">
        <v>672</v>
      </c>
      <c r="C5" t="b">
        <v>1</v>
      </c>
      <c r="D5" t="s">
        <v>14</v>
      </c>
      <c r="E5" t="s">
        <v>17</v>
      </c>
      <c r="F5" t="s">
        <v>18</v>
      </c>
      <c r="G5" t="s">
        <v>19</v>
      </c>
      <c r="H5" t="s">
        <v>18</v>
      </c>
      <c r="I5">
        <v>24</v>
      </c>
      <c r="J5" t="s">
        <v>7</v>
      </c>
      <c r="K5">
        <v>0</v>
      </c>
      <c r="L5" s="5" t="s">
        <v>654</v>
      </c>
      <c r="M5">
        <v>789.74</v>
      </c>
      <c r="N5" t="s">
        <v>21</v>
      </c>
      <c r="O5" t="str">
        <f t="shared" si="0"/>
        <v>nM</v>
      </c>
      <c r="R5">
        <v>276</v>
      </c>
      <c r="S5" t="s">
        <v>661</v>
      </c>
      <c r="T5" t="s">
        <v>25</v>
      </c>
      <c r="U5">
        <v>100</v>
      </c>
      <c r="V5" t="s">
        <v>22</v>
      </c>
      <c r="W5" t="s">
        <v>23</v>
      </c>
      <c r="X5">
        <v>0</v>
      </c>
      <c r="Y5">
        <v>1</v>
      </c>
      <c r="AA5" t="s">
        <v>655</v>
      </c>
      <c r="AD5">
        <v>80</v>
      </c>
      <c r="AE5" t="b">
        <v>0</v>
      </c>
    </row>
    <row r="6" spans="1:32" x14ac:dyDescent="0.3">
      <c r="A6" t="s">
        <v>555</v>
      </c>
      <c r="B6" t="s">
        <v>673</v>
      </c>
      <c r="C6" t="b">
        <v>1</v>
      </c>
      <c r="D6" t="s">
        <v>14</v>
      </c>
      <c r="E6" t="s">
        <v>17</v>
      </c>
      <c r="F6" t="s">
        <v>18</v>
      </c>
      <c r="G6" t="s">
        <v>19</v>
      </c>
      <c r="H6" t="s">
        <v>18</v>
      </c>
      <c r="I6">
        <v>84</v>
      </c>
      <c r="J6" t="s">
        <v>6</v>
      </c>
      <c r="K6">
        <v>72</v>
      </c>
      <c r="L6" s="5">
        <v>84</v>
      </c>
      <c r="M6">
        <v>937</v>
      </c>
      <c r="N6" t="s">
        <v>20</v>
      </c>
      <c r="O6" t="str">
        <f t="shared" si="0"/>
        <v>ng*h/mL</v>
      </c>
      <c r="T6" t="s">
        <v>656</v>
      </c>
      <c r="U6">
        <v>100</v>
      </c>
      <c r="V6" t="s">
        <v>22</v>
      </c>
      <c r="W6" t="s">
        <v>23</v>
      </c>
      <c r="X6">
        <v>0</v>
      </c>
      <c r="Y6">
        <v>7</v>
      </c>
      <c r="Z6">
        <v>12</v>
      </c>
      <c r="AA6" t="s">
        <v>655</v>
      </c>
      <c r="AD6">
        <v>80</v>
      </c>
      <c r="AE6" t="b">
        <v>0</v>
      </c>
    </row>
    <row r="7" spans="1:32" x14ac:dyDescent="0.3">
      <c r="A7" t="s">
        <v>555</v>
      </c>
      <c r="B7" t="s">
        <v>673</v>
      </c>
      <c r="C7" t="b">
        <v>1</v>
      </c>
      <c r="D7" t="s">
        <v>14</v>
      </c>
      <c r="E7" t="s">
        <v>17</v>
      </c>
      <c r="F7" t="s">
        <v>18</v>
      </c>
      <c r="G7" t="s">
        <v>19</v>
      </c>
      <c r="H7" t="s">
        <v>18</v>
      </c>
      <c r="I7">
        <v>84</v>
      </c>
      <c r="J7" t="s">
        <v>7</v>
      </c>
      <c r="K7">
        <v>72</v>
      </c>
      <c r="L7" s="5">
        <v>84</v>
      </c>
      <c r="M7">
        <v>1319.1</v>
      </c>
      <c r="N7" t="s">
        <v>21</v>
      </c>
      <c r="O7" t="str">
        <f t="shared" si="0"/>
        <v>nM</v>
      </c>
      <c r="R7">
        <v>461</v>
      </c>
      <c r="S7" t="s">
        <v>661</v>
      </c>
      <c r="T7" t="s">
        <v>26</v>
      </c>
      <c r="U7">
        <v>100</v>
      </c>
      <c r="V7" t="s">
        <v>22</v>
      </c>
      <c r="W7" t="s">
        <v>23</v>
      </c>
      <c r="X7">
        <v>0</v>
      </c>
      <c r="Y7">
        <v>7</v>
      </c>
      <c r="Z7">
        <v>12</v>
      </c>
      <c r="AA7" t="s">
        <v>655</v>
      </c>
      <c r="AD7">
        <v>80</v>
      </c>
      <c r="AE7" t="b">
        <v>0</v>
      </c>
    </row>
    <row r="8" spans="1:32" x14ac:dyDescent="0.3">
      <c r="A8" t="s">
        <v>556</v>
      </c>
      <c r="B8" t="s">
        <v>674</v>
      </c>
      <c r="C8" t="b">
        <v>1</v>
      </c>
      <c r="D8" t="s">
        <v>14</v>
      </c>
      <c r="E8" t="s">
        <v>17</v>
      </c>
      <c r="F8" t="s">
        <v>18</v>
      </c>
      <c r="G8" t="s">
        <v>19</v>
      </c>
      <c r="H8" t="s">
        <v>18</v>
      </c>
      <c r="I8">
        <v>24</v>
      </c>
      <c r="J8" t="s">
        <v>6</v>
      </c>
      <c r="K8">
        <v>0</v>
      </c>
      <c r="L8" s="5" t="s">
        <v>654</v>
      </c>
      <c r="M8">
        <v>1695</v>
      </c>
      <c r="N8" t="s">
        <v>20</v>
      </c>
      <c r="O8" t="str">
        <f t="shared" si="0"/>
        <v>ng*h/mL</v>
      </c>
      <c r="T8" t="s">
        <v>27</v>
      </c>
      <c r="U8">
        <v>200</v>
      </c>
      <c r="V8" t="s">
        <v>22</v>
      </c>
      <c r="W8" t="s">
        <v>23</v>
      </c>
      <c r="X8">
        <v>0</v>
      </c>
      <c r="Y8">
        <v>1</v>
      </c>
      <c r="AA8" t="s">
        <v>655</v>
      </c>
      <c r="AD8">
        <v>80</v>
      </c>
      <c r="AE8" t="b">
        <v>0</v>
      </c>
    </row>
    <row r="9" spans="1:32" x14ac:dyDescent="0.3">
      <c r="A9" t="s">
        <v>556</v>
      </c>
      <c r="B9" t="s">
        <v>674</v>
      </c>
      <c r="C9" t="b">
        <v>1</v>
      </c>
      <c r="D9" t="s">
        <v>14</v>
      </c>
      <c r="E9" t="s">
        <v>17</v>
      </c>
      <c r="F9" t="s">
        <v>18</v>
      </c>
      <c r="G9" t="s">
        <v>19</v>
      </c>
      <c r="H9" t="s">
        <v>18</v>
      </c>
      <c r="I9">
        <v>24</v>
      </c>
      <c r="J9" t="s">
        <v>7</v>
      </c>
      <c r="K9">
        <v>0</v>
      </c>
      <c r="L9" s="5" t="s">
        <v>654</v>
      </c>
      <c r="M9">
        <v>2847.09</v>
      </c>
      <c r="N9" t="s">
        <v>21</v>
      </c>
      <c r="O9" t="str">
        <f t="shared" si="0"/>
        <v>nM</v>
      </c>
      <c r="R9">
        <v>995</v>
      </c>
      <c r="S9" t="s">
        <v>661</v>
      </c>
      <c r="T9" t="s">
        <v>28</v>
      </c>
      <c r="U9">
        <v>200</v>
      </c>
      <c r="V9" t="s">
        <v>22</v>
      </c>
      <c r="W9" t="s">
        <v>23</v>
      </c>
      <c r="X9">
        <v>0</v>
      </c>
      <c r="Y9">
        <v>1</v>
      </c>
      <c r="AA9" t="s">
        <v>655</v>
      </c>
      <c r="AD9">
        <v>80</v>
      </c>
      <c r="AE9" t="b">
        <v>0</v>
      </c>
    </row>
    <row r="10" spans="1:32" x14ac:dyDescent="0.3">
      <c r="A10" t="s">
        <v>557</v>
      </c>
      <c r="B10" t="s">
        <v>675</v>
      </c>
      <c r="C10" t="b">
        <v>1</v>
      </c>
      <c r="D10" t="s">
        <v>14</v>
      </c>
      <c r="E10" t="s">
        <v>17</v>
      </c>
      <c r="F10" t="s">
        <v>18</v>
      </c>
      <c r="G10" t="s">
        <v>19</v>
      </c>
      <c r="H10" t="s">
        <v>18</v>
      </c>
      <c r="I10">
        <v>84</v>
      </c>
      <c r="J10" t="s">
        <v>6</v>
      </c>
      <c r="K10">
        <v>72</v>
      </c>
      <c r="L10" s="5">
        <v>84</v>
      </c>
      <c r="M10">
        <v>1590</v>
      </c>
      <c r="N10" t="s">
        <v>20</v>
      </c>
      <c r="O10" t="str">
        <f t="shared" si="0"/>
        <v>ng*h/mL</v>
      </c>
      <c r="T10" t="s">
        <v>657</v>
      </c>
      <c r="U10">
        <v>200</v>
      </c>
      <c r="V10" t="s">
        <v>22</v>
      </c>
      <c r="W10" t="s">
        <v>23</v>
      </c>
      <c r="X10">
        <v>0</v>
      </c>
      <c r="Y10">
        <v>7</v>
      </c>
      <c r="Z10">
        <v>12</v>
      </c>
      <c r="AA10" t="s">
        <v>655</v>
      </c>
      <c r="AD10">
        <v>80</v>
      </c>
      <c r="AE10" t="b">
        <v>0</v>
      </c>
    </row>
    <row r="11" spans="1:32" x14ac:dyDescent="0.3">
      <c r="A11" t="s">
        <v>557</v>
      </c>
      <c r="B11" t="s">
        <v>675</v>
      </c>
      <c r="C11" t="b">
        <v>1</v>
      </c>
      <c r="D11" t="s">
        <v>14</v>
      </c>
      <c r="E11" t="s">
        <v>17</v>
      </c>
      <c r="F11" t="s">
        <v>18</v>
      </c>
      <c r="G11" t="s">
        <v>19</v>
      </c>
      <c r="H11" t="s">
        <v>18</v>
      </c>
      <c r="I11">
        <v>84</v>
      </c>
      <c r="J11" t="s">
        <v>7</v>
      </c>
      <c r="K11">
        <v>72</v>
      </c>
      <c r="L11" s="5">
        <v>84</v>
      </c>
      <c r="M11">
        <v>2269.09</v>
      </c>
      <c r="N11" t="s">
        <v>21</v>
      </c>
      <c r="O11" t="str">
        <f t="shared" si="0"/>
        <v>nM</v>
      </c>
      <c r="R11">
        <v>793</v>
      </c>
      <c r="S11" t="s">
        <v>661</v>
      </c>
      <c r="T11" t="s">
        <v>29</v>
      </c>
      <c r="U11">
        <v>200</v>
      </c>
      <c r="V11" t="s">
        <v>22</v>
      </c>
      <c r="W11" t="s">
        <v>23</v>
      </c>
      <c r="X11">
        <v>0</v>
      </c>
      <c r="Y11">
        <v>7</v>
      </c>
      <c r="Z11">
        <v>12</v>
      </c>
      <c r="AA11" t="s">
        <v>655</v>
      </c>
      <c r="AD11">
        <v>80</v>
      </c>
      <c r="AE11" t="b">
        <v>0</v>
      </c>
    </row>
    <row r="12" spans="1:32" x14ac:dyDescent="0.3">
      <c r="A12" t="s">
        <v>558</v>
      </c>
      <c r="B12" t="s">
        <v>676</v>
      </c>
      <c r="C12" t="b">
        <v>1</v>
      </c>
      <c r="D12" t="s">
        <v>14</v>
      </c>
      <c r="E12" t="s">
        <v>17</v>
      </c>
      <c r="F12" t="s">
        <v>18</v>
      </c>
      <c r="G12" t="s">
        <v>19</v>
      </c>
      <c r="H12" t="s">
        <v>18</v>
      </c>
      <c r="I12">
        <v>24</v>
      </c>
      <c r="J12" t="s">
        <v>6</v>
      </c>
      <c r="K12">
        <v>0</v>
      </c>
      <c r="L12" s="5" t="s">
        <v>654</v>
      </c>
      <c r="M12">
        <v>6716</v>
      </c>
      <c r="N12" t="s">
        <v>20</v>
      </c>
      <c r="O12" t="str">
        <f t="shared" si="0"/>
        <v>ng*h/mL</v>
      </c>
      <c r="T12" t="s">
        <v>30</v>
      </c>
      <c r="U12">
        <v>400</v>
      </c>
      <c r="V12" t="s">
        <v>22</v>
      </c>
      <c r="W12" t="s">
        <v>23</v>
      </c>
      <c r="X12">
        <v>0</v>
      </c>
      <c r="Y12">
        <v>1</v>
      </c>
      <c r="AA12" t="s">
        <v>655</v>
      </c>
      <c r="AD12">
        <v>80</v>
      </c>
      <c r="AE12" t="b">
        <v>0</v>
      </c>
    </row>
    <row r="13" spans="1:32" x14ac:dyDescent="0.3">
      <c r="A13" t="s">
        <v>558</v>
      </c>
      <c r="B13" t="s">
        <v>676</v>
      </c>
      <c r="C13" t="b">
        <v>1</v>
      </c>
      <c r="D13" t="s">
        <v>14</v>
      </c>
      <c r="E13" t="s">
        <v>17</v>
      </c>
      <c r="F13" t="s">
        <v>18</v>
      </c>
      <c r="G13" t="s">
        <v>19</v>
      </c>
      <c r="H13" t="s">
        <v>18</v>
      </c>
      <c r="I13">
        <v>24</v>
      </c>
      <c r="J13" t="s">
        <v>7</v>
      </c>
      <c r="K13">
        <v>0</v>
      </c>
      <c r="L13" s="5" t="s">
        <v>654</v>
      </c>
      <c r="M13">
        <v>4017.4</v>
      </c>
      <c r="N13" t="s">
        <v>21</v>
      </c>
      <c r="O13" t="str">
        <f t="shared" si="0"/>
        <v>nM</v>
      </c>
      <c r="R13">
        <v>1404</v>
      </c>
      <c r="S13" t="s">
        <v>661</v>
      </c>
      <c r="T13" t="s">
        <v>31</v>
      </c>
      <c r="U13">
        <v>400</v>
      </c>
      <c r="V13" t="s">
        <v>22</v>
      </c>
      <c r="W13" t="s">
        <v>23</v>
      </c>
      <c r="X13">
        <v>0</v>
      </c>
      <c r="Y13">
        <v>1</v>
      </c>
      <c r="AA13" t="s">
        <v>655</v>
      </c>
      <c r="AD13">
        <v>80</v>
      </c>
      <c r="AE13" t="b">
        <v>0</v>
      </c>
    </row>
    <row r="14" spans="1:32" x14ac:dyDescent="0.3">
      <c r="A14" t="s">
        <v>559</v>
      </c>
      <c r="B14" t="s">
        <v>677</v>
      </c>
      <c r="C14" t="b">
        <v>1</v>
      </c>
      <c r="D14" t="s">
        <v>14</v>
      </c>
      <c r="E14" t="s">
        <v>17</v>
      </c>
      <c r="F14" t="s">
        <v>18</v>
      </c>
      <c r="G14" t="s">
        <v>19</v>
      </c>
      <c r="H14" t="s">
        <v>18</v>
      </c>
      <c r="I14">
        <v>84</v>
      </c>
      <c r="J14" t="s">
        <v>6</v>
      </c>
      <c r="K14">
        <v>72</v>
      </c>
      <c r="L14" s="5">
        <v>84</v>
      </c>
      <c r="M14">
        <v>7662</v>
      </c>
      <c r="N14" t="s">
        <v>20</v>
      </c>
      <c r="O14" t="str">
        <f t="shared" si="0"/>
        <v>ng*h/mL</v>
      </c>
      <c r="T14" t="s">
        <v>658</v>
      </c>
      <c r="U14">
        <v>400</v>
      </c>
      <c r="V14" t="s">
        <v>22</v>
      </c>
      <c r="W14" t="s">
        <v>23</v>
      </c>
      <c r="X14">
        <v>0</v>
      </c>
      <c r="Y14">
        <v>7</v>
      </c>
      <c r="Z14">
        <v>12</v>
      </c>
      <c r="AA14" t="s">
        <v>655</v>
      </c>
      <c r="AD14">
        <v>80</v>
      </c>
      <c r="AE14" t="b">
        <v>0</v>
      </c>
    </row>
    <row r="15" spans="1:32" x14ac:dyDescent="0.3">
      <c r="A15" t="s">
        <v>559</v>
      </c>
      <c r="B15" t="s">
        <v>677</v>
      </c>
      <c r="C15" t="b">
        <v>1</v>
      </c>
      <c r="D15" t="s">
        <v>14</v>
      </c>
      <c r="E15" t="s">
        <v>17</v>
      </c>
      <c r="F15" t="s">
        <v>18</v>
      </c>
      <c r="G15" t="s">
        <v>19</v>
      </c>
      <c r="H15" t="s">
        <v>18</v>
      </c>
      <c r="I15">
        <v>84</v>
      </c>
      <c r="J15" t="s">
        <v>7</v>
      </c>
      <c r="K15">
        <v>72</v>
      </c>
      <c r="L15" s="5">
        <v>84</v>
      </c>
      <c r="M15">
        <v>6595.51</v>
      </c>
      <c r="N15" t="s">
        <v>21</v>
      </c>
      <c r="O15" t="str">
        <f t="shared" si="0"/>
        <v>nM</v>
      </c>
      <c r="R15">
        <v>2305</v>
      </c>
      <c r="S15" t="s">
        <v>661</v>
      </c>
      <c r="T15" t="s">
        <v>32</v>
      </c>
      <c r="U15">
        <v>400</v>
      </c>
      <c r="V15" t="s">
        <v>22</v>
      </c>
      <c r="W15" t="s">
        <v>23</v>
      </c>
      <c r="X15">
        <v>0</v>
      </c>
      <c r="Y15">
        <v>7</v>
      </c>
      <c r="Z15">
        <v>12</v>
      </c>
      <c r="AA15" t="s">
        <v>655</v>
      </c>
      <c r="AD15">
        <v>80</v>
      </c>
      <c r="AE15" t="b">
        <v>0</v>
      </c>
    </row>
    <row r="16" spans="1:32" x14ac:dyDescent="0.3">
      <c r="A16" t="s">
        <v>560</v>
      </c>
      <c r="B16" t="s">
        <v>678</v>
      </c>
      <c r="C16" t="b">
        <v>1</v>
      </c>
      <c r="D16" t="s">
        <v>36</v>
      </c>
      <c r="E16" t="s">
        <v>39</v>
      </c>
      <c r="F16" t="s">
        <v>40</v>
      </c>
      <c r="G16" t="s">
        <v>41</v>
      </c>
      <c r="H16" t="s">
        <v>40</v>
      </c>
      <c r="I16">
        <v>480</v>
      </c>
      <c r="J16" t="s">
        <v>6</v>
      </c>
      <c r="K16">
        <v>0</v>
      </c>
      <c r="L16" s="5" t="s">
        <v>654</v>
      </c>
      <c r="M16">
        <v>151200</v>
      </c>
      <c r="N16" t="s">
        <v>20</v>
      </c>
      <c r="O16" t="str">
        <f t="shared" si="0"/>
        <v>ng*h/mL</v>
      </c>
      <c r="T16" t="s">
        <v>37</v>
      </c>
      <c r="U16">
        <v>25</v>
      </c>
      <c r="V16" t="s">
        <v>22</v>
      </c>
      <c r="W16" t="s">
        <v>23</v>
      </c>
      <c r="X16">
        <v>0</v>
      </c>
      <c r="Y16">
        <v>1</v>
      </c>
      <c r="AA16" t="s">
        <v>655</v>
      </c>
      <c r="AD16">
        <v>87</v>
      </c>
    </row>
    <row r="17" spans="1:31" x14ac:dyDescent="0.3">
      <c r="A17" t="s">
        <v>560</v>
      </c>
      <c r="B17" t="s">
        <v>678</v>
      </c>
      <c r="C17" t="b">
        <v>1</v>
      </c>
      <c r="D17" t="s">
        <v>36</v>
      </c>
      <c r="E17" t="s">
        <v>39</v>
      </c>
      <c r="F17" t="s">
        <v>40</v>
      </c>
      <c r="G17" t="s">
        <v>41</v>
      </c>
      <c r="H17" t="s">
        <v>40</v>
      </c>
      <c r="I17">
        <v>480</v>
      </c>
      <c r="J17" t="s">
        <v>7</v>
      </c>
      <c r="K17">
        <v>0</v>
      </c>
      <c r="L17" s="5" t="s">
        <v>654</v>
      </c>
      <c r="M17">
        <v>3830.11</v>
      </c>
      <c r="N17" t="s">
        <v>21</v>
      </c>
      <c r="O17" t="str">
        <f t="shared" si="0"/>
        <v>nM</v>
      </c>
      <c r="R17">
        <v>2.2400000000000002</v>
      </c>
      <c r="S17" t="s">
        <v>660</v>
      </c>
      <c r="T17" t="s">
        <v>38</v>
      </c>
      <c r="U17">
        <v>25</v>
      </c>
      <c r="V17" t="s">
        <v>22</v>
      </c>
      <c r="W17" t="s">
        <v>23</v>
      </c>
      <c r="X17">
        <v>0</v>
      </c>
      <c r="Y17">
        <v>1</v>
      </c>
      <c r="AA17" t="s">
        <v>655</v>
      </c>
      <c r="AD17">
        <v>87</v>
      </c>
    </row>
    <row r="18" spans="1:31" x14ac:dyDescent="0.3">
      <c r="A18" t="s">
        <v>561</v>
      </c>
      <c r="B18" t="s">
        <v>679</v>
      </c>
      <c r="C18" t="b">
        <v>1</v>
      </c>
      <c r="D18" t="s">
        <v>36</v>
      </c>
      <c r="E18" t="s">
        <v>39</v>
      </c>
      <c r="F18" t="s">
        <v>40</v>
      </c>
      <c r="G18" t="s">
        <v>41</v>
      </c>
      <c r="H18" t="s">
        <v>40</v>
      </c>
      <c r="I18">
        <v>480</v>
      </c>
      <c r="J18" t="s">
        <v>6</v>
      </c>
      <c r="K18">
        <v>0</v>
      </c>
      <c r="L18" s="5" t="s">
        <v>654</v>
      </c>
      <c r="M18">
        <v>312100</v>
      </c>
      <c r="N18" t="s">
        <v>20</v>
      </c>
      <c r="O18" t="str">
        <f t="shared" si="0"/>
        <v>ng*h/mL</v>
      </c>
      <c r="T18" t="s">
        <v>42</v>
      </c>
      <c r="U18">
        <v>50</v>
      </c>
      <c r="V18" t="s">
        <v>22</v>
      </c>
      <c r="W18" t="s">
        <v>23</v>
      </c>
      <c r="X18">
        <v>0</v>
      </c>
      <c r="Y18">
        <v>1</v>
      </c>
      <c r="AA18" t="s">
        <v>655</v>
      </c>
      <c r="AD18">
        <v>84.1</v>
      </c>
    </row>
    <row r="19" spans="1:31" x14ac:dyDescent="0.3">
      <c r="A19" t="s">
        <v>561</v>
      </c>
      <c r="B19" t="s">
        <v>679</v>
      </c>
      <c r="C19" t="b">
        <v>1</v>
      </c>
      <c r="D19" t="s">
        <v>36</v>
      </c>
      <c r="E19" t="s">
        <v>39</v>
      </c>
      <c r="F19" t="s">
        <v>40</v>
      </c>
      <c r="G19" t="s">
        <v>41</v>
      </c>
      <c r="H19" t="s">
        <v>40</v>
      </c>
      <c r="I19">
        <v>480</v>
      </c>
      <c r="J19" t="s">
        <v>7</v>
      </c>
      <c r="K19">
        <v>0</v>
      </c>
      <c r="L19" s="5" t="s">
        <v>654</v>
      </c>
      <c r="M19">
        <v>10361.81</v>
      </c>
      <c r="N19" t="s">
        <v>21</v>
      </c>
      <c r="O19" t="str">
        <f t="shared" si="0"/>
        <v>nM</v>
      </c>
      <c r="R19">
        <v>6.06</v>
      </c>
      <c r="S19" t="s">
        <v>660</v>
      </c>
      <c r="T19" t="s">
        <v>43</v>
      </c>
      <c r="U19">
        <v>50</v>
      </c>
      <c r="V19" t="s">
        <v>22</v>
      </c>
      <c r="W19" t="s">
        <v>23</v>
      </c>
      <c r="X19">
        <v>0</v>
      </c>
      <c r="Y19">
        <v>1</v>
      </c>
      <c r="AA19" t="s">
        <v>655</v>
      </c>
      <c r="AD19">
        <v>84.1</v>
      </c>
    </row>
    <row r="20" spans="1:31" x14ac:dyDescent="0.3">
      <c r="A20" t="s">
        <v>562</v>
      </c>
      <c r="B20" t="s">
        <v>680</v>
      </c>
      <c r="C20" t="b">
        <v>1</v>
      </c>
      <c r="D20" t="s">
        <v>36</v>
      </c>
      <c r="E20" t="s">
        <v>39</v>
      </c>
      <c r="F20" t="s">
        <v>40</v>
      </c>
      <c r="G20" t="s">
        <v>41</v>
      </c>
      <c r="H20" t="s">
        <v>40</v>
      </c>
      <c r="I20">
        <v>480</v>
      </c>
      <c r="J20" t="s">
        <v>6</v>
      </c>
      <c r="K20">
        <v>0</v>
      </c>
      <c r="L20" s="5" t="s">
        <v>654</v>
      </c>
      <c r="M20">
        <v>982800</v>
      </c>
      <c r="N20" t="s">
        <v>20</v>
      </c>
      <c r="O20" t="str">
        <f t="shared" si="0"/>
        <v>ng*h/mL</v>
      </c>
      <c r="T20" t="s">
        <v>44</v>
      </c>
      <c r="U20">
        <v>100</v>
      </c>
      <c r="V20" t="s">
        <v>22</v>
      </c>
      <c r="W20" t="s">
        <v>23</v>
      </c>
      <c r="X20">
        <v>0</v>
      </c>
      <c r="Y20">
        <v>1</v>
      </c>
      <c r="AA20" t="s">
        <v>655</v>
      </c>
      <c r="AD20">
        <v>77.7</v>
      </c>
    </row>
    <row r="21" spans="1:31" x14ac:dyDescent="0.3">
      <c r="A21" t="s">
        <v>562</v>
      </c>
      <c r="B21" t="s">
        <v>680</v>
      </c>
      <c r="C21" t="b">
        <v>1</v>
      </c>
      <c r="D21" t="s">
        <v>36</v>
      </c>
      <c r="E21" t="s">
        <v>39</v>
      </c>
      <c r="F21" t="s">
        <v>40</v>
      </c>
      <c r="G21" t="s">
        <v>41</v>
      </c>
      <c r="H21" t="s">
        <v>40</v>
      </c>
      <c r="I21">
        <v>480</v>
      </c>
      <c r="J21" t="s">
        <v>7</v>
      </c>
      <c r="K21">
        <v>0</v>
      </c>
      <c r="L21" s="5" t="s">
        <v>654</v>
      </c>
      <c r="M21">
        <v>23339.72</v>
      </c>
      <c r="N21" t="s">
        <v>21</v>
      </c>
      <c r="O21" t="str">
        <f t="shared" si="0"/>
        <v>nM</v>
      </c>
      <c r="R21">
        <v>13.65</v>
      </c>
      <c r="S21" t="s">
        <v>660</v>
      </c>
      <c r="T21" t="s">
        <v>45</v>
      </c>
      <c r="U21">
        <v>100</v>
      </c>
      <c r="V21" t="s">
        <v>22</v>
      </c>
      <c r="W21" t="s">
        <v>23</v>
      </c>
      <c r="X21">
        <v>0</v>
      </c>
      <c r="Y21">
        <v>1</v>
      </c>
      <c r="AA21" t="s">
        <v>655</v>
      </c>
      <c r="AD21">
        <v>77.7</v>
      </c>
    </row>
    <row r="22" spans="1:31" x14ac:dyDescent="0.3">
      <c r="A22" t="s">
        <v>563</v>
      </c>
      <c r="B22" t="s">
        <v>681</v>
      </c>
      <c r="C22" t="b">
        <v>1</v>
      </c>
      <c r="D22" t="s">
        <v>36</v>
      </c>
      <c r="E22" t="s">
        <v>39</v>
      </c>
      <c r="F22" t="s">
        <v>40</v>
      </c>
      <c r="G22" t="s">
        <v>41</v>
      </c>
      <c r="H22" t="s">
        <v>40</v>
      </c>
      <c r="I22">
        <v>480</v>
      </c>
      <c r="J22" t="s">
        <v>6</v>
      </c>
      <c r="K22">
        <v>0</v>
      </c>
      <c r="L22" s="5" t="s">
        <v>654</v>
      </c>
      <c r="M22">
        <v>1795700</v>
      </c>
      <c r="N22" t="s">
        <v>20</v>
      </c>
      <c r="O22" t="str">
        <f t="shared" si="0"/>
        <v>ng*h/mL</v>
      </c>
      <c r="T22" t="s">
        <v>46</v>
      </c>
      <c r="U22">
        <v>250</v>
      </c>
      <c r="V22" t="s">
        <v>22</v>
      </c>
      <c r="W22" t="s">
        <v>23</v>
      </c>
      <c r="X22">
        <v>0</v>
      </c>
      <c r="Y22">
        <v>1</v>
      </c>
      <c r="AA22" t="s">
        <v>655</v>
      </c>
      <c r="AD22">
        <v>77.8</v>
      </c>
    </row>
    <row r="23" spans="1:31" x14ac:dyDescent="0.3">
      <c r="A23" t="s">
        <v>563</v>
      </c>
      <c r="B23" t="s">
        <v>681</v>
      </c>
      <c r="C23" t="b">
        <v>1</v>
      </c>
      <c r="D23" t="s">
        <v>36</v>
      </c>
      <c r="E23" t="s">
        <v>39</v>
      </c>
      <c r="F23" t="s">
        <v>40</v>
      </c>
      <c r="G23" t="s">
        <v>41</v>
      </c>
      <c r="H23" t="s">
        <v>40</v>
      </c>
      <c r="I23">
        <v>480</v>
      </c>
      <c r="J23" t="s">
        <v>7</v>
      </c>
      <c r="K23">
        <v>0</v>
      </c>
      <c r="L23" s="5" t="s">
        <v>654</v>
      </c>
      <c r="M23">
        <v>51381.57</v>
      </c>
      <c r="N23" t="s">
        <v>21</v>
      </c>
      <c r="O23" t="str">
        <f t="shared" si="0"/>
        <v>nM</v>
      </c>
      <c r="R23">
        <v>30.05</v>
      </c>
      <c r="S23" t="s">
        <v>660</v>
      </c>
      <c r="T23" t="s">
        <v>47</v>
      </c>
      <c r="U23">
        <v>250</v>
      </c>
      <c r="V23" t="s">
        <v>22</v>
      </c>
      <c r="W23" t="s">
        <v>23</v>
      </c>
      <c r="X23">
        <v>0</v>
      </c>
      <c r="Y23">
        <v>1</v>
      </c>
      <c r="AA23" t="s">
        <v>655</v>
      </c>
      <c r="AD23">
        <v>77.8</v>
      </c>
    </row>
    <row r="24" spans="1:31" x14ac:dyDescent="0.3">
      <c r="A24" t="s">
        <v>564</v>
      </c>
      <c r="B24" t="s">
        <v>682</v>
      </c>
      <c r="C24" t="b">
        <v>1</v>
      </c>
      <c r="D24" t="s">
        <v>48</v>
      </c>
      <c r="E24" t="s">
        <v>49</v>
      </c>
      <c r="F24" t="s">
        <v>50</v>
      </c>
      <c r="G24" t="s">
        <v>51</v>
      </c>
      <c r="H24" t="s">
        <v>50</v>
      </c>
      <c r="I24">
        <v>24</v>
      </c>
      <c r="J24" t="s">
        <v>6</v>
      </c>
      <c r="K24">
        <v>0</v>
      </c>
      <c r="L24" s="5">
        <v>24</v>
      </c>
      <c r="M24">
        <v>307000</v>
      </c>
      <c r="N24" t="s">
        <v>20</v>
      </c>
      <c r="O24" t="str">
        <f t="shared" si="0"/>
        <v>ng*h/mL</v>
      </c>
      <c r="T24" t="s">
        <v>668</v>
      </c>
      <c r="U24">
        <v>4</v>
      </c>
      <c r="V24" t="s">
        <v>115</v>
      </c>
      <c r="W24" t="s">
        <v>663</v>
      </c>
      <c r="X24">
        <v>0</v>
      </c>
      <c r="Y24">
        <v>1</v>
      </c>
      <c r="AA24" t="s">
        <v>655</v>
      </c>
      <c r="AB24">
        <v>30</v>
      </c>
      <c r="AC24" t="s">
        <v>664</v>
      </c>
      <c r="AD24">
        <v>58.8</v>
      </c>
    </row>
    <row r="25" spans="1:31" x14ac:dyDescent="0.3">
      <c r="A25" t="s">
        <v>564</v>
      </c>
      <c r="B25" t="s">
        <v>682</v>
      </c>
      <c r="C25" t="b">
        <v>1</v>
      </c>
      <c r="D25" t="s">
        <v>48</v>
      </c>
      <c r="E25" t="s">
        <v>49</v>
      </c>
      <c r="F25" t="s">
        <v>50</v>
      </c>
      <c r="G25" t="s">
        <v>51</v>
      </c>
      <c r="H25" t="s">
        <v>50</v>
      </c>
      <c r="I25">
        <v>24</v>
      </c>
      <c r="J25" t="s">
        <v>6</v>
      </c>
      <c r="K25">
        <v>0</v>
      </c>
      <c r="L25" s="5" t="s">
        <v>654</v>
      </c>
      <c r="M25">
        <v>346000</v>
      </c>
      <c r="N25" t="s">
        <v>20</v>
      </c>
      <c r="O25" t="str">
        <f t="shared" si="0"/>
        <v>ng*h/mL</v>
      </c>
      <c r="T25" t="s">
        <v>667</v>
      </c>
      <c r="U25">
        <v>4</v>
      </c>
      <c r="V25" t="s">
        <v>115</v>
      </c>
      <c r="W25" t="s">
        <v>663</v>
      </c>
      <c r="X25">
        <v>0</v>
      </c>
      <c r="Y25">
        <v>1</v>
      </c>
      <c r="AA25" t="s">
        <v>655</v>
      </c>
      <c r="AB25">
        <v>30</v>
      </c>
      <c r="AC25" t="s">
        <v>664</v>
      </c>
      <c r="AD25">
        <v>58.8</v>
      </c>
    </row>
    <row r="26" spans="1:31" x14ac:dyDescent="0.3">
      <c r="A26" t="s">
        <v>564</v>
      </c>
      <c r="B26" t="s">
        <v>682</v>
      </c>
      <c r="C26" t="b">
        <v>1</v>
      </c>
      <c r="D26" t="s">
        <v>48</v>
      </c>
      <c r="E26" t="s">
        <v>49</v>
      </c>
      <c r="F26" t="s">
        <v>50</v>
      </c>
      <c r="G26" t="s">
        <v>51</v>
      </c>
      <c r="H26" t="s">
        <v>50</v>
      </c>
      <c r="I26">
        <v>24</v>
      </c>
      <c r="J26" t="s">
        <v>7</v>
      </c>
      <c r="K26">
        <v>0</v>
      </c>
      <c r="L26" s="5" t="s">
        <v>654</v>
      </c>
      <c r="M26">
        <v>26099.99</v>
      </c>
      <c r="N26" t="s">
        <v>21</v>
      </c>
      <c r="O26" t="str">
        <f t="shared" si="0"/>
        <v>nM</v>
      </c>
      <c r="R26">
        <v>42.3</v>
      </c>
      <c r="S26" t="s">
        <v>666</v>
      </c>
      <c r="T26" t="s">
        <v>665</v>
      </c>
      <c r="U26">
        <v>4</v>
      </c>
      <c r="V26" t="s">
        <v>115</v>
      </c>
      <c r="W26" t="s">
        <v>663</v>
      </c>
      <c r="X26">
        <v>0</v>
      </c>
      <c r="Y26">
        <v>1</v>
      </c>
      <c r="AA26" t="s">
        <v>655</v>
      </c>
      <c r="AB26">
        <v>30</v>
      </c>
      <c r="AC26" t="s">
        <v>664</v>
      </c>
      <c r="AD26">
        <v>58.8</v>
      </c>
    </row>
    <row r="27" spans="1:31" x14ac:dyDescent="0.3">
      <c r="A27" t="s">
        <v>565</v>
      </c>
      <c r="B27" t="s">
        <v>683</v>
      </c>
      <c r="C27" t="b">
        <v>1</v>
      </c>
      <c r="D27" t="s">
        <v>52</v>
      </c>
      <c r="E27" t="s">
        <v>55</v>
      </c>
      <c r="F27" t="s">
        <v>56</v>
      </c>
      <c r="G27" t="s">
        <v>57</v>
      </c>
      <c r="H27" t="s">
        <v>56</v>
      </c>
      <c r="I27">
        <v>16</v>
      </c>
      <c r="J27" t="s">
        <v>6</v>
      </c>
      <c r="K27">
        <v>0</v>
      </c>
      <c r="L27" s="5" t="s">
        <v>654</v>
      </c>
      <c r="M27">
        <v>3200</v>
      </c>
      <c r="N27" t="s">
        <v>20</v>
      </c>
      <c r="O27" t="str">
        <f t="shared" si="0"/>
        <v>ng*h/mL</v>
      </c>
      <c r="T27" t="s">
        <v>53</v>
      </c>
      <c r="U27">
        <v>50</v>
      </c>
      <c r="V27" t="s">
        <v>22</v>
      </c>
      <c r="W27" t="s">
        <v>23</v>
      </c>
      <c r="X27">
        <v>0</v>
      </c>
      <c r="Y27">
        <v>1</v>
      </c>
      <c r="AA27" t="s">
        <v>655</v>
      </c>
      <c r="AD27">
        <v>77</v>
      </c>
      <c r="AE27" t="b">
        <v>0</v>
      </c>
    </row>
    <row r="28" spans="1:31" x14ac:dyDescent="0.3">
      <c r="A28" t="s">
        <v>565</v>
      </c>
      <c r="B28" t="s">
        <v>683</v>
      </c>
      <c r="C28" t="b">
        <v>1</v>
      </c>
      <c r="D28" t="s">
        <v>52</v>
      </c>
      <c r="E28" t="s">
        <v>55</v>
      </c>
      <c r="F28" t="s">
        <v>56</v>
      </c>
      <c r="G28" t="s">
        <v>57</v>
      </c>
      <c r="H28" t="s">
        <v>56</v>
      </c>
      <c r="I28">
        <v>16</v>
      </c>
      <c r="J28" t="s">
        <v>7</v>
      </c>
      <c r="K28">
        <v>0</v>
      </c>
      <c r="L28" s="5" t="s">
        <v>654</v>
      </c>
      <c r="M28">
        <v>2046.48</v>
      </c>
      <c r="N28" t="s">
        <v>21</v>
      </c>
      <c r="O28" t="str">
        <f t="shared" si="0"/>
        <v>nM</v>
      </c>
      <c r="R28">
        <v>0.76</v>
      </c>
      <c r="S28" t="s">
        <v>660</v>
      </c>
      <c r="T28" t="s">
        <v>54</v>
      </c>
      <c r="U28">
        <v>50</v>
      </c>
      <c r="V28" t="s">
        <v>22</v>
      </c>
      <c r="W28" t="s">
        <v>23</v>
      </c>
      <c r="X28">
        <v>0</v>
      </c>
      <c r="Y28">
        <v>1</v>
      </c>
      <c r="AA28" t="s">
        <v>655</v>
      </c>
      <c r="AD28">
        <v>77</v>
      </c>
      <c r="AE28" t="b">
        <v>0</v>
      </c>
    </row>
    <row r="29" spans="1:31" x14ac:dyDescent="0.3">
      <c r="A29" t="s">
        <v>566</v>
      </c>
      <c r="B29" t="s">
        <v>684</v>
      </c>
      <c r="C29" t="b">
        <v>1</v>
      </c>
      <c r="D29" t="s">
        <v>52</v>
      </c>
      <c r="E29" t="s">
        <v>55</v>
      </c>
      <c r="F29" t="s">
        <v>56</v>
      </c>
      <c r="G29" t="s">
        <v>57</v>
      </c>
      <c r="H29" t="s">
        <v>56</v>
      </c>
      <c r="I29">
        <v>24</v>
      </c>
      <c r="J29" t="s">
        <v>6</v>
      </c>
      <c r="K29">
        <v>0</v>
      </c>
      <c r="L29" s="5" t="s">
        <v>654</v>
      </c>
      <c r="M29">
        <v>5200</v>
      </c>
      <c r="N29" t="s">
        <v>20</v>
      </c>
      <c r="O29" t="str">
        <f t="shared" si="0"/>
        <v>ng*h/mL</v>
      </c>
      <c r="T29" t="s">
        <v>60</v>
      </c>
      <c r="U29">
        <v>100</v>
      </c>
      <c r="V29" t="s">
        <v>22</v>
      </c>
      <c r="W29" t="s">
        <v>23</v>
      </c>
      <c r="X29">
        <v>0</v>
      </c>
      <c r="Y29">
        <v>1</v>
      </c>
      <c r="AA29" t="s">
        <v>655</v>
      </c>
      <c r="AD29">
        <v>77</v>
      </c>
      <c r="AE29" t="b">
        <v>0</v>
      </c>
    </row>
    <row r="30" spans="1:31" x14ac:dyDescent="0.3">
      <c r="A30" t="s">
        <v>566</v>
      </c>
      <c r="B30" t="s">
        <v>684</v>
      </c>
      <c r="C30" t="b">
        <v>1</v>
      </c>
      <c r="D30" t="s">
        <v>52</v>
      </c>
      <c r="E30" t="s">
        <v>55</v>
      </c>
      <c r="F30" t="s">
        <v>56</v>
      </c>
      <c r="G30" t="s">
        <v>57</v>
      </c>
      <c r="H30" t="s">
        <v>56</v>
      </c>
      <c r="I30">
        <v>24</v>
      </c>
      <c r="J30" t="s">
        <v>7</v>
      </c>
      <c r="K30">
        <v>0</v>
      </c>
      <c r="L30" s="5" t="s">
        <v>654</v>
      </c>
      <c r="M30">
        <v>2692.73</v>
      </c>
      <c r="N30" t="s">
        <v>21</v>
      </c>
      <c r="O30" t="str">
        <f t="shared" si="0"/>
        <v>nM</v>
      </c>
      <c r="R30">
        <v>1</v>
      </c>
      <c r="S30" t="s">
        <v>660</v>
      </c>
      <c r="T30" t="s">
        <v>61</v>
      </c>
      <c r="U30">
        <v>100</v>
      </c>
      <c r="V30" t="s">
        <v>22</v>
      </c>
      <c r="W30" t="s">
        <v>23</v>
      </c>
      <c r="X30">
        <v>0</v>
      </c>
      <c r="Y30">
        <v>1</v>
      </c>
      <c r="AA30" t="s">
        <v>655</v>
      </c>
      <c r="AD30">
        <v>77</v>
      </c>
      <c r="AE30" t="b">
        <v>0</v>
      </c>
    </row>
    <row r="31" spans="1:31" x14ac:dyDescent="0.3">
      <c r="A31" t="s">
        <v>953</v>
      </c>
      <c r="B31" t="s">
        <v>954</v>
      </c>
      <c r="C31" t="b">
        <v>1</v>
      </c>
      <c r="D31" t="s">
        <v>52</v>
      </c>
      <c r="E31" t="s">
        <v>55</v>
      </c>
      <c r="F31" t="s">
        <v>56</v>
      </c>
      <c r="G31" t="s">
        <v>57</v>
      </c>
      <c r="H31" t="s">
        <v>56</v>
      </c>
      <c r="I31">
        <v>48</v>
      </c>
      <c r="J31" t="s">
        <v>6</v>
      </c>
      <c r="K31">
        <v>0</v>
      </c>
      <c r="L31" s="5" t="s">
        <v>654</v>
      </c>
      <c r="M31">
        <v>5500</v>
      </c>
      <c r="N31" t="s">
        <v>20</v>
      </c>
      <c r="O31" t="str">
        <f t="shared" si="0"/>
        <v>ng*h/mL</v>
      </c>
      <c r="T31" t="s">
        <v>64</v>
      </c>
      <c r="U31">
        <v>200</v>
      </c>
      <c r="V31" t="s">
        <v>22</v>
      </c>
      <c r="W31" t="s">
        <v>23</v>
      </c>
      <c r="X31">
        <v>0</v>
      </c>
      <c r="Y31">
        <v>1</v>
      </c>
      <c r="AA31" t="s">
        <v>655</v>
      </c>
      <c r="AD31">
        <v>77</v>
      </c>
      <c r="AE31" t="b">
        <v>0</v>
      </c>
    </row>
    <row r="32" spans="1:31" x14ac:dyDescent="0.3">
      <c r="A32" t="s">
        <v>953</v>
      </c>
      <c r="B32" t="s">
        <v>954</v>
      </c>
      <c r="C32" t="b">
        <v>1</v>
      </c>
      <c r="D32" t="s">
        <v>52</v>
      </c>
      <c r="E32" t="s">
        <v>55</v>
      </c>
      <c r="F32" t="s">
        <v>56</v>
      </c>
      <c r="G32" t="s">
        <v>57</v>
      </c>
      <c r="H32" t="s">
        <v>56</v>
      </c>
      <c r="I32">
        <v>48</v>
      </c>
      <c r="J32" t="s">
        <v>7</v>
      </c>
      <c r="K32">
        <v>0</v>
      </c>
      <c r="L32" s="5" t="s">
        <v>654</v>
      </c>
      <c r="M32">
        <v>2962.01</v>
      </c>
      <c r="N32" t="s">
        <v>21</v>
      </c>
      <c r="O32" t="str">
        <f t="shared" si="0"/>
        <v>nM</v>
      </c>
      <c r="R32">
        <v>1.1000000000000001</v>
      </c>
      <c r="S32" t="s">
        <v>660</v>
      </c>
      <c r="T32" t="s">
        <v>65</v>
      </c>
      <c r="U32">
        <v>200</v>
      </c>
      <c r="V32" t="s">
        <v>22</v>
      </c>
      <c r="W32" t="s">
        <v>23</v>
      </c>
      <c r="X32">
        <v>0</v>
      </c>
      <c r="Y32">
        <v>1</v>
      </c>
      <c r="AA32" t="s">
        <v>655</v>
      </c>
      <c r="AD32">
        <v>77</v>
      </c>
      <c r="AE32" t="b">
        <v>0</v>
      </c>
    </row>
    <row r="33" spans="1:32" x14ac:dyDescent="0.3">
      <c r="A33" t="s">
        <v>955</v>
      </c>
      <c r="B33" t="s">
        <v>956</v>
      </c>
      <c r="C33" t="b">
        <v>1</v>
      </c>
      <c r="D33" t="s">
        <v>52</v>
      </c>
      <c r="E33" t="s">
        <v>55</v>
      </c>
      <c r="F33" t="s">
        <v>56</v>
      </c>
      <c r="G33" t="s">
        <v>57</v>
      </c>
      <c r="H33" t="s">
        <v>56</v>
      </c>
      <c r="I33">
        <v>24</v>
      </c>
      <c r="J33" t="s">
        <v>6</v>
      </c>
      <c r="K33">
        <v>0</v>
      </c>
      <c r="L33" s="5" t="s">
        <v>654</v>
      </c>
      <c r="M33">
        <v>6600</v>
      </c>
      <c r="N33" t="s">
        <v>20</v>
      </c>
      <c r="O33" t="str">
        <f t="shared" si="0"/>
        <v>ng*h/mL</v>
      </c>
      <c r="T33" t="s">
        <v>71</v>
      </c>
      <c r="U33">
        <v>400</v>
      </c>
      <c r="V33" t="s">
        <v>22</v>
      </c>
      <c r="W33" t="s">
        <v>23</v>
      </c>
      <c r="X33">
        <v>0</v>
      </c>
      <c r="Y33">
        <v>1</v>
      </c>
      <c r="AA33" t="s">
        <v>655</v>
      </c>
      <c r="AD33">
        <v>77</v>
      </c>
      <c r="AE33" t="b">
        <v>0</v>
      </c>
    </row>
    <row r="34" spans="1:32" x14ac:dyDescent="0.3">
      <c r="A34" t="s">
        <v>955</v>
      </c>
      <c r="B34" t="s">
        <v>956</v>
      </c>
      <c r="C34" t="b">
        <v>1</v>
      </c>
      <c r="D34" t="s">
        <v>52</v>
      </c>
      <c r="E34" t="s">
        <v>55</v>
      </c>
      <c r="F34" t="s">
        <v>56</v>
      </c>
      <c r="G34" t="s">
        <v>57</v>
      </c>
      <c r="H34" t="s">
        <v>56</v>
      </c>
      <c r="I34">
        <v>24</v>
      </c>
      <c r="J34" t="s">
        <v>7</v>
      </c>
      <c r="K34">
        <v>0</v>
      </c>
      <c r="L34" s="5" t="s">
        <v>654</v>
      </c>
      <c r="M34">
        <v>3500.55</v>
      </c>
      <c r="N34" t="s">
        <v>21</v>
      </c>
      <c r="O34" t="str">
        <f t="shared" si="0"/>
        <v>nM</v>
      </c>
      <c r="R34">
        <v>1.3</v>
      </c>
      <c r="S34" t="s">
        <v>660</v>
      </c>
      <c r="T34" t="s">
        <v>72</v>
      </c>
      <c r="U34">
        <v>400</v>
      </c>
      <c r="V34" t="s">
        <v>22</v>
      </c>
      <c r="W34" t="s">
        <v>23</v>
      </c>
      <c r="X34">
        <v>0</v>
      </c>
      <c r="Y34">
        <v>1</v>
      </c>
      <c r="AA34" t="s">
        <v>655</v>
      </c>
      <c r="AD34">
        <v>77</v>
      </c>
      <c r="AE34" t="b">
        <v>0</v>
      </c>
    </row>
    <row r="35" spans="1:32" x14ac:dyDescent="0.3">
      <c r="A35" t="s">
        <v>567</v>
      </c>
      <c r="B35" t="s">
        <v>685</v>
      </c>
      <c r="C35" t="b">
        <v>1</v>
      </c>
      <c r="D35" t="s">
        <v>52</v>
      </c>
      <c r="E35" t="s">
        <v>55</v>
      </c>
      <c r="F35" t="s">
        <v>56</v>
      </c>
      <c r="G35" t="s">
        <v>57</v>
      </c>
      <c r="H35" t="s">
        <v>56</v>
      </c>
      <c r="I35">
        <v>24</v>
      </c>
      <c r="J35" t="s">
        <v>6</v>
      </c>
      <c r="K35">
        <v>0</v>
      </c>
      <c r="L35" s="5" t="s">
        <v>654</v>
      </c>
      <c r="M35">
        <v>4000</v>
      </c>
      <c r="N35" t="s">
        <v>20</v>
      </c>
      <c r="O35" t="str">
        <f t="shared" si="0"/>
        <v>ng*h/mL</v>
      </c>
      <c r="T35" t="s">
        <v>78</v>
      </c>
      <c r="U35">
        <v>50</v>
      </c>
      <c r="V35" t="s">
        <v>22</v>
      </c>
      <c r="W35" t="s">
        <v>23</v>
      </c>
      <c r="X35">
        <v>0</v>
      </c>
      <c r="Y35">
        <v>1</v>
      </c>
      <c r="AA35" t="s">
        <v>655</v>
      </c>
      <c r="AD35">
        <v>78</v>
      </c>
      <c r="AE35" t="b">
        <v>1</v>
      </c>
      <c r="AF35" t="s">
        <v>778</v>
      </c>
    </row>
    <row r="36" spans="1:32" x14ac:dyDescent="0.3">
      <c r="A36" t="s">
        <v>567</v>
      </c>
      <c r="B36" t="s">
        <v>685</v>
      </c>
      <c r="C36" t="b">
        <v>1</v>
      </c>
      <c r="D36" t="s">
        <v>52</v>
      </c>
      <c r="E36" t="s">
        <v>55</v>
      </c>
      <c r="F36" t="s">
        <v>56</v>
      </c>
      <c r="G36" t="s">
        <v>57</v>
      </c>
      <c r="H36" t="s">
        <v>56</v>
      </c>
      <c r="I36">
        <v>24</v>
      </c>
      <c r="J36" t="s">
        <v>7</v>
      </c>
      <c r="K36">
        <v>0</v>
      </c>
      <c r="L36" s="5" t="s">
        <v>654</v>
      </c>
      <c r="M36">
        <v>1992.62</v>
      </c>
      <c r="N36" t="s">
        <v>21</v>
      </c>
      <c r="O36" t="str">
        <f t="shared" si="0"/>
        <v>nM</v>
      </c>
      <c r="R36">
        <v>0.74</v>
      </c>
      <c r="S36" t="s">
        <v>660</v>
      </c>
      <c r="T36" t="s">
        <v>58</v>
      </c>
      <c r="U36">
        <v>50</v>
      </c>
      <c r="V36" t="s">
        <v>22</v>
      </c>
      <c r="W36" t="s">
        <v>23</v>
      </c>
      <c r="X36">
        <v>0</v>
      </c>
      <c r="Y36">
        <v>1</v>
      </c>
      <c r="AA36" t="s">
        <v>655</v>
      </c>
      <c r="AD36">
        <v>78</v>
      </c>
      <c r="AE36" t="b">
        <v>1</v>
      </c>
      <c r="AF36" t="s">
        <v>778</v>
      </c>
    </row>
    <row r="37" spans="1:32" x14ac:dyDescent="0.3">
      <c r="A37" t="s">
        <v>957</v>
      </c>
      <c r="B37" t="s">
        <v>958</v>
      </c>
      <c r="C37" t="b">
        <v>1</v>
      </c>
      <c r="D37" t="s">
        <v>52</v>
      </c>
      <c r="E37" t="s">
        <v>55</v>
      </c>
      <c r="F37" t="s">
        <v>56</v>
      </c>
      <c r="G37" t="s">
        <v>57</v>
      </c>
      <c r="H37" t="s">
        <v>56</v>
      </c>
      <c r="I37">
        <v>24</v>
      </c>
      <c r="J37" t="s">
        <v>6</v>
      </c>
      <c r="K37">
        <v>0</v>
      </c>
      <c r="L37" s="5" t="s">
        <v>654</v>
      </c>
      <c r="M37">
        <v>11000</v>
      </c>
      <c r="N37" t="s">
        <v>20</v>
      </c>
      <c r="O37" t="str">
        <f t="shared" si="0"/>
        <v>ng*h/mL</v>
      </c>
      <c r="T37" t="s">
        <v>79</v>
      </c>
      <c r="U37">
        <v>100</v>
      </c>
      <c r="V37" t="s">
        <v>22</v>
      </c>
      <c r="W37" t="s">
        <v>23</v>
      </c>
      <c r="X37">
        <v>0</v>
      </c>
      <c r="Y37">
        <v>1</v>
      </c>
      <c r="AA37" t="s">
        <v>655</v>
      </c>
      <c r="AD37">
        <v>78</v>
      </c>
      <c r="AE37" t="b">
        <v>1</v>
      </c>
      <c r="AF37" t="s">
        <v>779</v>
      </c>
    </row>
    <row r="38" spans="1:32" x14ac:dyDescent="0.3">
      <c r="A38" t="s">
        <v>957</v>
      </c>
      <c r="B38" t="s">
        <v>958</v>
      </c>
      <c r="C38" t="b">
        <v>1</v>
      </c>
      <c r="D38" t="s">
        <v>52</v>
      </c>
      <c r="E38" t="s">
        <v>55</v>
      </c>
      <c r="F38" t="s">
        <v>56</v>
      </c>
      <c r="G38" t="s">
        <v>57</v>
      </c>
      <c r="H38" t="s">
        <v>56</v>
      </c>
      <c r="I38">
        <v>24</v>
      </c>
      <c r="J38" t="s">
        <v>7</v>
      </c>
      <c r="K38">
        <v>0</v>
      </c>
      <c r="L38" s="5" t="s">
        <v>654</v>
      </c>
      <c r="M38">
        <v>6731.83</v>
      </c>
      <c r="N38" t="s">
        <v>21</v>
      </c>
      <c r="O38" t="str">
        <f t="shared" si="0"/>
        <v>nM</v>
      </c>
      <c r="R38">
        <v>2.5</v>
      </c>
      <c r="S38" t="s">
        <v>660</v>
      </c>
      <c r="T38" t="s">
        <v>62</v>
      </c>
      <c r="U38">
        <v>100</v>
      </c>
      <c r="V38" t="s">
        <v>22</v>
      </c>
      <c r="W38" t="s">
        <v>23</v>
      </c>
      <c r="X38">
        <v>0</v>
      </c>
      <c r="Y38">
        <v>1</v>
      </c>
      <c r="AA38" t="s">
        <v>655</v>
      </c>
      <c r="AD38">
        <v>78</v>
      </c>
      <c r="AE38" t="b">
        <v>1</v>
      </c>
      <c r="AF38" t="s">
        <v>779</v>
      </c>
    </row>
    <row r="39" spans="1:32" x14ac:dyDescent="0.3">
      <c r="A39" t="s">
        <v>959</v>
      </c>
      <c r="B39" t="s">
        <v>960</v>
      </c>
      <c r="C39" t="b">
        <v>1</v>
      </c>
      <c r="D39" t="s">
        <v>52</v>
      </c>
      <c r="E39" t="s">
        <v>55</v>
      </c>
      <c r="F39" t="s">
        <v>56</v>
      </c>
      <c r="G39" t="s">
        <v>57</v>
      </c>
      <c r="H39" t="s">
        <v>56</v>
      </c>
      <c r="I39">
        <v>48</v>
      </c>
      <c r="J39" t="s">
        <v>6</v>
      </c>
      <c r="K39">
        <v>0</v>
      </c>
      <c r="L39" s="5" t="s">
        <v>654</v>
      </c>
      <c r="M39">
        <v>11000</v>
      </c>
      <c r="N39" t="s">
        <v>20</v>
      </c>
      <c r="O39" t="str">
        <f t="shared" si="0"/>
        <v>ng*h/mL</v>
      </c>
      <c r="T39" t="s">
        <v>76</v>
      </c>
      <c r="U39">
        <v>200</v>
      </c>
      <c r="V39" t="s">
        <v>22</v>
      </c>
      <c r="W39" t="s">
        <v>23</v>
      </c>
      <c r="X39">
        <v>0</v>
      </c>
      <c r="Y39">
        <v>1</v>
      </c>
      <c r="AA39" t="s">
        <v>655</v>
      </c>
      <c r="AD39">
        <v>77</v>
      </c>
      <c r="AE39" t="b">
        <v>1</v>
      </c>
    </row>
    <row r="40" spans="1:32" x14ac:dyDescent="0.3">
      <c r="A40" t="s">
        <v>959</v>
      </c>
      <c r="B40" t="s">
        <v>960</v>
      </c>
      <c r="C40" t="b">
        <v>1</v>
      </c>
      <c r="D40" t="s">
        <v>52</v>
      </c>
      <c r="E40" t="s">
        <v>55</v>
      </c>
      <c r="F40" t="s">
        <v>56</v>
      </c>
      <c r="G40" t="s">
        <v>57</v>
      </c>
      <c r="H40" t="s">
        <v>56</v>
      </c>
      <c r="I40">
        <v>48</v>
      </c>
      <c r="J40" t="s">
        <v>7</v>
      </c>
      <c r="K40">
        <v>0</v>
      </c>
      <c r="L40" s="5" t="s">
        <v>654</v>
      </c>
      <c r="M40">
        <v>3500.55</v>
      </c>
      <c r="N40" t="s">
        <v>21</v>
      </c>
      <c r="O40" t="str">
        <f t="shared" si="0"/>
        <v>nM</v>
      </c>
      <c r="R40">
        <v>1.3</v>
      </c>
      <c r="S40" t="s">
        <v>660</v>
      </c>
      <c r="T40" t="s">
        <v>66</v>
      </c>
      <c r="U40">
        <v>200</v>
      </c>
      <c r="V40" t="s">
        <v>22</v>
      </c>
      <c r="W40" t="s">
        <v>23</v>
      </c>
      <c r="X40">
        <v>0</v>
      </c>
      <c r="Y40">
        <v>1</v>
      </c>
      <c r="AA40" t="s">
        <v>655</v>
      </c>
      <c r="AD40">
        <v>77</v>
      </c>
      <c r="AE40" t="b">
        <v>1</v>
      </c>
    </row>
    <row r="41" spans="1:32" x14ac:dyDescent="0.3">
      <c r="A41" t="s">
        <v>568</v>
      </c>
      <c r="B41" t="s">
        <v>686</v>
      </c>
      <c r="C41" t="b">
        <v>1</v>
      </c>
      <c r="D41" t="s">
        <v>52</v>
      </c>
      <c r="E41" t="s">
        <v>55</v>
      </c>
      <c r="F41" t="s">
        <v>56</v>
      </c>
      <c r="G41" t="s">
        <v>57</v>
      </c>
      <c r="H41" t="s">
        <v>56</v>
      </c>
      <c r="I41">
        <v>24</v>
      </c>
      <c r="J41" t="s">
        <v>6</v>
      </c>
      <c r="K41">
        <v>0</v>
      </c>
      <c r="L41" s="5" t="s">
        <v>654</v>
      </c>
      <c r="M41">
        <v>9200</v>
      </c>
      <c r="N41" t="s">
        <v>20</v>
      </c>
      <c r="O41" t="str">
        <f t="shared" si="0"/>
        <v>ng*h/mL</v>
      </c>
      <c r="T41" t="s">
        <v>80</v>
      </c>
      <c r="U41">
        <v>200</v>
      </c>
      <c r="V41" t="s">
        <v>22</v>
      </c>
      <c r="W41" t="s">
        <v>23</v>
      </c>
      <c r="X41">
        <v>0</v>
      </c>
      <c r="Y41">
        <v>1</v>
      </c>
      <c r="AA41" t="s">
        <v>655</v>
      </c>
      <c r="AD41">
        <v>78</v>
      </c>
      <c r="AE41" t="b">
        <v>1</v>
      </c>
      <c r="AF41" t="s">
        <v>780</v>
      </c>
    </row>
    <row r="42" spans="1:32" x14ac:dyDescent="0.3">
      <c r="A42" t="s">
        <v>568</v>
      </c>
      <c r="B42" t="s">
        <v>686</v>
      </c>
      <c r="C42" t="b">
        <v>1</v>
      </c>
      <c r="D42" t="s">
        <v>52</v>
      </c>
      <c r="E42" t="s">
        <v>55</v>
      </c>
      <c r="F42" t="s">
        <v>56</v>
      </c>
      <c r="G42" t="s">
        <v>57</v>
      </c>
      <c r="H42" t="s">
        <v>56</v>
      </c>
      <c r="I42">
        <v>24</v>
      </c>
      <c r="J42" t="s">
        <v>7</v>
      </c>
      <c r="K42">
        <v>0</v>
      </c>
      <c r="L42" s="5" t="s">
        <v>654</v>
      </c>
      <c r="M42">
        <v>4039.1</v>
      </c>
      <c r="N42" t="s">
        <v>21</v>
      </c>
      <c r="O42" t="str">
        <f t="shared" si="0"/>
        <v>nM</v>
      </c>
      <c r="R42">
        <v>1.5</v>
      </c>
      <c r="S42" t="s">
        <v>660</v>
      </c>
      <c r="T42" t="s">
        <v>67</v>
      </c>
      <c r="U42">
        <v>200</v>
      </c>
      <c r="V42" t="s">
        <v>22</v>
      </c>
      <c r="W42" t="s">
        <v>23</v>
      </c>
      <c r="X42">
        <v>0</v>
      </c>
      <c r="Y42">
        <v>1</v>
      </c>
      <c r="AA42" t="s">
        <v>655</v>
      </c>
      <c r="AD42">
        <v>78</v>
      </c>
      <c r="AE42" t="b">
        <v>1</v>
      </c>
      <c r="AF42" t="s">
        <v>780</v>
      </c>
    </row>
    <row r="43" spans="1:32" x14ac:dyDescent="0.3">
      <c r="A43" t="s">
        <v>961</v>
      </c>
      <c r="B43" t="s">
        <v>962</v>
      </c>
      <c r="C43" t="b">
        <v>1</v>
      </c>
      <c r="D43" t="s">
        <v>52</v>
      </c>
      <c r="E43" t="s">
        <v>55</v>
      </c>
      <c r="F43" t="s">
        <v>56</v>
      </c>
      <c r="G43" t="s">
        <v>57</v>
      </c>
      <c r="H43" t="s">
        <v>56</v>
      </c>
      <c r="I43">
        <v>24</v>
      </c>
      <c r="J43" t="s">
        <v>6</v>
      </c>
      <c r="K43">
        <v>0</v>
      </c>
      <c r="L43" s="5" t="s">
        <v>654</v>
      </c>
      <c r="M43">
        <v>5900</v>
      </c>
      <c r="N43" t="s">
        <v>20</v>
      </c>
      <c r="O43" t="str">
        <f t="shared" si="0"/>
        <v>ng*h/mL</v>
      </c>
      <c r="T43" t="s">
        <v>82</v>
      </c>
      <c r="U43">
        <v>200</v>
      </c>
      <c r="V43" t="s">
        <v>22</v>
      </c>
      <c r="W43" t="s">
        <v>23</v>
      </c>
      <c r="X43">
        <v>0</v>
      </c>
      <c r="Y43">
        <v>1</v>
      </c>
      <c r="AA43" t="s">
        <v>655</v>
      </c>
      <c r="AD43">
        <v>78</v>
      </c>
      <c r="AE43" t="b">
        <v>1</v>
      </c>
      <c r="AF43" t="s">
        <v>781</v>
      </c>
    </row>
    <row r="44" spans="1:32" x14ac:dyDescent="0.3">
      <c r="A44" t="s">
        <v>961</v>
      </c>
      <c r="B44" t="s">
        <v>962</v>
      </c>
      <c r="C44" t="b">
        <v>1</v>
      </c>
      <c r="D44" t="s">
        <v>52</v>
      </c>
      <c r="E44" t="s">
        <v>55</v>
      </c>
      <c r="F44" t="s">
        <v>56</v>
      </c>
      <c r="G44" t="s">
        <v>57</v>
      </c>
      <c r="H44" t="s">
        <v>56</v>
      </c>
      <c r="I44">
        <v>24</v>
      </c>
      <c r="J44" t="s">
        <v>7</v>
      </c>
      <c r="K44">
        <v>0</v>
      </c>
      <c r="L44" s="5" t="s">
        <v>654</v>
      </c>
      <c r="M44">
        <v>2962.01</v>
      </c>
      <c r="N44" t="s">
        <v>21</v>
      </c>
      <c r="O44" t="str">
        <f t="shared" si="0"/>
        <v>nM</v>
      </c>
      <c r="R44">
        <v>1.1000000000000001</v>
      </c>
      <c r="S44" t="s">
        <v>660</v>
      </c>
      <c r="T44" t="s">
        <v>68</v>
      </c>
      <c r="U44">
        <v>200</v>
      </c>
      <c r="V44" t="s">
        <v>22</v>
      </c>
      <c r="W44" t="s">
        <v>23</v>
      </c>
      <c r="X44">
        <v>0</v>
      </c>
      <c r="Y44">
        <v>1</v>
      </c>
      <c r="AA44" t="s">
        <v>655</v>
      </c>
      <c r="AD44">
        <v>78</v>
      </c>
      <c r="AE44" t="b">
        <v>1</v>
      </c>
      <c r="AF44" t="s">
        <v>781</v>
      </c>
    </row>
    <row r="45" spans="1:32" x14ac:dyDescent="0.3">
      <c r="A45" t="s">
        <v>963</v>
      </c>
      <c r="B45" t="s">
        <v>964</v>
      </c>
      <c r="C45" t="b">
        <v>1</v>
      </c>
      <c r="D45" t="s">
        <v>52</v>
      </c>
      <c r="E45" t="s">
        <v>55</v>
      </c>
      <c r="F45" t="s">
        <v>56</v>
      </c>
      <c r="G45" t="s">
        <v>57</v>
      </c>
      <c r="H45" t="s">
        <v>56</v>
      </c>
      <c r="I45">
        <v>48</v>
      </c>
      <c r="J45" t="s">
        <v>6</v>
      </c>
      <c r="K45">
        <v>0</v>
      </c>
      <c r="L45" s="5" t="s">
        <v>654</v>
      </c>
      <c r="M45">
        <v>8500</v>
      </c>
      <c r="N45" t="s">
        <v>20</v>
      </c>
      <c r="O45" t="str">
        <f t="shared" si="0"/>
        <v>ng*h/mL</v>
      </c>
      <c r="T45" t="s">
        <v>77</v>
      </c>
      <c r="U45">
        <v>400</v>
      </c>
      <c r="V45" t="s">
        <v>22</v>
      </c>
      <c r="W45" t="s">
        <v>23</v>
      </c>
      <c r="X45">
        <v>0</v>
      </c>
      <c r="Y45">
        <v>1</v>
      </c>
      <c r="AA45" t="s">
        <v>655</v>
      </c>
      <c r="AD45">
        <v>77</v>
      </c>
      <c r="AE45" t="b">
        <v>1</v>
      </c>
    </row>
    <row r="46" spans="1:32" x14ac:dyDescent="0.3">
      <c r="A46" t="s">
        <v>963</v>
      </c>
      <c r="B46" t="s">
        <v>964</v>
      </c>
      <c r="C46" t="b">
        <v>1</v>
      </c>
      <c r="D46" t="s">
        <v>52</v>
      </c>
      <c r="E46" t="s">
        <v>55</v>
      </c>
      <c r="F46" t="s">
        <v>56</v>
      </c>
      <c r="G46" t="s">
        <v>57</v>
      </c>
      <c r="H46" t="s">
        <v>56</v>
      </c>
      <c r="I46">
        <v>48</v>
      </c>
      <c r="J46" t="s">
        <v>7</v>
      </c>
      <c r="K46">
        <v>0</v>
      </c>
      <c r="L46" s="5" t="s">
        <v>654</v>
      </c>
      <c r="M46">
        <v>2261.9</v>
      </c>
      <c r="N46" t="s">
        <v>21</v>
      </c>
      <c r="O46" t="str">
        <f t="shared" si="0"/>
        <v>nM</v>
      </c>
      <c r="R46">
        <v>0.84</v>
      </c>
      <c r="S46" t="s">
        <v>660</v>
      </c>
      <c r="T46" t="s">
        <v>73</v>
      </c>
      <c r="U46">
        <v>400</v>
      </c>
      <c r="V46" t="s">
        <v>22</v>
      </c>
      <c r="W46" t="s">
        <v>23</v>
      </c>
      <c r="X46">
        <v>0</v>
      </c>
      <c r="Y46">
        <v>1</v>
      </c>
      <c r="AA46" t="s">
        <v>655</v>
      </c>
      <c r="AD46">
        <v>77</v>
      </c>
      <c r="AE46" t="b">
        <v>1</v>
      </c>
    </row>
    <row r="47" spans="1:32" x14ac:dyDescent="0.3">
      <c r="A47" t="s">
        <v>965</v>
      </c>
      <c r="B47" t="s">
        <v>966</v>
      </c>
      <c r="C47" t="b">
        <v>1</v>
      </c>
      <c r="D47" t="s">
        <v>52</v>
      </c>
      <c r="E47" t="s">
        <v>55</v>
      </c>
      <c r="F47" t="s">
        <v>56</v>
      </c>
      <c r="G47" t="s">
        <v>57</v>
      </c>
      <c r="H47" t="s">
        <v>56</v>
      </c>
      <c r="I47">
        <v>24</v>
      </c>
      <c r="J47" t="s">
        <v>6</v>
      </c>
      <c r="K47">
        <v>0</v>
      </c>
      <c r="L47" s="5" t="s">
        <v>654</v>
      </c>
      <c r="M47">
        <v>15000</v>
      </c>
      <c r="N47" t="s">
        <v>20</v>
      </c>
      <c r="O47" t="str">
        <f t="shared" si="0"/>
        <v>ng*h/mL</v>
      </c>
      <c r="T47" t="s">
        <v>81</v>
      </c>
      <c r="U47">
        <v>400</v>
      </c>
      <c r="V47" t="s">
        <v>22</v>
      </c>
      <c r="W47" t="s">
        <v>23</v>
      </c>
      <c r="X47">
        <v>0</v>
      </c>
      <c r="Y47">
        <v>1</v>
      </c>
      <c r="AA47" t="s">
        <v>655</v>
      </c>
      <c r="AD47">
        <v>78</v>
      </c>
      <c r="AE47" t="b">
        <v>1</v>
      </c>
      <c r="AF47" t="s">
        <v>1178</v>
      </c>
    </row>
    <row r="48" spans="1:32" x14ac:dyDescent="0.3">
      <c r="A48" t="s">
        <v>965</v>
      </c>
      <c r="B48" t="s">
        <v>966</v>
      </c>
      <c r="C48" t="b">
        <v>1</v>
      </c>
      <c r="D48" t="s">
        <v>52</v>
      </c>
      <c r="E48" t="s">
        <v>55</v>
      </c>
      <c r="F48" t="s">
        <v>56</v>
      </c>
      <c r="G48" t="s">
        <v>57</v>
      </c>
      <c r="H48" t="s">
        <v>56</v>
      </c>
      <c r="I48">
        <v>24</v>
      </c>
      <c r="J48" t="s">
        <v>7</v>
      </c>
      <c r="K48">
        <v>0</v>
      </c>
      <c r="L48" s="5" t="s">
        <v>654</v>
      </c>
      <c r="M48">
        <v>5924.01</v>
      </c>
      <c r="N48" t="s">
        <v>21</v>
      </c>
      <c r="O48" t="str">
        <f t="shared" si="0"/>
        <v>nM</v>
      </c>
      <c r="R48">
        <v>2.2000000000000002</v>
      </c>
      <c r="S48" t="s">
        <v>660</v>
      </c>
      <c r="T48" t="s">
        <v>74</v>
      </c>
      <c r="U48">
        <v>400</v>
      </c>
      <c r="V48" t="s">
        <v>22</v>
      </c>
      <c r="W48" t="s">
        <v>23</v>
      </c>
      <c r="X48">
        <v>0</v>
      </c>
      <c r="Y48">
        <v>1</v>
      </c>
      <c r="AA48" t="s">
        <v>655</v>
      </c>
      <c r="AD48">
        <v>78</v>
      </c>
      <c r="AE48" t="b">
        <v>1</v>
      </c>
      <c r="AF48" t="s">
        <v>1178</v>
      </c>
    </row>
    <row r="49" spans="1:32" x14ac:dyDescent="0.3">
      <c r="A49" t="s">
        <v>967</v>
      </c>
      <c r="B49" t="s">
        <v>968</v>
      </c>
      <c r="C49" t="b">
        <v>1</v>
      </c>
      <c r="D49" t="s">
        <v>52</v>
      </c>
      <c r="E49" t="s">
        <v>55</v>
      </c>
      <c r="F49" t="s">
        <v>56</v>
      </c>
      <c r="G49" t="s">
        <v>57</v>
      </c>
      <c r="H49" t="s">
        <v>56</v>
      </c>
      <c r="I49">
        <f t="shared" ref="I49:I58" si="1">7*24+12</f>
        <v>180</v>
      </c>
      <c r="J49" t="s">
        <v>6</v>
      </c>
      <c r="K49">
        <f>7*24</f>
        <v>168</v>
      </c>
      <c r="L49" s="5">
        <f t="shared" ref="L49:L54" si="2">7*24+12</f>
        <v>180</v>
      </c>
      <c r="M49">
        <v>5600</v>
      </c>
      <c r="N49" t="s">
        <v>20</v>
      </c>
      <c r="O49" t="str">
        <f t="shared" si="0"/>
        <v>ng*h/mL</v>
      </c>
      <c r="T49" t="s">
        <v>783</v>
      </c>
      <c r="U49">
        <v>50</v>
      </c>
      <c r="V49" t="s">
        <v>22</v>
      </c>
      <c r="W49" t="s">
        <v>23</v>
      </c>
      <c r="X49">
        <v>0</v>
      </c>
      <c r="Y49">
        <f t="shared" ref="Y49:Y53" si="3">1+2*6</f>
        <v>13</v>
      </c>
      <c r="Z49">
        <v>12</v>
      </c>
      <c r="AA49" t="s">
        <v>655</v>
      </c>
      <c r="AD49">
        <v>78</v>
      </c>
      <c r="AE49" t="b">
        <v>1</v>
      </c>
      <c r="AF49" t="s">
        <v>778</v>
      </c>
    </row>
    <row r="50" spans="1:32" x14ac:dyDescent="0.3">
      <c r="A50" t="s">
        <v>967</v>
      </c>
      <c r="B50" t="s">
        <v>968</v>
      </c>
      <c r="C50" t="b">
        <v>1</v>
      </c>
      <c r="D50" t="s">
        <v>52</v>
      </c>
      <c r="E50" t="s">
        <v>55</v>
      </c>
      <c r="F50" t="s">
        <v>56</v>
      </c>
      <c r="G50" t="s">
        <v>57</v>
      </c>
      <c r="H50" t="s">
        <v>56</v>
      </c>
      <c r="I50">
        <f t="shared" si="1"/>
        <v>180</v>
      </c>
      <c r="J50" t="s">
        <v>7</v>
      </c>
      <c r="K50">
        <f t="shared" ref="K50:K56" si="4">7*24</f>
        <v>168</v>
      </c>
      <c r="L50" s="5">
        <f t="shared" si="2"/>
        <v>180</v>
      </c>
      <c r="M50">
        <v>3769.83</v>
      </c>
      <c r="N50" t="s">
        <v>21</v>
      </c>
      <c r="O50" t="str">
        <f t="shared" si="0"/>
        <v>nM</v>
      </c>
      <c r="R50">
        <v>1.4</v>
      </c>
      <c r="S50" t="s">
        <v>660</v>
      </c>
      <c r="T50" t="s">
        <v>59</v>
      </c>
      <c r="U50">
        <v>50</v>
      </c>
      <c r="V50" t="s">
        <v>22</v>
      </c>
      <c r="W50" t="s">
        <v>23</v>
      </c>
      <c r="X50">
        <v>0</v>
      </c>
      <c r="Y50">
        <f t="shared" ref="Y50:Y54" si="5">1+2*6</f>
        <v>13</v>
      </c>
      <c r="Z50">
        <v>12</v>
      </c>
      <c r="AA50" t="s">
        <v>655</v>
      </c>
      <c r="AD50">
        <v>78</v>
      </c>
      <c r="AE50" t="b">
        <v>1</v>
      </c>
      <c r="AF50" t="s">
        <v>778</v>
      </c>
    </row>
    <row r="51" spans="1:32" x14ac:dyDescent="0.3">
      <c r="A51" t="s">
        <v>969</v>
      </c>
      <c r="B51" t="s">
        <v>970</v>
      </c>
      <c r="C51" t="b">
        <v>1</v>
      </c>
      <c r="D51" t="s">
        <v>52</v>
      </c>
      <c r="E51" t="s">
        <v>55</v>
      </c>
      <c r="F51" t="s">
        <v>56</v>
      </c>
      <c r="G51" t="s">
        <v>57</v>
      </c>
      <c r="H51" t="s">
        <v>56</v>
      </c>
      <c r="I51">
        <f t="shared" si="1"/>
        <v>180</v>
      </c>
      <c r="J51" t="s">
        <v>6</v>
      </c>
      <c r="K51">
        <f t="shared" si="4"/>
        <v>168</v>
      </c>
      <c r="L51" s="5">
        <f t="shared" si="2"/>
        <v>180</v>
      </c>
      <c r="M51">
        <v>12000</v>
      </c>
      <c r="N51" t="s">
        <v>20</v>
      </c>
      <c r="O51" t="str">
        <f t="shared" si="0"/>
        <v>ng*h/mL</v>
      </c>
      <c r="T51" t="s">
        <v>784</v>
      </c>
      <c r="U51">
        <v>100</v>
      </c>
      <c r="V51" t="s">
        <v>22</v>
      </c>
      <c r="W51" t="s">
        <v>23</v>
      </c>
      <c r="X51">
        <v>0</v>
      </c>
      <c r="Y51">
        <f t="shared" si="3"/>
        <v>13</v>
      </c>
      <c r="Z51">
        <v>12</v>
      </c>
      <c r="AA51" t="s">
        <v>655</v>
      </c>
      <c r="AD51">
        <v>78</v>
      </c>
      <c r="AE51" t="b">
        <v>1</v>
      </c>
      <c r="AF51" t="s">
        <v>779</v>
      </c>
    </row>
    <row r="52" spans="1:32" x14ac:dyDescent="0.3">
      <c r="A52" t="s">
        <v>969</v>
      </c>
      <c r="B52" t="s">
        <v>970</v>
      </c>
      <c r="C52" t="b">
        <v>1</v>
      </c>
      <c r="D52" t="s">
        <v>52</v>
      </c>
      <c r="E52" t="s">
        <v>55</v>
      </c>
      <c r="F52" t="s">
        <v>56</v>
      </c>
      <c r="G52" t="s">
        <v>57</v>
      </c>
      <c r="H52" t="s">
        <v>56</v>
      </c>
      <c r="I52">
        <f t="shared" si="1"/>
        <v>180</v>
      </c>
      <c r="J52" t="s">
        <v>7</v>
      </c>
      <c r="K52">
        <f t="shared" si="4"/>
        <v>168</v>
      </c>
      <c r="L52" s="5">
        <f t="shared" si="2"/>
        <v>180</v>
      </c>
      <c r="M52">
        <v>7001.1</v>
      </c>
      <c r="N52" t="s">
        <v>21</v>
      </c>
      <c r="O52" t="str">
        <f t="shared" si="0"/>
        <v>nM</v>
      </c>
      <c r="R52">
        <v>2.6</v>
      </c>
      <c r="S52" t="s">
        <v>660</v>
      </c>
      <c r="T52" t="s">
        <v>63</v>
      </c>
      <c r="U52">
        <v>100</v>
      </c>
      <c r="V52" t="s">
        <v>22</v>
      </c>
      <c r="W52" t="s">
        <v>23</v>
      </c>
      <c r="X52">
        <v>0</v>
      </c>
      <c r="Y52">
        <f t="shared" si="5"/>
        <v>13</v>
      </c>
      <c r="Z52">
        <v>12</v>
      </c>
      <c r="AA52" t="s">
        <v>655</v>
      </c>
      <c r="AD52">
        <v>78</v>
      </c>
      <c r="AE52" t="b">
        <v>1</v>
      </c>
      <c r="AF52" t="s">
        <v>779</v>
      </c>
    </row>
    <row r="53" spans="1:32" x14ac:dyDescent="0.3">
      <c r="A53" t="s">
        <v>569</v>
      </c>
      <c r="B53" t="s">
        <v>687</v>
      </c>
      <c r="C53" t="b">
        <v>1</v>
      </c>
      <c r="D53" t="s">
        <v>52</v>
      </c>
      <c r="E53" t="s">
        <v>55</v>
      </c>
      <c r="F53" t="s">
        <v>56</v>
      </c>
      <c r="G53" t="s">
        <v>57</v>
      </c>
      <c r="H53" t="s">
        <v>56</v>
      </c>
      <c r="I53">
        <f t="shared" si="1"/>
        <v>180</v>
      </c>
      <c r="J53" t="s">
        <v>6</v>
      </c>
      <c r="K53">
        <f t="shared" si="4"/>
        <v>168</v>
      </c>
      <c r="L53" s="5">
        <f t="shared" si="2"/>
        <v>180</v>
      </c>
      <c r="M53">
        <v>9600</v>
      </c>
      <c r="N53" t="s">
        <v>20</v>
      </c>
      <c r="O53" t="str">
        <f t="shared" si="0"/>
        <v>ng*h/mL</v>
      </c>
      <c r="T53" t="s">
        <v>785</v>
      </c>
      <c r="U53">
        <v>200</v>
      </c>
      <c r="V53" t="s">
        <v>22</v>
      </c>
      <c r="W53" t="s">
        <v>23</v>
      </c>
      <c r="X53">
        <v>0</v>
      </c>
      <c r="Y53">
        <f t="shared" si="3"/>
        <v>13</v>
      </c>
      <c r="Z53">
        <v>12</v>
      </c>
      <c r="AA53" t="s">
        <v>655</v>
      </c>
      <c r="AD53">
        <v>78</v>
      </c>
      <c r="AE53" t="b">
        <v>1</v>
      </c>
      <c r="AF53" t="s">
        <v>780</v>
      </c>
    </row>
    <row r="54" spans="1:32" x14ac:dyDescent="0.3">
      <c r="A54" t="s">
        <v>569</v>
      </c>
      <c r="B54" t="s">
        <v>687</v>
      </c>
      <c r="C54" t="b">
        <v>1</v>
      </c>
      <c r="D54" t="s">
        <v>52</v>
      </c>
      <c r="E54" t="s">
        <v>55</v>
      </c>
      <c r="F54" t="s">
        <v>56</v>
      </c>
      <c r="G54" t="s">
        <v>57</v>
      </c>
      <c r="H54" t="s">
        <v>56</v>
      </c>
      <c r="I54">
        <f t="shared" si="1"/>
        <v>180</v>
      </c>
      <c r="J54" t="s">
        <v>7</v>
      </c>
      <c r="K54">
        <f t="shared" si="4"/>
        <v>168</v>
      </c>
      <c r="L54" s="5">
        <f t="shared" si="2"/>
        <v>180</v>
      </c>
      <c r="M54">
        <v>4308.37</v>
      </c>
      <c r="N54" t="s">
        <v>21</v>
      </c>
      <c r="O54" t="str">
        <f t="shared" si="0"/>
        <v>nM</v>
      </c>
      <c r="R54">
        <v>1.6</v>
      </c>
      <c r="S54" t="s">
        <v>660</v>
      </c>
      <c r="T54" t="s">
        <v>69</v>
      </c>
      <c r="U54">
        <v>200</v>
      </c>
      <c r="V54" t="s">
        <v>22</v>
      </c>
      <c r="W54" t="s">
        <v>23</v>
      </c>
      <c r="X54">
        <v>0</v>
      </c>
      <c r="Y54">
        <f t="shared" si="5"/>
        <v>13</v>
      </c>
      <c r="Z54">
        <v>12</v>
      </c>
      <c r="AA54" t="s">
        <v>655</v>
      </c>
      <c r="AD54">
        <v>78</v>
      </c>
      <c r="AE54" t="b">
        <v>1</v>
      </c>
      <c r="AF54" t="s">
        <v>780</v>
      </c>
    </row>
    <row r="55" spans="1:32" x14ac:dyDescent="0.3">
      <c r="A55" t="s">
        <v>971</v>
      </c>
      <c r="B55" t="s">
        <v>972</v>
      </c>
      <c r="C55" t="b">
        <v>1</v>
      </c>
      <c r="D55" t="s">
        <v>52</v>
      </c>
      <c r="E55" t="s">
        <v>55</v>
      </c>
      <c r="F55" t="s">
        <v>56</v>
      </c>
      <c r="G55" t="s">
        <v>57</v>
      </c>
      <c r="H55" t="s">
        <v>56</v>
      </c>
      <c r="I55">
        <f t="shared" si="1"/>
        <v>180</v>
      </c>
      <c r="J55" t="s">
        <v>6</v>
      </c>
      <c r="K55">
        <f t="shared" si="4"/>
        <v>168</v>
      </c>
      <c r="L55" s="5">
        <f>7*24+8</f>
        <v>176</v>
      </c>
      <c r="M55">
        <v>4900</v>
      </c>
      <c r="N55" t="s">
        <v>20</v>
      </c>
      <c r="O55" t="str">
        <f t="shared" si="0"/>
        <v>ng*h/mL</v>
      </c>
      <c r="T55" t="s">
        <v>786</v>
      </c>
      <c r="U55">
        <v>200</v>
      </c>
      <c r="V55" t="s">
        <v>22</v>
      </c>
      <c r="W55" t="s">
        <v>23</v>
      </c>
      <c r="X55">
        <v>0</v>
      </c>
      <c r="Y55">
        <f t="shared" ref="Y55" si="6">1+3*6</f>
        <v>19</v>
      </c>
      <c r="Z55">
        <v>8</v>
      </c>
      <c r="AA55" t="s">
        <v>655</v>
      </c>
      <c r="AD55">
        <v>78</v>
      </c>
      <c r="AE55" t="b">
        <v>1</v>
      </c>
      <c r="AF55" t="s">
        <v>781</v>
      </c>
    </row>
    <row r="56" spans="1:32" x14ac:dyDescent="0.3">
      <c r="A56" t="s">
        <v>971</v>
      </c>
      <c r="B56" t="s">
        <v>972</v>
      </c>
      <c r="C56" t="b">
        <v>1</v>
      </c>
      <c r="D56" t="s">
        <v>52</v>
      </c>
      <c r="E56" t="s">
        <v>55</v>
      </c>
      <c r="F56" t="s">
        <v>56</v>
      </c>
      <c r="G56" t="s">
        <v>57</v>
      </c>
      <c r="H56" t="s">
        <v>56</v>
      </c>
      <c r="I56">
        <f t="shared" si="1"/>
        <v>180</v>
      </c>
      <c r="J56" t="s">
        <v>7</v>
      </c>
      <c r="K56">
        <f t="shared" si="4"/>
        <v>168</v>
      </c>
      <c r="L56" s="5">
        <f>7*24+8</f>
        <v>176</v>
      </c>
      <c r="M56">
        <v>2611.9499999999998</v>
      </c>
      <c r="N56" t="s">
        <v>21</v>
      </c>
      <c r="O56" t="str">
        <f t="shared" si="0"/>
        <v>nM</v>
      </c>
      <c r="R56">
        <v>0.97</v>
      </c>
      <c r="S56" t="s">
        <v>660</v>
      </c>
      <c r="T56" t="s">
        <v>70</v>
      </c>
      <c r="U56">
        <v>200</v>
      </c>
      <c r="V56" t="s">
        <v>22</v>
      </c>
      <c r="W56" t="s">
        <v>23</v>
      </c>
      <c r="X56">
        <v>0</v>
      </c>
      <c r="Y56">
        <f t="shared" ref="Y56" si="7">1+3*6</f>
        <v>19</v>
      </c>
      <c r="Z56">
        <v>8</v>
      </c>
      <c r="AA56" t="s">
        <v>655</v>
      </c>
      <c r="AD56">
        <v>78</v>
      </c>
      <c r="AE56" t="b">
        <v>1</v>
      </c>
      <c r="AF56" t="s">
        <v>781</v>
      </c>
    </row>
    <row r="57" spans="1:32" x14ac:dyDescent="0.3">
      <c r="A57" t="s">
        <v>973</v>
      </c>
      <c r="B57" t="s">
        <v>974</v>
      </c>
      <c r="C57" t="b">
        <v>1</v>
      </c>
      <c r="D57" t="s">
        <v>52</v>
      </c>
      <c r="E57" t="s">
        <v>55</v>
      </c>
      <c r="F57" t="s">
        <v>56</v>
      </c>
      <c r="G57" t="s">
        <v>57</v>
      </c>
      <c r="H57" t="s">
        <v>56</v>
      </c>
      <c r="I57">
        <f t="shared" si="1"/>
        <v>180</v>
      </c>
      <c r="J57" t="s">
        <v>6</v>
      </c>
      <c r="K57">
        <f>7*24</f>
        <v>168</v>
      </c>
      <c r="L57" s="5">
        <f>7*24+24</f>
        <v>192</v>
      </c>
      <c r="M57">
        <v>12000</v>
      </c>
      <c r="N57" t="s">
        <v>20</v>
      </c>
      <c r="O57" t="str">
        <f t="shared" si="0"/>
        <v>ng*h/mL</v>
      </c>
      <c r="T57" t="s">
        <v>787</v>
      </c>
      <c r="U57">
        <v>400</v>
      </c>
      <c r="V57" t="s">
        <v>22</v>
      </c>
      <c r="W57" t="s">
        <v>23</v>
      </c>
      <c r="X57">
        <v>0</v>
      </c>
      <c r="Y57">
        <v>7</v>
      </c>
      <c r="Z57">
        <v>24</v>
      </c>
      <c r="AA57" t="s">
        <v>655</v>
      </c>
      <c r="AD57">
        <v>78</v>
      </c>
      <c r="AE57" t="b">
        <v>1</v>
      </c>
      <c r="AF57" t="s">
        <v>1178</v>
      </c>
    </row>
    <row r="58" spans="1:32" x14ac:dyDescent="0.3">
      <c r="A58" t="s">
        <v>973</v>
      </c>
      <c r="B58" t="s">
        <v>974</v>
      </c>
      <c r="C58" t="b">
        <v>1</v>
      </c>
      <c r="D58" t="s">
        <v>52</v>
      </c>
      <c r="E58" t="s">
        <v>55</v>
      </c>
      <c r="F58" t="s">
        <v>56</v>
      </c>
      <c r="G58" t="s">
        <v>57</v>
      </c>
      <c r="H58" t="s">
        <v>56</v>
      </c>
      <c r="I58">
        <f t="shared" si="1"/>
        <v>180</v>
      </c>
      <c r="J58" t="s">
        <v>7</v>
      </c>
      <c r="K58">
        <f>7*24</f>
        <v>168</v>
      </c>
      <c r="L58" s="5">
        <f>7*24+24</f>
        <v>192</v>
      </c>
      <c r="M58">
        <v>5654.74</v>
      </c>
      <c r="N58" t="s">
        <v>21</v>
      </c>
      <c r="O58" t="str">
        <f t="shared" si="0"/>
        <v>nM</v>
      </c>
      <c r="R58">
        <v>2.1</v>
      </c>
      <c r="S58" t="s">
        <v>660</v>
      </c>
      <c r="T58" t="s">
        <v>75</v>
      </c>
      <c r="U58">
        <v>400</v>
      </c>
      <c r="V58" t="s">
        <v>22</v>
      </c>
      <c r="W58" t="s">
        <v>23</v>
      </c>
      <c r="X58">
        <v>0</v>
      </c>
      <c r="Y58">
        <v>7</v>
      </c>
      <c r="Z58">
        <v>24</v>
      </c>
      <c r="AA58" t="s">
        <v>655</v>
      </c>
      <c r="AD58">
        <v>78</v>
      </c>
      <c r="AE58" t="b">
        <v>1</v>
      </c>
      <c r="AF58" t="s">
        <v>1178</v>
      </c>
    </row>
    <row r="59" spans="1:32" x14ac:dyDescent="0.3">
      <c r="A59" t="s">
        <v>975</v>
      </c>
      <c r="B59" t="s">
        <v>976</v>
      </c>
      <c r="C59" t="b">
        <v>1</v>
      </c>
      <c r="D59" t="s">
        <v>83</v>
      </c>
      <c r="E59" t="s">
        <v>86</v>
      </c>
      <c r="F59" t="s">
        <v>87</v>
      </c>
      <c r="G59" t="s">
        <v>88</v>
      </c>
      <c r="H59" t="s">
        <v>87</v>
      </c>
      <c r="I59">
        <v>48</v>
      </c>
      <c r="J59" t="s">
        <v>6</v>
      </c>
      <c r="K59">
        <v>0</v>
      </c>
      <c r="L59" s="5" t="s">
        <v>654</v>
      </c>
      <c r="M59">
        <v>28500</v>
      </c>
      <c r="N59" t="s">
        <v>20</v>
      </c>
      <c r="O59" t="str">
        <f t="shared" si="0"/>
        <v>ng*h/mL</v>
      </c>
      <c r="T59" t="s">
        <v>84</v>
      </c>
      <c r="U59">
        <v>600</v>
      </c>
      <c r="V59" t="s">
        <v>22</v>
      </c>
      <c r="W59" t="s">
        <v>23</v>
      </c>
      <c r="X59">
        <v>0</v>
      </c>
      <c r="Y59">
        <v>1</v>
      </c>
      <c r="AA59" t="s">
        <v>655</v>
      </c>
      <c r="AD59">
        <v>81.400000000000006</v>
      </c>
      <c r="AE59" t="b">
        <v>0</v>
      </c>
    </row>
    <row r="60" spans="1:32" x14ac:dyDescent="0.3">
      <c r="A60" t="s">
        <v>975</v>
      </c>
      <c r="B60" t="s">
        <v>976</v>
      </c>
      <c r="C60" t="b">
        <v>1</v>
      </c>
      <c r="D60" t="s">
        <v>83</v>
      </c>
      <c r="E60" t="s">
        <v>86</v>
      </c>
      <c r="F60" t="s">
        <v>87</v>
      </c>
      <c r="G60" t="s">
        <v>88</v>
      </c>
      <c r="H60" t="s">
        <v>87</v>
      </c>
      <c r="I60">
        <v>48</v>
      </c>
      <c r="J60" t="s">
        <v>6</v>
      </c>
      <c r="K60">
        <v>0</v>
      </c>
      <c r="L60" s="5">
        <v>48</v>
      </c>
      <c r="M60">
        <v>26500</v>
      </c>
      <c r="N60" t="s">
        <v>20</v>
      </c>
      <c r="O60" t="str">
        <f t="shared" si="0"/>
        <v>ng*h/mL</v>
      </c>
      <c r="T60" t="s">
        <v>788</v>
      </c>
      <c r="U60">
        <v>600</v>
      </c>
      <c r="V60" t="s">
        <v>22</v>
      </c>
      <c r="W60" t="s">
        <v>23</v>
      </c>
      <c r="X60">
        <v>0</v>
      </c>
      <c r="Y60">
        <v>1</v>
      </c>
      <c r="AA60" t="s">
        <v>655</v>
      </c>
      <c r="AD60">
        <v>81.400000000000006</v>
      </c>
      <c r="AE60" t="b">
        <v>0</v>
      </c>
    </row>
    <row r="61" spans="1:32" x14ac:dyDescent="0.3">
      <c r="A61" t="s">
        <v>975</v>
      </c>
      <c r="B61" t="s">
        <v>976</v>
      </c>
      <c r="C61" t="b">
        <v>1</v>
      </c>
      <c r="D61" t="s">
        <v>83</v>
      </c>
      <c r="E61" t="s">
        <v>86</v>
      </c>
      <c r="F61" t="s">
        <v>87</v>
      </c>
      <c r="G61" t="s">
        <v>88</v>
      </c>
      <c r="H61" t="s">
        <v>87</v>
      </c>
      <c r="I61">
        <v>48</v>
      </c>
      <c r="J61" t="s">
        <v>7</v>
      </c>
      <c r="K61">
        <v>0</v>
      </c>
      <c r="L61" s="5" t="s">
        <v>654</v>
      </c>
      <c r="M61">
        <v>14036.25</v>
      </c>
      <c r="N61" t="s">
        <v>21</v>
      </c>
      <c r="O61" t="str">
        <f t="shared" si="0"/>
        <v>nM</v>
      </c>
      <c r="R61">
        <v>3.4</v>
      </c>
      <c r="S61" t="s">
        <v>660</v>
      </c>
      <c r="T61" t="s">
        <v>85</v>
      </c>
      <c r="U61">
        <v>600</v>
      </c>
      <c r="V61" t="s">
        <v>22</v>
      </c>
      <c r="W61" t="s">
        <v>23</v>
      </c>
      <c r="X61">
        <v>0</v>
      </c>
      <c r="Y61">
        <v>1</v>
      </c>
      <c r="AA61" t="s">
        <v>655</v>
      </c>
      <c r="AD61">
        <v>81.400000000000006</v>
      </c>
      <c r="AE61" t="b">
        <v>0</v>
      </c>
    </row>
    <row r="62" spans="1:32" x14ac:dyDescent="0.3">
      <c r="A62" t="s">
        <v>570</v>
      </c>
      <c r="B62" t="s">
        <v>688</v>
      </c>
      <c r="C62" t="b">
        <v>1</v>
      </c>
      <c r="D62" t="s">
        <v>89</v>
      </c>
      <c r="E62" t="s">
        <v>92</v>
      </c>
      <c r="F62" t="s">
        <v>93</v>
      </c>
      <c r="G62" t="s">
        <v>94</v>
      </c>
      <c r="H62" t="s">
        <v>95</v>
      </c>
      <c r="I62">
        <v>72</v>
      </c>
      <c r="J62" t="s">
        <v>6</v>
      </c>
      <c r="K62">
        <v>0</v>
      </c>
      <c r="L62" s="5" t="s">
        <v>654</v>
      </c>
      <c r="M62">
        <v>2780</v>
      </c>
      <c r="N62" t="s">
        <v>20</v>
      </c>
      <c r="O62" t="str">
        <f t="shared" si="0"/>
        <v>ng*h/mL</v>
      </c>
      <c r="T62" t="s">
        <v>90</v>
      </c>
      <c r="U62">
        <v>2</v>
      </c>
      <c r="V62" t="s">
        <v>22</v>
      </c>
      <c r="W62" t="s">
        <v>23</v>
      </c>
      <c r="X62">
        <v>0</v>
      </c>
      <c r="Y62">
        <v>1</v>
      </c>
      <c r="AA62" t="s">
        <v>655</v>
      </c>
      <c r="AD62">
        <f>1/25*(20*25*1.766^2+5*25*1.624^2)</f>
        <v>75.561999999999998</v>
      </c>
      <c r="AE62" t="b">
        <v>0</v>
      </c>
      <c r="AF62" t="s">
        <v>1179</v>
      </c>
    </row>
    <row r="63" spans="1:32" x14ac:dyDescent="0.3">
      <c r="A63" t="s">
        <v>570</v>
      </c>
      <c r="B63" t="s">
        <v>688</v>
      </c>
      <c r="C63" t="b">
        <v>1</v>
      </c>
      <c r="D63" t="s">
        <v>89</v>
      </c>
      <c r="E63" t="s">
        <v>92</v>
      </c>
      <c r="F63" t="s">
        <v>93</v>
      </c>
      <c r="G63" t="s">
        <v>94</v>
      </c>
      <c r="H63" t="s">
        <v>95</v>
      </c>
      <c r="I63">
        <v>72</v>
      </c>
      <c r="J63" t="s">
        <v>6</v>
      </c>
      <c r="K63">
        <v>0</v>
      </c>
      <c r="L63" s="5">
        <v>72</v>
      </c>
      <c r="M63">
        <v>2630</v>
      </c>
      <c r="N63" t="s">
        <v>20</v>
      </c>
      <c r="O63" t="str">
        <f t="shared" si="0"/>
        <v>ng*h/mL</v>
      </c>
      <c r="T63" t="s">
        <v>790</v>
      </c>
      <c r="U63">
        <v>2</v>
      </c>
      <c r="V63" t="s">
        <v>22</v>
      </c>
      <c r="W63" t="s">
        <v>23</v>
      </c>
      <c r="X63">
        <v>0</v>
      </c>
      <c r="Y63">
        <v>1</v>
      </c>
      <c r="AA63" t="s">
        <v>655</v>
      </c>
      <c r="AD63">
        <f t="shared" ref="AD63:AD79" si="8">1/25*(20*25*1.766^2+5*25*1.624^2)</f>
        <v>75.561999999999998</v>
      </c>
      <c r="AE63" t="b">
        <v>0</v>
      </c>
      <c r="AF63" t="s">
        <v>1179</v>
      </c>
    </row>
    <row r="64" spans="1:32" x14ac:dyDescent="0.3">
      <c r="A64" t="s">
        <v>570</v>
      </c>
      <c r="B64" t="s">
        <v>688</v>
      </c>
      <c r="C64" t="b">
        <v>1</v>
      </c>
      <c r="D64" t="s">
        <v>89</v>
      </c>
      <c r="E64" t="s">
        <v>92</v>
      </c>
      <c r="F64" t="s">
        <v>93</v>
      </c>
      <c r="G64" t="s">
        <v>94</v>
      </c>
      <c r="H64" t="s">
        <v>95</v>
      </c>
      <c r="I64">
        <v>72</v>
      </c>
      <c r="J64" t="s">
        <v>7</v>
      </c>
      <c r="K64">
        <v>0</v>
      </c>
      <c r="L64" s="5" t="s">
        <v>654</v>
      </c>
      <c r="M64">
        <v>550.80999999999995</v>
      </c>
      <c r="N64" t="s">
        <v>21</v>
      </c>
      <c r="O64" t="str">
        <f t="shared" si="0"/>
        <v>nM</v>
      </c>
      <c r="R64">
        <v>0.23100000000000001</v>
      </c>
      <c r="S64" t="s">
        <v>660</v>
      </c>
      <c r="T64" t="s">
        <v>91</v>
      </c>
      <c r="U64">
        <v>2</v>
      </c>
      <c r="V64" t="s">
        <v>22</v>
      </c>
      <c r="W64" t="s">
        <v>23</v>
      </c>
      <c r="X64">
        <v>0</v>
      </c>
      <c r="Y64">
        <v>1</v>
      </c>
      <c r="AA64" t="s">
        <v>655</v>
      </c>
      <c r="AD64">
        <f t="shared" si="8"/>
        <v>75.561999999999998</v>
      </c>
      <c r="AE64" t="b">
        <v>0</v>
      </c>
      <c r="AF64" t="s">
        <v>1179</v>
      </c>
    </row>
    <row r="65" spans="1:32" x14ac:dyDescent="0.3">
      <c r="A65" t="s">
        <v>571</v>
      </c>
      <c r="B65" t="s">
        <v>689</v>
      </c>
      <c r="C65" t="b">
        <v>1</v>
      </c>
      <c r="D65" t="s">
        <v>89</v>
      </c>
      <c r="E65" t="s">
        <v>92</v>
      </c>
      <c r="F65" t="s">
        <v>93</v>
      </c>
      <c r="G65" t="s">
        <v>94</v>
      </c>
      <c r="H65" t="s">
        <v>95</v>
      </c>
      <c r="I65">
        <v>72</v>
      </c>
      <c r="J65" t="s">
        <v>6</v>
      </c>
      <c r="K65">
        <v>0</v>
      </c>
      <c r="L65" s="5" t="s">
        <v>654</v>
      </c>
      <c r="M65">
        <v>8870</v>
      </c>
      <c r="N65" t="s">
        <v>20</v>
      </c>
      <c r="O65" t="str">
        <f t="shared" si="0"/>
        <v>ng*h/mL</v>
      </c>
      <c r="T65" t="s">
        <v>96</v>
      </c>
      <c r="U65">
        <v>5</v>
      </c>
      <c r="V65" t="s">
        <v>22</v>
      </c>
      <c r="W65" t="s">
        <v>23</v>
      </c>
      <c r="X65">
        <v>0</v>
      </c>
      <c r="Y65">
        <v>1</v>
      </c>
      <c r="AA65" t="s">
        <v>655</v>
      </c>
      <c r="AD65">
        <f t="shared" si="8"/>
        <v>75.561999999999998</v>
      </c>
      <c r="AE65" t="b">
        <v>0</v>
      </c>
      <c r="AF65" t="s">
        <v>1179</v>
      </c>
    </row>
    <row r="66" spans="1:32" x14ac:dyDescent="0.3">
      <c r="A66" t="s">
        <v>571</v>
      </c>
      <c r="B66" t="s">
        <v>689</v>
      </c>
      <c r="C66" t="b">
        <v>1</v>
      </c>
      <c r="D66" t="s">
        <v>89</v>
      </c>
      <c r="E66" t="s">
        <v>92</v>
      </c>
      <c r="F66" t="s">
        <v>93</v>
      </c>
      <c r="G66" t="s">
        <v>94</v>
      </c>
      <c r="H66" t="s">
        <v>95</v>
      </c>
      <c r="I66">
        <v>72</v>
      </c>
      <c r="J66" t="s">
        <v>6</v>
      </c>
      <c r="K66">
        <v>0</v>
      </c>
      <c r="L66" s="5">
        <v>72</v>
      </c>
      <c r="M66">
        <v>8540</v>
      </c>
      <c r="N66" t="s">
        <v>20</v>
      </c>
      <c r="O66" t="str">
        <f t="shared" si="0"/>
        <v>ng*h/mL</v>
      </c>
      <c r="T66" t="s">
        <v>791</v>
      </c>
      <c r="U66">
        <v>5</v>
      </c>
      <c r="V66" t="s">
        <v>22</v>
      </c>
      <c r="W66" t="s">
        <v>23</v>
      </c>
      <c r="X66">
        <v>0</v>
      </c>
      <c r="Y66">
        <v>1</v>
      </c>
      <c r="AA66" t="s">
        <v>655</v>
      </c>
      <c r="AD66">
        <f t="shared" si="8"/>
        <v>75.561999999999998</v>
      </c>
      <c r="AE66" t="b">
        <v>0</v>
      </c>
      <c r="AF66" t="s">
        <v>1179</v>
      </c>
    </row>
    <row r="67" spans="1:32" x14ac:dyDescent="0.3">
      <c r="A67" t="s">
        <v>571</v>
      </c>
      <c r="B67" t="s">
        <v>689</v>
      </c>
      <c r="C67" t="b">
        <v>1</v>
      </c>
      <c r="D67" t="s">
        <v>89</v>
      </c>
      <c r="E67" t="s">
        <v>92</v>
      </c>
      <c r="F67" t="s">
        <v>93</v>
      </c>
      <c r="G67" t="s">
        <v>94</v>
      </c>
      <c r="H67" t="s">
        <v>95</v>
      </c>
      <c r="I67">
        <v>72</v>
      </c>
      <c r="J67" t="s">
        <v>7</v>
      </c>
      <c r="K67">
        <v>0</v>
      </c>
      <c r="L67" s="5" t="s">
        <v>654</v>
      </c>
      <c r="M67">
        <v>1576.14</v>
      </c>
      <c r="N67" t="s">
        <v>21</v>
      </c>
      <c r="O67" t="str">
        <f t="shared" ref="O67:O130" si="9">IF(EXACT(N67,"ng.hr.mL-1"),"ng*h/mL",IF(EXACT(N67,"ug.mL-1"),"ug/mL",N67))</f>
        <v>nM</v>
      </c>
      <c r="R67">
        <v>0.66100000000000003</v>
      </c>
      <c r="S67" t="s">
        <v>660</v>
      </c>
      <c r="T67" t="s">
        <v>97</v>
      </c>
      <c r="U67">
        <v>5</v>
      </c>
      <c r="V67" t="s">
        <v>22</v>
      </c>
      <c r="W67" t="s">
        <v>23</v>
      </c>
      <c r="X67">
        <v>0</v>
      </c>
      <c r="Y67">
        <v>1</v>
      </c>
      <c r="AA67" t="s">
        <v>655</v>
      </c>
      <c r="AD67">
        <f t="shared" si="8"/>
        <v>75.561999999999998</v>
      </c>
      <c r="AE67" t="b">
        <v>0</v>
      </c>
      <c r="AF67" t="s">
        <v>1179</v>
      </c>
    </row>
    <row r="68" spans="1:32" x14ac:dyDescent="0.3">
      <c r="A68" t="s">
        <v>572</v>
      </c>
      <c r="B68" t="s">
        <v>690</v>
      </c>
      <c r="C68" t="b">
        <v>1</v>
      </c>
      <c r="D68" t="s">
        <v>89</v>
      </c>
      <c r="E68" t="s">
        <v>92</v>
      </c>
      <c r="F68" t="s">
        <v>93</v>
      </c>
      <c r="G68" t="s">
        <v>94</v>
      </c>
      <c r="H68" t="s">
        <v>95</v>
      </c>
      <c r="I68">
        <v>72</v>
      </c>
      <c r="J68" t="s">
        <v>6</v>
      </c>
      <c r="K68">
        <v>0</v>
      </c>
      <c r="L68" s="5" t="s">
        <v>654</v>
      </c>
      <c r="M68">
        <v>14600</v>
      </c>
      <c r="N68" t="s">
        <v>20</v>
      </c>
      <c r="O68" t="str">
        <f t="shared" si="9"/>
        <v>ng*h/mL</v>
      </c>
      <c r="T68" t="s">
        <v>98</v>
      </c>
      <c r="U68">
        <v>10</v>
      </c>
      <c r="V68" t="s">
        <v>22</v>
      </c>
      <c r="W68" t="s">
        <v>23</v>
      </c>
      <c r="X68">
        <v>0</v>
      </c>
      <c r="Y68">
        <v>1</v>
      </c>
      <c r="AA68" t="s">
        <v>655</v>
      </c>
      <c r="AD68">
        <f t="shared" si="8"/>
        <v>75.561999999999998</v>
      </c>
      <c r="AE68" t="b">
        <v>0</v>
      </c>
      <c r="AF68" t="s">
        <v>1179</v>
      </c>
    </row>
    <row r="69" spans="1:32" x14ac:dyDescent="0.3">
      <c r="A69" t="s">
        <v>572</v>
      </c>
      <c r="B69" t="s">
        <v>690</v>
      </c>
      <c r="C69" t="b">
        <v>1</v>
      </c>
      <c r="D69" t="s">
        <v>89</v>
      </c>
      <c r="E69" t="s">
        <v>92</v>
      </c>
      <c r="F69" t="s">
        <v>93</v>
      </c>
      <c r="G69" t="s">
        <v>94</v>
      </c>
      <c r="H69" t="s">
        <v>95</v>
      </c>
      <c r="I69">
        <v>72</v>
      </c>
      <c r="J69" t="s">
        <v>6</v>
      </c>
      <c r="K69">
        <v>0</v>
      </c>
      <c r="L69" s="5">
        <v>72</v>
      </c>
      <c r="M69">
        <v>14300</v>
      </c>
      <c r="N69" t="s">
        <v>20</v>
      </c>
      <c r="O69" t="str">
        <f t="shared" si="9"/>
        <v>ng*h/mL</v>
      </c>
      <c r="T69" t="s">
        <v>792</v>
      </c>
      <c r="U69">
        <v>10</v>
      </c>
      <c r="V69" t="s">
        <v>22</v>
      </c>
      <c r="W69" t="s">
        <v>23</v>
      </c>
      <c r="X69">
        <v>0</v>
      </c>
      <c r="Y69">
        <v>1</v>
      </c>
      <c r="AA69" t="s">
        <v>655</v>
      </c>
      <c r="AD69">
        <f t="shared" si="8"/>
        <v>75.561999999999998</v>
      </c>
      <c r="AE69" t="b">
        <v>0</v>
      </c>
      <c r="AF69" t="s">
        <v>1179</v>
      </c>
    </row>
    <row r="70" spans="1:32" x14ac:dyDescent="0.3">
      <c r="A70" t="s">
        <v>572</v>
      </c>
      <c r="B70" t="s">
        <v>690</v>
      </c>
      <c r="C70" t="b">
        <v>1</v>
      </c>
      <c r="D70" t="s">
        <v>89</v>
      </c>
      <c r="E70" t="s">
        <v>92</v>
      </c>
      <c r="F70" t="s">
        <v>93</v>
      </c>
      <c r="G70" t="s">
        <v>94</v>
      </c>
      <c r="H70" t="s">
        <v>95</v>
      </c>
      <c r="I70">
        <v>72</v>
      </c>
      <c r="J70" t="s">
        <v>7</v>
      </c>
      <c r="K70">
        <v>0</v>
      </c>
      <c r="L70" s="5" t="s">
        <v>654</v>
      </c>
      <c r="M70">
        <v>2932.9</v>
      </c>
      <c r="N70" t="s">
        <v>21</v>
      </c>
      <c r="O70" t="str">
        <f t="shared" si="9"/>
        <v>nM</v>
      </c>
      <c r="R70">
        <v>1.23</v>
      </c>
      <c r="S70" t="s">
        <v>660</v>
      </c>
      <c r="T70" t="s">
        <v>99</v>
      </c>
      <c r="U70">
        <v>10</v>
      </c>
      <c r="V70" t="s">
        <v>22</v>
      </c>
      <c r="W70" t="s">
        <v>23</v>
      </c>
      <c r="X70">
        <v>0</v>
      </c>
      <c r="Y70">
        <v>1</v>
      </c>
      <c r="AA70" t="s">
        <v>655</v>
      </c>
      <c r="AD70">
        <f t="shared" si="8"/>
        <v>75.561999999999998</v>
      </c>
      <c r="AE70" t="b">
        <v>0</v>
      </c>
      <c r="AF70" t="s">
        <v>1179</v>
      </c>
    </row>
    <row r="71" spans="1:32" x14ac:dyDescent="0.3">
      <c r="A71" t="s">
        <v>977</v>
      </c>
      <c r="B71" t="s">
        <v>978</v>
      </c>
      <c r="C71" t="b">
        <v>1</v>
      </c>
      <c r="D71" t="s">
        <v>89</v>
      </c>
      <c r="E71" t="s">
        <v>92</v>
      </c>
      <c r="F71" t="s">
        <v>93</v>
      </c>
      <c r="G71" t="s">
        <v>94</v>
      </c>
      <c r="H71" t="s">
        <v>95</v>
      </c>
      <c r="I71">
        <v>72</v>
      </c>
      <c r="J71" t="s">
        <v>6</v>
      </c>
      <c r="K71">
        <v>0</v>
      </c>
      <c r="L71" s="5" t="s">
        <v>654</v>
      </c>
      <c r="M71">
        <v>35100</v>
      </c>
      <c r="N71" t="s">
        <v>20</v>
      </c>
      <c r="O71" t="str">
        <f t="shared" si="9"/>
        <v>ng*h/mL</v>
      </c>
      <c r="T71" t="s">
        <v>101</v>
      </c>
      <c r="U71">
        <v>25</v>
      </c>
      <c r="V71" t="s">
        <v>22</v>
      </c>
      <c r="W71" t="s">
        <v>23</v>
      </c>
      <c r="X71">
        <v>0</v>
      </c>
      <c r="Y71">
        <v>1</v>
      </c>
      <c r="AA71" t="s">
        <v>655</v>
      </c>
      <c r="AD71">
        <f t="shared" si="8"/>
        <v>75.561999999999998</v>
      </c>
      <c r="AE71" t="b">
        <v>0</v>
      </c>
      <c r="AF71" t="s">
        <v>1179</v>
      </c>
    </row>
    <row r="72" spans="1:32" x14ac:dyDescent="0.3">
      <c r="A72" t="s">
        <v>977</v>
      </c>
      <c r="B72" t="s">
        <v>978</v>
      </c>
      <c r="C72" t="b">
        <v>1</v>
      </c>
      <c r="D72" t="s">
        <v>89</v>
      </c>
      <c r="E72" t="s">
        <v>92</v>
      </c>
      <c r="F72" t="s">
        <v>93</v>
      </c>
      <c r="G72" t="s">
        <v>94</v>
      </c>
      <c r="H72" t="s">
        <v>95</v>
      </c>
      <c r="I72">
        <v>72</v>
      </c>
      <c r="J72" t="s">
        <v>6</v>
      </c>
      <c r="K72">
        <v>0</v>
      </c>
      <c r="L72" s="5">
        <v>72</v>
      </c>
      <c r="M72">
        <v>34300</v>
      </c>
      <c r="N72" t="s">
        <v>20</v>
      </c>
      <c r="O72" t="str">
        <f t="shared" si="9"/>
        <v>ng*h/mL</v>
      </c>
      <c r="T72" t="s">
        <v>793</v>
      </c>
      <c r="U72">
        <v>25</v>
      </c>
      <c r="V72" t="s">
        <v>22</v>
      </c>
      <c r="W72" t="s">
        <v>23</v>
      </c>
      <c r="X72">
        <v>0</v>
      </c>
      <c r="Y72">
        <v>1</v>
      </c>
      <c r="AA72" t="s">
        <v>655</v>
      </c>
      <c r="AD72">
        <f t="shared" si="8"/>
        <v>75.561999999999998</v>
      </c>
      <c r="AE72" t="b">
        <v>0</v>
      </c>
      <c r="AF72" t="s">
        <v>1179</v>
      </c>
    </row>
    <row r="73" spans="1:32" x14ac:dyDescent="0.3">
      <c r="A73" t="s">
        <v>977</v>
      </c>
      <c r="B73" t="s">
        <v>978</v>
      </c>
      <c r="C73" t="b">
        <v>1</v>
      </c>
      <c r="D73" t="s">
        <v>89</v>
      </c>
      <c r="E73" t="s">
        <v>92</v>
      </c>
      <c r="F73" t="s">
        <v>93</v>
      </c>
      <c r="G73" t="s">
        <v>94</v>
      </c>
      <c r="H73" t="s">
        <v>95</v>
      </c>
      <c r="I73">
        <v>72</v>
      </c>
      <c r="J73" t="s">
        <v>7</v>
      </c>
      <c r="K73">
        <v>0</v>
      </c>
      <c r="L73" s="5" t="s">
        <v>654</v>
      </c>
      <c r="M73">
        <v>6581.14</v>
      </c>
      <c r="N73" t="s">
        <v>21</v>
      </c>
      <c r="O73" t="str">
        <f t="shared" si="9"/>
        <v>nM</v>
      </c>
      <c r="R73">
        <v>2.76</v>
      </c>
      <c r="S73" t="s">
        <v>660</v>
      </c>
      <c r="T73" t="s">
        <v>102</v>
      </c>
      <c r="U73">
        <v>25</v>
      </c>
      <c r="V73" t="s">
        <v>22</v>
      </c>
      <c r="W73" t="s">
        <v>23</v>
      </c>
      <c r="X73">
        <v>0</v>
      </c>
      <c r="Y73">
        <v>1</v>
      </c>
      <c r="AA73" t="s">
        <v>655</v>
      </c>
      <c r="AD73">
        <f t="shared" si="8"/>
        <v>75.561999999999998</v>
      </c>
      <c r="AE73" t="b">
        <v>0</v>
      </c>
      <c r="AF73" t="s">
        <v>1179</v>
      </c>
    </row>
    <row r="74" spans="1:32" x14ac:dyDescent="0.3">
      <c r="A74" t="s">
        <v>979</v>
      </c>
      <c r="B74" t="s">
        <v>980</v>
      </c>
      <c r="C74" t="b">
        <v>1</v>
      </c>
      <c r="D74" t="s">
        <v>89</v>
      </c>
      <c r="E74" t="s">
        <v>92</v>
      </c>
      <c r="F74" t="s">
        <v>93</v>
      </c>
      <c r="G74" t="s">
        <v>94</v>
      </c>
      <c r="H74" t="s">
        <v>95</v>
      </c>
      <c r="I74">
        <v>72</v>
      </c>
      <c r="J74" t="s">
        <v>6</v>
      </c>
      <c r="K74">
        <v>0</v>
      </c>
      <c r="L74" s="5" t="s">
        <v>654</v>
      </c>
      <c r="M74">
        <v>73200</v>
      </c>
      <c r="N74" t="s">
        <v>20</v>
      </c>
      <c r="O74" t="str">
        <f t="shared" si="9"/>
        <v>ng*h/mL</v>
      </c>
      <c r="T74" t="s">
        <v>104</v>
      </c>
      <c r="U74">
        <v>50</v>
      </c>
      <c r="V74" t="s">
        <v>22</v>
      </c>
      <c r="W74" t="s">
        <v>23</v>
      </c>
      <c r="X74">
        <v>0</v>
      </c>
      <c r="Y74">
        <v>1</v>
      </c>
      <c r="AA74" t="s">
        <v>655</v>
      </c>
      <c r="AD74">
        <f t="shared" si="8"/>
        <v>75.561999999999998</v>
      </c>
      <c r="AE74" t="b">
        <v>0</v>
      </c>
      <c r="AF74" t="s">
        <v>1179</v>
      </c>
    </row>
    <row r="75" spans="1:32" x14ac:dyDescent="0.3">
      <c r="A75" t="s">
        <v>979</v>
      </c>
      <c r="B75" t="s">
        <v>980</v>
      </c>
      <c r="C75" t="b">
        <v>1</v>
      </c>
      <c r="D75" t="s">
        <v>89</v>
      </c>
      <c r="E75" t="s">
        <v>92</v>
      </c>
      <c r="F75" t="s">
        <v>93</v>
      </c>
      <c r="G75" t="s">
        <v>94</v>
      </c>
      <c r="H75" t="s">
        <v>95</v>
      </c>
      <c r="I75">
        <v>72</v>
      </c>
      <c r="J75" t="s">
        <v>6</v>
      </c>
      <c r="K75">
        <v>0</v>
      </c>
      <c r="L75" s="5">
        <v>72</v>
      </c>
      <c r="M75">
        <v>70800</v>
      </c>
      <c r="N75" t="s">
        <v>20</v>
      </c>
      <c r="O75" t="str">
        <f t="shared" si="9"/>
        <v>ng*h/mL</v>
      </c>
      <c r="T75" t="s">
        <v>794</v>
      </c>
      <c r="U75">
        <v>50</v>
      </c>
      <c r="V75" t="s">
        <v>22</v>
      </c>
      <c r="W75" t="s">
        <v>23</v>
      </c>
      <c r="X75">
        <v>0</v>
      </c>
      <c r="Y75">
        <v>1</v>
      </c>
      <c r="AA75" t="s">
        <v>655</v>
      </c>
      <c r="AD75">
        <f t="shared" si="8"/>
        <v>75.561999999999998</v>
      </c>
      <c r="AE75" t="b">
        <v>0</v>
      </c>
      <c r="AF75" t="s">
        <v>1179</v>
      </c>
    </row>
    <row r="76" spans="1:32" x14ac:dyDescent="0.3">
      <c r="A76" t="s">
        <v>979</v>
      </c>
      <c r="B76" t="s">
        <v>980</v>
      </c>
      <c r="C76" t="b">
        <v>1</v>
      </c>
      <c r="D76" t="s">
        <v>89</v>
      </c>
      <c r="E76" t="s">
        <v>92</v>
      </c>
      <c r="F76" t="s">
        <v>93</v>
      </c>
      <c r="G76" t="s">
        <v>94</v>
      </c>
      <c r="H76" t="s">
        <v>95</v>
      </c>
      <c r="I76">
        <v>72</v>
      </c>
      <c r="J76" t="s">
        <v>7</v>
      </c>
      <c r="K76">
        <v>0</v>
      </c>
      <c r="L76" s="5" t="s">
        <v>654</v>
      </c>
      <c r="M76">
        <v>10873.19</v>
      </c>
      <c r="N76" t="s">
        <v>21</v>
      </c>
      <c r="O76" t="str">
        <f t="shared" si="9"/>
        <v>nM</v>
      </c>
      <c r="R76">
        <v>4.5599999999999996</v>
      </c>
      <c r="S76" t="s">
        <v>660</v>
      </c>
      <c r="T76" t="s">
        <v>105</v>
      </c>
      <c r="U76">
        <v>50</v>
      </c>
      <c r="V76" t="s">
        <v>22</v>
      </c>
      <c r="W76" t="s">
        <v>23</v>
      </c>
      <c r="X76">
        <v>0</v>
      </c>
      <c r="Y76">
        <v>1</v>
      </c>
      <c r="AA76" t="s">
        <v>655</v>
      </c>
      <c r="AD76">
        <f t="shared" si="8"/>
        <v>75.561999999999998</v>
      </c>
      <c r="AE76" t="b">
        <v>0</v>
      </c>
      <c r="AF76" t="s">
        <v>1179</v>
      </c>
    </row>
    <row r="77" spans="1:32" x14ac:dyDescent="0.3">
      <c r="A77" t="s">
        <v>981</v>
      </c>
      <c r="B77" t="s">
        <v>982</v>
      </c>
      <c r="C77" t="b">
        <v>1</v>
      </c>
      <c r="D77" t="s">
        <v>89</v>
      </c>
      <c r="E77" t="s">
        <v>92</v>
      </c>
      <c r="F77" t="s">
        <v>93</v>
      </c>
      <c r="G77" t="s">
        <v>94</v>
      </c>
      <c r="H77" t="s">
        <v>95</v>
      </c>
      <c r="I77">
        <v>72</v>
      </c>
      <c r="J77" t="s">
        <v>6</v>
      </c>
      <c r="K77">
        <v>0</v>
      </c>
      <c r="L77" s="5" t="s">
        <v>654</v>
      </c>
      <c r="M77">
        <v>136000</v>
      </c>
      <c r="N77" t="s">
        <v>20</v>
      </c>
      <c r="O77" t="str">
        <f t="shared" si="9"/>
        <v>ng*h/mL</v>
      </c>
      <c r="T77" t="s">
        <v>107</v>
      </c>
      <c r="U77">
        <v>100</v>
      </c>
      <c r="V77" t="s">
        <v>22</v>
      </c>
      <c r="W77" t="s">
        <v>23</v>
      </c>
      <c r="X77">
        <v>0</v>
      </c>
      <c r="Y77">
        <v>1</v>
      </c>
      <c r="AA77" t="s">
        <v>655</v>
      </c>
      <c r="AD77">
        <f t="shared" si="8"/>
        <v>75.561999999999998</v>
      </c>
      <c r="AE77" t="b">
        <v>0</v>
      </c>
      <c r="AF77" t="s">
        <v>1179</v>
      </c>
    </row>
    <row r="78" spans="1:32" x14ac:dyDescent="0.3">
      <c r="A78" t="s">
        <v>981</v>
      </c>
      <c r="B78" t="s">
        <v>982</v>
      </c>
      <c r="C78" t="b">
        <v>1</v>
      </c>
      <c r="D78" t="s">
        <v>89</v>
      </c>
      <c r="E78" t="s">
        <v>92</v>
      </c>
      <c r="F78" t="s">
        <v>93</v>
      </c>
      <c r="G78" t="s">
        <v>94</v>
      </c>
      <c r="H78" t="s">
        <v>95</v>
      </c>
      <c r="I78">
        <v>72</v>
      </c>
      <c r="J78" t="s">
        <v>6</v>
      </c>
      <c r="K78">
        <v>0</v>
      </c>
      <c r="L78" s="5">
        <v>72</v>
      </c>
      <c r="M78">
        <v>161000</v>
      </c>
      <c r="N78" t="s">
        <v>20</v>
      </c>
      <c r="O78" t="str">
        <f t="shared" si="9"/>
        <v>ng*h/mL</v>
      </c>
      <c r="T78" t="s">
        <v>795</v>
      </c>
      <c r="U78">
        <v>100</v>
      </c>
      <c r="V78" t="s">
        <v>22</v>
      </c>
      <c r="W78" t="s">
        <v>23</v>
      </c>
      <c r="X78">
        <v>0</v>
      </c>
      <c r="Y78">
        <v>1</v>
      </c>
      <c r="AA78" t="s">
        <v>655</v>
      </c>
      <c r="AD78">
        <f t="shared" si="8"/>
        <v>75.561999999999998</v>
      </c>
      <c r="AE78" t="b">
        <v>0</v>
      </c>
      <c r="AF78" t="s">
        <v>1179</v>
      </c>
    </row>
    <row r="79" spans="1:32" x14ac:dyDescent="0.3">
      <c r="A79" t="s">
        <v>981</v>
      </c>
      <c r="B79" t="s">
        <v>982</v>
      </c>
      <c r="C79" t="b">
        <v>1</v>
      </c>
      <c r="D79" t="s">
        <v>89</v>
      </c>
      <c r="E79" t="s">
        <v>92</v>
      </c>
      <c r="F79" t="s">
        <v>93</v>
      </c>
      <c r="G79" t="s">
        <v>94</v>
      </c>
      <c r="H79" t="s">
        <v>95</v>
      </c>
      <c r="I79">
        <v>72</v>
      </c>
      <c r="J79" t="s">
        <v>7</v>
      </c>
      <c r="K79">
        <v>0</v>
      </c>
      <c r="L79" s="5" t="s">
        <v>654</v>
      </c>
      <c r="M79">
        <v>19409.599999999999</v>
      </c>
      <c r="N79" t="s">
        <v>21</v>
      </c>
      <c r="O79" t="str">
        <f t="shared" si="9"/>
        <v>nM</v>
      </c>
      <c r="R79">
        <v>8.14</v>
      </c>
      <c r="S79" t="s">
        <v>660</v>
      </c>
      <c r="T79" t="s">
        <v>108</v>
      </c>
      <c r="U79">
        <v>100</v>
      </c>
      <c r="V79" t="s">
        <v>22</v>
      </c>
      <c r="W79" t="s">
        <v>23</v>
      </c>
      <c r="X79">
        <v>0</v>
      </c>
      <c r="Y79">
        <v>1</v>
      </c>
      <c r="AA79" t="s">
        <v>655</v>
      </c>
      <c r="AD79">
        <f t="shared" si="8"/>
        <v>75.561999999999998</v>
      </c>
      <c r="AE79" t="b">
        <v>0</v>
      </c>
      <c r="AF79" t="s">
        <v>1179</v>
      </c>
    </row>
    <row r="80" spans="1:32" x14ac:dyDescent="0.3">
      <c r="A80" t="s">
        <v>573</v>
      </c>
      <c r="B80" t="s">
        <v>691</v>
      </c>
      <c r="C80" t="b">
        <v>1</v>
      </c>
      <c r="D80" t="s">
        <v>89</v>
      </c>
      <c r="E80" t="s">
        <v>92</v>
      </c>
      <c r="F80" t="s">
        <v>93</v>
      </c>
      <c r="G80" t="s">
        <v>94</v>
      </c>
      <c r="H80" t="s">
        <v>95</v>
      </c>
      <c r="I80">
        <f t="shared" ref="I80:I84" si="10">24*10</f>
        <v>240</v>
      </c>
      <c r="J80" t="s">
        <v>6</v>
      </c>
      <c r="K80">
        <f>9*24</f>
        <v>216</v>
      </c>
      <c r="L80" s="5">
        <f>10*24</f>
        <v>240</v>
      </c>
      <c r="M80">
        <v>16700</v>
      </c>
      <c r="N80" t="s">
        <v>20</v>
      </c>
      <c r="O80" t="str">
        <f t="shared" si="9"/>
        <v>ng*h/mL</v>
      </c>
      <c r="T80" t="s">
        <v>796</v>
      </c>
      <c r="U80">
        <v>10</v>
      </c>
      <c r="V80" t="s">
        <v>22</v>
      </c>
      <c r="W80" t="s">
        <v>23</v>
      </c>
      <c r="X80">
        <v>0</v>
      </c>
      <c r="Y80">
        <v>10</v>
      </c>
      <c r="Z80">
        <v>24</v>
      </c>
      <c r="AA80" t="s">
        <v>655</v>
      </c>
      <c r="AD80">
        <f>1/32 * (27*25.1*1.766^2+5*25*1.624^2)</f>
        <v>76.351654412499997</v>
      </c>
      <c r="AE80" t="b">
        <v>0</v>
      </c>
      <c r="AF80" t="s">
        <v>1180</v>
      </c>
    </row>
    <row r="81" spans="1:32" x14ac:dyDescent="0.3">
      <c r="A81" t="s">
        <v>573</v>
      </c>
      <c r="B81" t="s">
        <v>691</v>
      </c>
      <c r="C81" t="b">
        <v>1</v>
      </c>
      <c r="D81" t="s">
        <v>89</v>
      </c>
      <c r="E81" t="s">
        <v>92</v>
      </c>
      <c r="F81" t="s">
        <v>93</v>
      </c>
      <c r="G81" t="s">
        <v>94</v>
      </c>
      <c r="H81" t="s">
        <v>95</v>
      </c>
      <c r="I81">
        <f t="shared" si="10"/>
        <v>240</v>
      </c>
      <c r="J81" t="s">
        <v>7</v>
      </c>
      <c r="K81">
        <f>9*24</f>
        <v>216</v>
      </c>
      <c r="L81" s="5">
        <f>10*24</f>
        <v>240</v>
      </c>
      <c r="M81">
        <v>3505.17</v>
      </c>
      <c r="N81" t="s">
        <v>21</v>
      </c>
      <c r="O81" t="str">
        <f t="shared" si="9"/>
        <v>nM</v>
      </c>
      <c r="R81">
        <v>1.47</v>
      </c>
      <c r="S81" t="s">
        <v>660</v>
      </c>
      <c r="T81" t="s">
        <v>100</v>
      </c>
      <c r="U81">
        <v>10</v>
      </c>
      <c r="V81" t="s">
        <v>22</v>
      </c>
      <c r="W81" t="s">
        <v>23</v>
      </c>
      <c r="X81">
        <v>0</v>
      </c>
      <c r="Y81">
        <v>10</v>
      </c>
      <c r="Z81">
        <v>24</v>
      </c>
      <c r="AA81" t="s">
        <v>655</v>
      </c>
      <c r="AD81">
        <f t="shared" ref="AD81:AD85" si="11">1/32 * (27*25.1*1.766^2+5*25*1.624^2)</f>
        <v>76.351654412499997</v>
      </c>
      <c r="AE81" t="b">
        <v>0</v>
      </c>
      <c r="AF81" t="s">
        <v>1180</v>
      </c>
    </row>
    <row r="82" spans="1:32" x14ac:dyDescent="0.3">
      <c r="A82" t="s">
        <v>574</v>
      </c>
      <c r="B82" t="s">
        <v>692</v>
      </c>
      <c r="C82" t="b">
        <v>1</v>
      </c>
      <c r="D82" t="s">
        <v>89</v>
      </c>
      <c r="E82" t="s">
        <v>92</v>
      </c>
      <c r="F82" t="s">
        <v>93</v>
      </c>
      <c r="G82" t="s">
        <v>94</v>
      </c>
      <c r="H82" t="s">
        <v>95</v>
      </c>
      <c r="I82">
        <f t="shared" si="10"/>
        <v>240</v>
      </c>
      <c r="J82" t="s">
        <v>6</v>
      </c>
      <c r="K82">
        <f t="shared" ref="K82:K85" si="12">9*24</f>
        <v>216</v>
      </c>
      <c r="L82" s="5">
        <f t="shared" ref="L82:L85" si="13">10*24</f>
        <v>240</v>
      </c>
      <c r="M82">
        <v>38400</v>
      </c>
      <c r="N82" t="s">
        <v>20</v>
      </c>
      <c r="O82" t="str">
        <f t="shared" si="9"/>
        <v>ng*h/mL</v>
      </c>
      <c r="T82" t="s">
        <v>797</v>
      </c>
      <c r="U82">
        <v>25</v>
      </c>
      <c r="V82" t="s">
        <v>22</v>
      </c>
      <c r="W82" t="s">
        <v>23</v>
      </c>
      <c r="X82">
        <v>0</v>
      </c>
      <c r="Y82">
        <v>10</v>
      </c>
      <c r="Z82">
        <v>24</v>
      </c>
      <c r="AA82" t="s">
        <v>655</v>
      </c>
      <c r="AD82">
        <f t="shared" si="11"/>
        <v>76.351654412499997</v>
      </c>
      <c r="AE82" t="b">
        <v>0</v>
      </c>
      <c r="AF82" t="s">
        <v>1180</v>
      </c>
    </row>
    <row r="83" spans="1:32" x14ac:dyDescent="0.3">
      <c r="A83" t="s">
        <v>574</v>
      </c>
      <c r="B83" t="s">
        <v>692</v>
      </c>
      <c r="C83" t="b">
        <v>1</v>
      </c>
      <c r="D83" t="s">
        <v>89</v>
      </c>
      <c r="E83" t="s">
        <v>92</v>
      </c>
      <c r="F83" t="s">
        <v>93</v>
      </c>
      <c r="G83" t="s">
        <v>94</v>
      </c>
      <c r="H83" t="s">
        <v>95</v>
      </c>
      <c r="I83">
        <f t="shared" si="10"/>
        <v>240</v>
      </c>
      <c r="J83" t="s">
        <v>7</v>
      </c>
      <c r="K83">
        <f t="shared" si="12"/>
        <v>216</v>
      </c>
      <c r="L83" s="5">
        <f t="shared" si="13"/>
        <v>240</v>
      </c>
      <c r="M83">
        <v>7368.02</v>
      </c>
      <c r="N83" t="s">
        <v>21</v>
      </c>
      <c r="O83" t="str">
        <f t="shared" si="9"/>
        <v>nM</v>
      </c>
      <c r="R83">
        <v>3.09</v>
      </c>
      <c r="S83" t="s">
        <v>660</v>
      </c>
      <c r="T83" t="s">
        <v>103</v>
      </c>
      <c r="U83">
        <v>25</v>
      </c>
      <c r="V83" t="s">
        <v>22</v>
      </c>
      <c r="W83" t="s">
        <v>23</v>
      </c>
      <c r="X83">
        <v>0</v>
      </c>
      <c r="Y83">
        <v>10</v>
      </c>
      <c r="Z83">
        <v>24</v>
      </c>
      <c r="AA83" t="s">
        <v>655</v>
      </c>
      <c r="AD83">
        <f t="shared" si="11"/>
        <v>76.351654412499997</v>
      </c>
      <c r="AE83" t="b">
        <v>0</v>
      </c>
      <c r="AF83" t="s">
        <v>1180</v>
      </c>
    </row>
    <row r="84" spans="1:32" x14ac:dyDescent="0.3">
      <c r="A84" t="s">
        <v>983</v>
      </c>
      <c r="B84" t="s">
        <v>984</v>
      </c>
      <c r="C84" t="b">
        <v>1</v>
      </c>
      <c r="D84" t="s">
        <v>89</v>
      </c>
      <c r="E84" t="s">
        <v>92</v>
      </c>
      <c r="F84" t="s">
        <v>93</v>
      </c>
      <c r="G84" t="s">
        <v>94</v>
      </c>
      <c r="H84" t="s">
        <v>95</v>
      </c>
      <c r="I84">
        <f t="shared" si="10"/>
        <v>240</v>
      </c>
      <c r="J84" t="s">
        <v>6</v>
      </c>
      <c r="K84">
        <f t="shared" si="12"/>
        <v>216</v>
      </c>
      <c r="L84" s="5">
        <f t="shared" si="13"/>
        <v>240</v>
      </c>
      <c r="M84">
        <v>76800</v>
      </c>
      <c r="N84" t="s">
        <v>20</v>
      </c>
      <c r="O84" t="str">
        <f t="shared" si="9"/>
        <v>ng*h/mL</v>
      </c>
      <c r="T84" t="s">
        <v>798</v>
      </c>
      <c r="U84">
        <v>50</v>
      </c>
      <c r="V84" t="s">
        <v>22</v>
      </c>
      <c r="W84" t="s">
        <v>23</v>
      </c>
      <c r="X84">
        <v>0</v>
      </c>
      <c r="Y84">
        <v>10</v>
      </c>
      <c r="Z84">
        <v>24</v>
      </c>
      <c r="AA84" t="s">
        <v>655</v>
      </c>
      <c r="AD84">
        <f t="shared" si="11"/>
        <v>76.351654412499997</v>
      </c>
      <c r="AE84" t="b">
        <v>0</v>
      </c>
      <c r="AF84" t="s">
        <v>1180</v>
      </c>
    </row>
    <row r="85" spans="1:32" x14ac:dyDescent="0.3">
      <c r="A85" t="s">
        <v>983</v>
      </c>
      <c r="B85" t="s">
        <v>984</v>
      </c>
      <c r="C85" t="b">
        <v>1</v>
      </c>
      <c r="D85" t="s">
        <v>89</v>
      </c>
      <c r="E85" t="s">
        <v>92</v>
      </c>
      <c r="F85" t="s">
        <v>93</v>
      </c>
      <c r="G85" t="s">
        <v>94</v>
      </c>
      <c r="H85" t="s">
        <v>95</v>
      </c>
      <c r="I85">
        <f>24*10</f>
        <v>240</v>
      </c>
      <c r="J85" t="s">
        <v>7</v>
      </c>
      <c r="K85">
        <f t="shared" si="12"/>
        <v>216</v>
      </c>
      <c r="L85" s="5">
        <f t="shared" si="13"/>
        <v>240</v>
      </c>
      <c r="M85">
        <v>14688.35</v>
      </c>
      <c r="N85" t="s">
        <v>21</v>
      </c>
      <c r="O85" t="str">
        <f t="shared" si="9"/>
        <v>nM</v>
      </c>
      <c r="R85">
        <v>6.16</v>
      </c>
      <c r="S85" t="s">
        <v>660</v>
      </c>
      <c r="T85" t="s">
        <v>106</v>
      </c>
      <c r="U85">
        <v>50</v>
      </c>
      <c r="V85" t="s">
        <v>22</v>
      </c>
      <c r="W85" t="s">
        <v>23</v>
      </c>
      <c r="X85">
        <v>0</v>
      </c>
      <c r="Y85">
        <v>10</v>
      </c>
      <c r="Z85">
        <v>24</v>
      </c>
      <c r="AA85" t="s">
        <v>655</v>
      </c>
      <c r="AD85">
        <f t="shared" si="11"/>
        <v>76.351654412499997</v>
      </c>
      <c r="AE85" t="b">
        <v>0</v>
      </c>
      <c r="AF85" t="s">
        <v>1180</v>
      </c>
    </row>
    <row r="86" spans="1:32" x14ac:dyDescent="0.3">
      <c r="A86" t="s">
        <v>985</v>
      </c>
      <c r="B86" t="s">
        <v>986</v>
      </c>
      <c r="C86" t="b">
        <v>1</v>
      </c>
      <c r="D86" t="s">
        <v>109</v>
      </c>
      <c r="E86" t="s">
        <v>112</v>
      </c>
      <c r="F86" t="s">
        <v>113</v>
      </c>
      <c r="G86" t="s">
        <v>114</v>
      </c>
      <c r="H86" t="s">
        <v>113</v>
      </c>
      <c r="I86">
        <v>96</v>
      </c>
      <c r="J86" t="s">
        <v>6</v>
      </c>
      <c r="K86">
        <v>0</v>
      </c>
      <c r="L86" s="5" t="s">
        <v>654</v>
      </c>
      <c r="M86">
        <v>117840</v>
      </c>
      <c r="N86" t="s">
        <v>20</v>
      </c>
      <c r="O86" t="str">
        <f t="shared" si="9"/>
        <v>ng*h/mL</v>
      </c>
      <c r="T86" t="s">
        <v>110</v>
      </c>
      <c r="U86">
        <v>1500</v>
      </c>
      <c r="V86" t="s">
        <v>22</v>
      </c>
      <c r="W86" t="s">
        <v>23</v>
      </c>
      <c r="X86">
        <v>0</v>
      </c>
      <c r="Y86">
        <v>1</v>
      </c>
      <c r="AA86" t="s">
        <v>655</v>
      </c>
      <c r="AD86">
        <v>73.8</v>
      </c>
      <c r="AE86" t="b">
        <v>0</v>
      </c>
    </row>
    <row r="87" spans="1:32" x14ac:dyDescent="0.3">
      <c r="A87" t="s">
        <v>985</v>
      </c>
      <c r="B87" t="s">
        <v>986</v>
      </c>
      <c r="C87" t="b">
        <v>1</v>
      </c>
      <c r="D87" t="s">
        <v>109</v>
      </c>
      <c r="E87" t="s">
        <v>112</v>
      </c>
      <c r="F87" t="s">
        <v>113</v>
      </c>
      <c r="G87" t="s">
        <v>114</v>
      </c>
      <c r="H87" t="s">
        <v>113</v>
      </c>
      <c r="I87">
        <v>96</v>
      </c>
      <c r="J87" t="s">
        <v>7</v>
      </c>
      <c r="K87">
        <v>0</v>
      </c>
      <c r="L87" s="5" t="s">
        <v>654</v>
      </c>
      <c r="M87">
        <v>32575.919999999998</v>
      </c>
      <c r="N87" t="s">
        <v>21</v>
      </c>
      <c r="O87" t="str">
        <f t="shared" si="9"/>
        <v>nM</v>
      </c>
      <c r="R87">
        <v>12.1</v>
      </c>
      <c r="S87" t="s">
        <v>660</v>
      </c>
      <c r="T87" t="s">
        <v>111</v>
      </c>
      <c r="U87">
        <v>1500</v>
      </c>
      <c r="V87" t="s">
        <v>22</v>
      </c>
      <c r="W87" t="s">
        <v>23</v>
      </c>
      <c r="X87">
        <v>0</v>
      </c>
      <c r="Y87">
        <v>1</v>
      </c>
      <c r="AA87" t="s">
        <v>655</v>
      </c>
      <c r="AD87">
        <v>73.8</v>
      </c>
      <c r="AE87" t="b">
        <v>0</v>
      </c>
    </row>
    <row r="88" spans="1:32" x14ac:dyDescent="0.3">
      <c r="A88" t="s">
        <v>575</v>
      </c>
      <c r="B88" t="s">
        <v>693</v>
      </c>
      <c r="C88" t="b">
        <v>1</v>
      </c>
      <c r="D88" t="s">
        <v>109</v>
      </c>
      <c r="E88" t="s">
        <v>112</v>
      </c>
      <c r="F88" t="s">
        <v>113</v>
      </c>
      <c r="G88" t="s">
        <v>114</v>
      </c>
      <c r="H88" t="s">
        <v>113</v>
      </c>
      <c r="I88">
        <v>96</v>
      </c>
      <c r="J88" t="s">
        <v>6</v>
      </c>
      <c r="K88">
        <v>0</v>
      </c>
      <c r="L88" s="5" t="s">
        <v>654</v>
      </c>
      <c r="M88">
        <v>63310</v>
      </c>
      <c r="N88" t="s">
        <v>20</v>
      </c>
      <c r="O88" t="str">
        <f t="shared" si="9"/>
        <v>ng*h/mL</v>
      </c>
      <c r="T88" t="s">
        <v>116</v>
      </c>
      <c r="U88">
        <v>1000</v>
      </c>
      <c r="V88" t="s">
        <v>22</v>
      </c>
      <c r="W88" t="s">
        <v>23</v>
      </c>
      <c r="X88">
        <v>0</v>
      </c>
      <c r="Y88">
        <v>1</v>
      </c>
      <c r="AA88" t="s">
        <v>655</v>
      </c>
      <c r="AD88">
        <v>73.8</v>
      </c>
      <c r="AE88" t="b">
        <v>0</v>
      </c>
    </row>
    <row r="89" spans="1:32" x14ac:dyDescent="0.3">
      <c r="A89" t="s">
        <v>575</v>
      </c>
      <c r="B89" t="s">
        <v>693</v>
      </c>
      <c r="C89" t="b">
        <v>1</v>
      </c>
      <c r="D89" t="s">
        <v>109</v>
      </c>
      <c r="E89" t="s">
        <v>112</v>
      </c>
      <c r="F89" t="s">
        <v>113</v>
      </c>
      <c r="G89" t="s">
        <v>114</v>
      </c>
      <c r="H89" t="s">
        <v>113</v>
      </c>
      <c r="I89">
        <v>96</v>
      </c>
      <c r="J89" t="s">
        <v>7</v>
      </c>
      <c r="K89">
        <v>0</v>
      </c>
      <c r="L89" s="5" t="s">
        <v>654</v>
      </c>
      <c r="M89">
        <v>19437.86</v>
      </c>
      <c r="N89" t="s">
        <v>21</v>
      </c>
      <c r="O89" t="str">
        <f t="shared" si="9"/>
        <v>nM</v>
      </c>
      <c r="R89">
        <v>7.22</v>
      </c>
      <c r="S89" t="s">
        <v>660</v>
      </c>
      <c r="T89" t="s">
        <v>117</v>
      </c>
      <c r="U89">
        <v>1000</v>
      </c>
      <c r="V89" t="s">
        <v>22</v>
      </c>
      <c r="W89" t="s">
        <v>23</v>
      </c>
      <c r="X89">
        <v>0</v>
      </c>
      <c r="Y89">
        <v>1</v>
      </c>
      <c r="AA89" t="s">
        <v>655</v>
      </c>
      <c r="AD89">
        <v>73.8</v>
      </c>
      <c r="AE89" t="b">
        <v>0</v>
      </c>
    </row>
    <row r="90" spans="1:32" x14ac:dyDescent="0.3">
      <c r="A90" t="s">
        <v>576</v>
      </c>
      <c r="B90" t="s">
        <v>694</v>
      </c>
      <c r="C90" t="b">
        <v>1</v>
      </c>
      <c r="D90" t="s">
        <v>109</v>
      </c>
      <c r="E90" t="s">
        <v>112</v>
      </c>
      <c r="F90" t="s">
        <v>113</v>
      </c>
      <c r="G90" t="s">
        <v>114</v>
      </c>
      <c r="H90" t="s">
        <v>113</v>
      </c>
      <c r="I90">
        <v>96</v>
      </c>
      <c r="J90" t="s">
        <v>6</v>
      </c>
      <c r="K90">
        <v>0</v>
      </c>
      <c r="L90" s="5" t="s">
        <v>654</v>
      </c>
      <c r="M90">
        <v>32360</v>
      </c>
      <c r="N90" t="s">
        <v>20</v>
      </c>
      <c r="O90" t="str">
        <f t="shared" si="9"/>
        <v>ng*h/mL</v>
      </c>
      <c r="T90" t="s">
        <v>118</v>
      </c>
      <c r="U90">
        <v>500</v>
      </c>
      <c r="V90" t="s">
        <v>22</v>
      </c>
      <c r="W90" t="s">
        <v>23</v>
      </c>
      <c r="X90">
        <v>0</v>
      </c>
      <c r="Y90">
        <v>1</v>
      </c>
      <c r="AA90" t="s">
        <v>655</v>
      </c>
      <c r="AD90">
        <v>73.8</v>
      </c>
      <c r="AE90" t="b">
        <v>0</v>
      </c>
    </row>
    <row r="91" spans="1:32" x14ac:dyDescent="0.3">
      <c r="A91" t="s">
        <v>576</v>
      </c>
      <c r="B91" t="s">
        <v>694</v>
      </c>
      <c r="C91" t="b">
        <v>1</v>
      </c>
      <c r="D91" t="s">
        <v>109</v>
      </c>
      <c r="E91" t="s">
        <v>112</v>
      </c>
      <c r="F91" t="s">
        <v>113</v>
      </c>
      <c r="G91" t="s">
        <v>114</v>
      </c>
      <c r="H91" t="s">
        <v>113</v>
      </c>
      <c r="I91">
        <v>96</v>
      </c>
      <c r="J91" t="s">
        <v>7</v>
      </c>
      <c r="K91">
        <v>0</v>
      </c>
      <c r="L91" s="5" t="s">
        <v>654</v>
      </c>
      <c r="M91">
        <v>9180.49</v>
      </c>
      <c r="N91" t="s">
        <v>21</v>
      </c>
      <c r="O91" t="str">
        <f t="shared" si="9"/>
        <v>nM</v>
      </c>
      <c r="R91">
        <v>3.41</v>
      </c>
      <c r="S91" t="s">
        <v>660</v>
      </c>
      <c r="T91" t="s">
        <v>119</v>
      </c>
      <c r="U91">
        <v>500</v>
      </c>
      <c r="V91" t="s">
        <v>22</v>
      </c>
      <c r="W91" t="s">
        <v>23</v>
      </c>
      <c r="X91">
        <v>0</v>
      </c>
      <c r="Y91">
        <v>1</v>
      </c>
      <c r="AA91" t="s">
        <v>655</v>
      </c>
      <c r="AD91">
        <v>73.8</v>
      </c>
      <c r="AE91" t="b">
        <v>0</v>
      </c>
    </row>
    <row r="92" spans="1:32" x14ac:dyDescent="0.3">
      <c r="A92" t="s">
        <v>577</v>
      </c>
      <c r="B92" t="s">
        <v>695</v>
      </c>
      <c r="C92" t="b">
        <v>1</v>
      </c>
      <c r="D92" t="s">
        <v>109</v>
      </c>
      <c r="E92" t="s">
        <v>112</v>
      </c>
      <c r="F92" t="s">
        <v>113</v>
      </c>
      <c r="G92" t="s">
        <v>114</v>
      </c>
      <c r="H92" t="s">
        <v>113</v>
      </c>
      <c r="I92">
        <v>72</v>
      </c>
      <c r="J92" t="s">
        <v>6</v>
      </c>
      <c r="K92">
        <v>0</v>
      </c>
      <c r="L92" s="5" t="s">
        <v>654</v>
      </c>
      <c r="M92">
        <v>15450</v>
      </c>
      <c r="N92" t="s">
        <v>20</v>
      </c>
      <c r="O92" t="str">
        <f t="shared" si="9"/>
        <v>ng*h/mL</v>
      </c>
      <c r="T92" t="s">
        <v>120</v>
      </c>
      <c r="U92">
        <v>250</v>
      </c>
      <c r="V92" t="s">
        <v>22</v>
      </c>
      <c r="W92" t="s">
        <v>23</v>
      </c>
      <c r="X92">
        <v>0</v>
      </c>
      <c r="Y92">
        <v>1</v>
      </c>
      <c r="AA92" t="s">
        <v>655</v>
      </c>
      <c r="AD92">
        <v>73.8</v>
      </c>
      <c r="AE92" t="b">
        <v>0</v>
      </c>
    </row>
    <row r="93" spans="1:32" x14ac:dyDescent="0.3">
      <c r="A93" t="s">
        <v>577</v>
      </c>
      <c r="B93" t="s">
        <v>695</v>
      </c>
      <c r="C93" t="b">
        <v>1</v>
      </c>
      <c r="D93" t="s">
        <v>109</v>
      </c>
      <c r="E93" t="s">
        <v>112</v>
      </c>
      <c r="F93" t="s">
        <v>113</v>
      </c>
      <c r="G93" t="s">
        <v>114</v>
      </c>
      <c r="H93" t="s">
        <v>113</v>
      </c>
      <c r="I93">
        <v>72</v>
      </c>
      <c r="J93" t="s">
        <v>7</v>
      </c>
      <c r="K93">
        <v>0</v>
      </c>
      <c r="L93" s="5" t="s">
        <v>654</v>
      </c>
      <c r="M93">
        <v>6461.34</v>
      </c>
      <c r="N93" t="s">
        <v>21</v>
      </c>
      <c r="O93" t="str">
        <f t="shared" si="9"/>
        <v>nM</v>
      </c>
      <c r="R93">
        <v>2.4</v>
      </c>
      <c r="S93" t="s">
        <v>660</v>
      </c>
      <c r="T93" t="s">
        <v>121</v>
      </c>
      <c r="U93">
        <v>250</v>
      </c>
      <c r="V93" t="s">
        <v>22</v>
      </c>
      <c r="W93" t="s">
        <v>23</v>
      </c>
      <c r="X93">
        <v>0</v>
      </c>
      <c r="Y93">
        <v>1</v>
      </c>
      <c r="AA93" t="s">
        <v>655</v>
      </c>
      <c r="AD93">
        <v>73.8</v>
      </c>
      <c r="AE93" t="b">
        <v>0</v>
      </c>
    </row>
    <row r="94" spans="1:32" x14ac:dyDescent="0.3">
      <c r="A94" t="s">
        <v>578</v>
      </c>
      <c r="B94" t="s">
        <v>696</v>
      </c>
      <c r="C94" t="b">
        <v>1</v>
      </c>
      <c r="D94" t="s">
        <v>109</v>
      </c>
      <c r="E94" t="s">
        <v>112</v>
      </c>
      <c r="F94" t="s">
        <v>113</v>
      </c>
      <c r="G94" t="s">
        <v>114</v>
      </c>
      <c r="H94" t="s">
        <v>113</v>
      </c>
      <c r="I94">
        <v>72</v>
      </c>
      <c r="J94" t="s">
        <v>6</v>
      </c>
      <c r="K94">
        <v>0</v>
      </c>
      <c r="L94" s="5" t="s">
        <v>654</v>
      </c>
      <c r="M94">
        <v>7670</v>
      </c>
      <c r="N94" t="s">
        <v>20</v>
      </c>
      <c r="O94" t="str">
        <f t="shared" si="9"/>
        <v>ng*h/mL</v>
      </c>
      <c r="T94" t="s">
        <v>122</v>
      </c>
      <c r="U94">
        <v>125</v>
      </c>
      <c r="V94" t="s">
        <v>22</v>
      </c>
      <c r="W94" t="s">
        <v>23</v>
      </c>
      <c r="X94">
        <v>0</v>
      </c>
      <c r="Y94">
        <v>1</v>
      </c>
      <c r="AA94" t="s">
        <v>655</v>
      </c>
      <c r="AD94">
        <v>73.8</v>
      </c>
      <c r="AE94" t="b">
        <v>0</v>
      </c>
    </row>
    <row r="95" spans="1:32" x14ac:dyDescent="0.3">
      <c r="A95" t="s">
        <v>578</v>
      </c>
      <c r="B95" t="s">
        <v>696</v>
      </c>
      <c r="C95" t="b">
        <v>1</v>
      </c>
      <c r="D95" t="s">
        <v>109</v>
      </c>
      <c r="E95" t="s">
        <v>112</v>
      </c>
      <c r="F95" t="s">
        <v>113</v>
      </c>
      <c r="G95" t="s">
        <v>114</v>
      </c>
      <c r="H95" t="s">
        <v>113</v>
      </c>
      <c r="I95">
        <v>72</v>
      </c>
      <c r="J95" t="s">
        <v>7</v>
      </c>
      <c r="K95">
        <v>0</v>
      </c>
      <c r="L95" s="5" t="s">
        <v>654</v>
      </c>
      <c r="M95">
        <v>3284.51</v>
      </c>
      <c r="N95" t="s">
        <v>21</v>
      </c>
      <c r="O95" t="str">
        <f t="shared" si="9"/>
        <v>nM</v>
      </c>
      <c r="R95">
        <v>1.22</v>
      </c>
      <c r="S95" t="s">
        <v>660</v>
      </c>
      <c r="T95" t="s">
        <v>123</v>
      </c>
      <c r="U95">
        <v>125</v>
      </c>
      <c r="V95" t="s">
        <v>22</v>
      </c>
      <c r="W95" t="s">
        <v>23</v>
      </c>
      <c r="X95">
        <v>0</v>
      </c>
      <c r="Y95">
        <v>1</v>
      </c>
      <c r="AA95" t="s">
        <v>655</v>
      </c>
      <c r="AD95">
        <v>73.8</v>
      </c>
      <c r="AE95" t="b">
        <v>0</v>
      </c>
    </row>
    <row r="96" spans="1:32" x14ac:dyDescent="0.3">
      <c r="A96" t="s">
        <v>987</v>
      </c>
      <c r="B96" t="s">
        <v>988</v>
      </c>
      <c r="C96" t="b">
        <v>1</v>
      </c>
      <c r="D96" t="s">
        <v>109</v>
      </c>
      <c r="E96" t="s">
        <v>112</v>
      </c>
      <c r="F96" t="s">
        <v>113</v>
      </c>
      <c r="G96" t="s">
        <v>114</v>
      </c>
      <c r="H96" t="s">
        <v>113</v>
      </c>
      <c r="I96">
        <v>48</v>
      </c>
      <c r="J96" t="s">
        <v>6</v>
      </c>
      <c r="K96">
        <v>0</v>
      </c>
      <c r="L96" s="5" t="s">
        <v>654</v>
      </c>
      <c r="M96">
        <v>2990</v>
      </c>
      <c r="N96" t="s">
        <v>20</v>
      </c>
      <c r="O96" t="str">
        <f t="shared" si="9"/>
        <v>ng*h/mL</v>
      </c>
      <c r="T96" t="s">
        <v>124</v>
      </c>
      <c r="U96">
        <v>50</v>
      </c>
      <c r="V96" t="s">
        <v>22</v>
      </c>
      <c r="W96" t="s">
        <v>23</v>
      </c>
      <c r="X96">
        <v>0</v>
      </c>
      <c r="Y96">
        <v>1</v>
      </c>
      <c r="AA96" t="s">
        <v>655</v>
      </c>
      <c r="AD96">
        <v>73.8</v>
      </c>
      <c r="AE96" t="b">
        <v>0</v>
      </c>
    </row>
    <row r="97" spans="1:31" x14ac:dyDescent="0.3">
      <c r="A97" t="s">
        <v>987</v>
      </c>
      <c r="B97" t="s">
        <v>988</v>
      </c>
      <c r="C97" t="b">
        <v>1</v>
      </c>
      <c r="D97" t="s">
        <v>109</v>
      </c>
      <c r="E97" t="s">
        <v>112</v>
      </c>
      <c r="F97" t="s">
        <v>113</v>
      </c>
      <c r="G97" t="s">
        <v>114</v>
      </c>
      <c r="H97" t="s">
        <v>113</v>
      </c>
      <c r="I97">
        <v>48</v>
      </c>
      <c r="J97" t="s">
        <v>7</v>
      </c>
      <c r="K97">
        <v>0</v>
      </c>
      <c r="L97" s="5" t="s">
        <v>654</v>
      </c>
      <c r="M97">
        <v>996.12</v>
      </c>
      <c r="N97" t="s">
        <v>21</v>
      </c>
      <c r="O97" t="str">
        <f t="shared" si="9"/>
        <v>nM</v>
      </c>
      <c r="R97">
        <v>0.67</v>
      </c>
      <c r="S97" t="s">
        <v>660</v>
      </c>
      <c r="T97" t="s">
        <v>125</v>
      </c>
      <c r="U97">
        <v>50</v>
      </c>
      <c r="V97" t="s">
        <v>22</v>
      </c>
      <c r="W97" t="s">
        <v>23</v>
      </c>
      <c r="X97">
        <v>0</v>
      </c>
      <c r="Y97">
        <v>1</v>
      </c>
      <c r="AA97" t="s">
        <v>655</v>
      </c>
      <c r="AD97">
        <v>73.8</v>
      </c>
      <c r="AE97" t="b">
        <v>0</v>
      </c>
    </row>
    <row r="98" spans="1:31" x14ac:dyDescent="0.3">
      <c r="A98" t="s">
        <v>989</v>
      </c>
      <c r="B98" t="s">
        <v>990</v>
      </c>
      <c r="C98" t="b">
        <v>1</v>
      </c>
      <c r="D98" t="s">
        <v>109</v>
      </c>
      <c r="E98" t="s">
        <v>112</v>
      </c>
      <c r="F98" t="s">
        <v>113</v>
      </c>
      <c r="G98" t="s">
        <v>114</v>
      </c>
      <c r="H98" t="s">
        <v>113</v>
      </c>
      <c r="I98">
        <v>36</v>
      </c>
      <c r="J98" t="s">
        <v>6</v>
      </c>
      <c r="K98">
        <v>0</v>
      </c>
      <c r="L98" s="5" t="s">
        <v>654</v>
      </c>
      <c r="M98">
        <v>1190</v>
      </c>
      <c r="N98" t="s">
        <v>20</v>
      </c>
      <c r="O98" t="str">
        <f t="shared" si="9"/>
        <v>ng*h/mL</v>
      </c>
      <c r="T98" t="s">
        <v>126</v>
      </c>
      <c r="U98">
        <v>25</v>
      </c>
      <c r="V98" t="s">
        <v>22</v>
      </c>
      <c r="W98" t="s">
        <v>23</v>
      </c>
      <c r="X98">
        <v>0</v>
      </c>
      <c r="Y98">
        <v>1</v>
      </c>
      <c r="AA98" t="s">
        <v>655</v>
      </c>
      <c r="AD98">
        <v>73.8</v>
      </c>
      <c r="AE98" t="b">
        <v>0</v>
      </c>
    </row>
    <row r="99" spans="1:31" x14ac:dyDescent="0.3">
      <c r="A99" t="s">
        <v>989</v>
      </c>
      <c r="B99" t="s">
        <v>990</v>
      </c>
      <c r="C99" t="b">
        <v>1</v>
      </c>
      <c r="D99" t="s">
        <v>109</v>
      </c>
      <c r="E99" t="s">
        <v>112</v>
      </c>
      <c r="F99" t="s">
        <v>113</v>
      </c>
      <c r="G99" t="s">
        <v>114</v>
      </c>
      <c r="H99" t="s">
        <v>113</v>
      </c>
      <c r="I99">
        <v>36</v>
      </c>
      <c r="J99" t="s">
        <v>7</v>
      </c>
      <c r="K99">
        <v>0</v>
      </c>
      <c r="L99" s="5" t="s">
        <v>654</v>
      </c>
      <c r="M99">
        <v>403.83</v>
      </c>
      <c r="N99" t="s">
        <v>21</v>
      </c>
      <c r="O99" t="str">
        <f t="shared" si="9"/>
        <v>nM</v>
      </c>
      <c r="R99">
        <v>0.15</v>
      </c>
      <c r="S99" t="s">
        <v>660</v>
      </c>
      <c r="T99" t="s">
        <v>127</v>
      </c>
      <c r="U99">
        <v>25</v>
      </c>
      <c r="V99" t="s">
        <v>22</v>
      </c>
      <c r="W99" t="s">
        <v>23</v>
      </c>
      <c r="X99">
        <v>0</v>
      </c>
      <c r="Y99">
        <v>1</v>
      </c>
      <c r="AA99" t="s">
        <v>655</v>
      </c>
      <c r="AD99">
        <v>73.8</v>
      </c>
      <c r="AE99" t="b">
        <v>0</v>
      </c>
    </row>
    <row r="100" spans="1:31" x14ac:dyDescent="0.3">
      <c r="A100" t="s">
        <v>991</v>
      </c>
      <c r="B100" t="s">
        <v>992</v>
      </c>
      <c r="C100" t="b">
        <v>1</v>
      </c>
      <c r="D100" t="s">
        <v>109</v>
      </c>
      <c r="E100" t="s">
        <v>130</v>
      </c>
      <c r="F100" t="s">
        <v>113</v>
      </c>
      <c r="G100" t="s">
        <v>114</v>
      </c>
      <c r="H100" t="s">
        <v>113</v>
      </c>
      <c r="I100">
        <v>24</v>
      </c>
      <c r="J100" t="s">
        <v>6</v>
      </c>
      <c r="K100">
        <v>0</v>
      </c>
      <c r="L100" s="5">
        <v>24</v>
      </c>
      <c r="M100">
        <v>3779</v>
      </c>
      <c r="N100" t="s">
        <v>20</v>
      </c>
      <c r="O100" t="str">
        <f t="shared" si="9"/>
        <v>ng*h/mL</v>
      </c>
      <c r="T100" t="s">
        <v>128</v>
      </c>
      <c r="U100">
        <v>75</v>
      </c>
      <c r="V100" t="s">
        <v>22</v>
      </c>
      <c r="W100" t="s">
        <v>23</v>
      </c>
      <c r="X100">
        <v>0</v>
      </c>
      <c r="Y100">
        <v>1</v>
      </c>
      <c r="AA100" t="s">
        <v>655</v>
      </c>
      <c r="AD100">
        <v>80.040000000000006</v>
      </c>
    </row>
    <row r="101" spans="1:31" x14ac:dyDescent="0.3">
      <c r="A101" t="s">
        <v>991</v>
      </c>
      <c r="B101" t="s">
        <v>992</v>
      </c>
      <c r="C101" t="b">
        <v>1</v>
      </c>
      <c r="D101" t="s">
        <v>109</v>
      </c>
      <c r="E101" t="s">
        <v>130</v>
      </c>
      <c r="F101" t="s">
        <v>113</v>
      </c>
      <c r="G101" t="s">
        <v>114</v>
      </c>
      <c r="H101" t="s">
        <v>113</v>
      </c>
      <c r="I101">
        <v>24</v>
      </c>
      <c r="J101" t="s">
        <v>6</v>
      </c>
      <c r="K101">
        <v>0</v>
      </c>
      <c r="L101" s="5">
        <v>24</v>
      </c>
      <c r="M101">
        <v>3782</v>
      </c>
      <c r="N101" t="s">
        <v>20</v>
      </c>
      <c r="O101" t="str">
        <f t="shared" si="9"/>
        <v>ng*h/mL</v>
      </c>
      <c r="T101" t="s">
        <v>800</v>
      </c>
      <c r="U101">
        <v>75</v>
      </c>
      <c r="V101" t="s">
        <v>22</v>
      </c>
      <c r="W101" t="s">
        <v>23</v>
      </c>
      <c r="X101">
        <v>0</v>
      </c>
      <c r="Y101">
        <v>1</v>
      </c>
      <c r="AA101" t="s">
        <v>655</v>
      </c>
      <c r="AD101">
        <v>80.040000000000006</v>
      </c>
    </row>
    <row r="102" spans="1:31" x14ac:dyDescent="0.3">
      <c r="A102" t="s">
        <v>991</v>
      </c>
      <c r="B102" t="s">
        <v>992</v>
      </c>
      <c r="C102" t="b">
        <v>1</v>
      </c>
      <c r="D102" t="s">
        <v>109</v>
      </c>
      <c r="E102" t="s">
        <v>130</v>
      </c>
      <c r="F102" t="s">
        <v>113</v>
      </c>
      <c r="G102" t="s">
        <v>114</v>
      </c>
      <c r="H102" t="s">
        <v>113</v>
      </c>
      <c r="I102">
        <v>24</v>
      </c>
      <c r="J102" t="s">
        <v>7</v>
      </c>
      <c r="K102">
        <v>0</v>
      </c>
      <c r="L102" s="5">
        <v>24</v>
      </c>
      <c r="M102">
        <v>1352.57</v>
      </c>
      <c r="N102" t="s">
        <v>21</v>
      </c>
      <c r="O102" t="str">
        <f t="shared" si="9"/>
        <v>nM</v>
      </c>
      <c r="R102">
        <v>502</v>
      </c>
      <c r="S102" t="s">
        <v>661</v>
      </c>
      <c r="T102" t="s">
        <v>129</v>
      </c>
      <c r="U102">
        <v>75</v>
      </c>
      <c r="V102" t="s">
        <v>22</v>
      </c>
      <c r="W102" t="s">
        <v>23</v>
      </c>
      <c r="X102">
        <v>0</v>
      </c>
      <c r="Y102">
        <v>1</v>
      </c>
      <c r="AA102" t="s">
        <v>655</v>
      </c>
      <c r="AD102">
        <v>80.040000000000006</v>
      </c>
    </row>
    <row r="103" spans="1:31" x14ac:dyDescent="0.3">
      <c r="A103" t="s">
        <v>993</v>
      </c>
      <c r="B103" t="s">
        <v>994</v>
      </c>
      <c r="C103" t="b">
        <v>1</v>
      </c>
      <c r="D103" t="s">
        <v>109</v>
      </c>
      <c r="E103" t="s">
        <v>130</v>
      </c>
      <c r="F103" t="s">
        <v>113</v>
      </c>
      <c r="G103" t="s">
        <v>114</v>
      </c>
      <c r="H103" t="s">
        <v>113</v>
      </c>
      <c r="I103">
        <f>9*24+96</f>
        <v>312</v>
      </c>
      <c r="J103" t="s">
        <v>6</v>
      </c>
      <c r="K103">
        <f>9*24</f>
        <v>216</v>
      </c>
      <c r="L103" s="5">
        <f>K103+96</f>
        <v>312</v>
      </c>
      <c r="M103">
        <v>5452</v>
      </c>
      <c r="N103" t="s">
        <v>20</v>
      </c>
      <c r="O103" t="str">
        <f t="shared" si="9"/>
        <v>ng*h/mL</v>
      </c>
      <c r="T103" t="s">
        <v>132</v>
      </c>
      <c r="U103">
        <v>75</v>
      </c>
      <c r="V103" t="s">
        <v>22</v>
      </c>
      <c r="W103" t="s">
        <v>23</v>
      </c>
      <c r="X103">
        <v>0</v>
      </c>
      <c r="Y103">
        <v>10</v>
      </c>
      <c r="Z103">
        <v>24</v>
      </c>
      <c r="AA103" t="s">
        <v>655</v>
      </c>
      <c r="AD103">
        <v>80.040000000000006</v>
      </c>
    </row>
    <row r="104" spans="1:31" x14ac:dyDescent="0.3">
      <c r="A104" t="s">
        <v>993</v>
      </c>
      <c r="B104" t="s">
        <v>994</v>
      </c>
      <c r="C104" t="b">
        <v>1</v>
      </c>
      <c r="D104" t="s">
        <v>109</v>
      </c>
      <c r="E104" t="s">
        <v>130</v>
      </c>
      <c r="F104" t="s">
        <v>113</v>
      </c>
      <c r="G104" t="s">
        <v>114</v>
      </c>
      <c r="H104" t="s">
        <v>113</v>
      </c>
      <c r="I104">
        <f>9*24+96</f>
        <v>312</v>
      </c>
      <c r="J104" t="s">
        <v>6</v>
      </c>
      <c r="K104">
        <f>9*24</f>
        <v>216</v>
      </c>
      <c r="L104" s="5">
        <f>10*24</f>
        <v>240</v>
      </c>
      <c r="M104">
        <v>4268</v>
      </c>
      <c r="N104" t="s">
        <v>20</v>
      </c>
      <c r="O104" t="str">
        <f t="shared" si="9"/>
        <v>ng*h/mL</v>
      </c>
      <c r="T104" t="s">
        <v>801</v>
      </c>
      <c r="U104">
        <v>75</v>
      </c>
      <c r="V104" t="s">
        <v>22</v>
      </c>
      <c r="W104" t="s">
        <v>23</v>
      </c>
      <c r="X104">
        <v>0</v>
      </c>
      <c r="Y104">
        <v>10</v>
      </c>
      <c r="Z104">
        <v>24</v>
      </c>
      <c r="AA104" t="s">
        <v>655</v>
      </c>
      <c r="AD104">
        <v>80.040000000000006</v>
      </c>
    </row>
    <row r="105" spans="1:31" x14ac:dyDescent="0.3">
      <c r="A105" t="s">
        <v>993</v>
      </c>
      <c r="B105" t="s">
        <v>994</v>
      </c>
      <c r="C105" t="b">
        <v>1</v>
      </c>
      <c r="D105" t="s">
        <v>109</v>
      </c>
      <c r="E105" t="s">
        <v>130</v>
      </c>
      <c r="F105" t="s">
        <v>113</v>
      </c>
      <c r="G105" t="s">
        <v>114</v>
      </c>
      <c r="H105" t="s">
        <v>113</v>
      </c>
      <c r="I105">
        <f>9*24+96</f>
        <v>312</v>
      </c>
      <c r="J105" t="s">
        <v>7</v>
      </c>
      <c r="K105">
        <f>9*24</f>
        <v>216</v>
      </c>
      <c r="L105" s="5">
        <f>10*24</f>
        <v>240</v>
      </c>
      <c r="M105">
        <v>1384.34</v>
      </c>
      <c r="N105" t="s">
        <v>21</v>
      </c>
      <c r="O105" t="str">
        <f t="shared" si="9"/>
        <v>nM</v>
      </c>
      <c r="R105">
        <v>514</v>
      </c>
      <c r="S105" t="s">
        <v>661</v>
      </c>
      <c r="T105" t="s">
        <v>131</v>
      </c>
      <c r="U105">
        <v>75</v>
      </c>
      <c r="V105" t="s">
        <v>22</v>
      </c>
      <c r="W105" t="s">
        <v>23</v>
      </c>
      <c r="X105">
        <v>0</v>
      </c>
      <c r="Y105">
        <v>10</v>
      </c>
      <c r="Z105">
        <v>24</v>
      </c>
      <c r="AA105" t="s">
        <v>655</v>
      </c>
      <c r="AD105">
        <v>80.040000000000006</v>
      </c>
    </row>
    <row r="106" spans="1:31" x14ac:dyDescent="0.3">
      <c r="A106" t="s">
        <v>995</v>
      </c>
      <c r="B106" t="s">
        <v>996</v>
      </c>
      <c r="C106" t="b">
        <v>1</v>
      </c>
      <c r="D106" t="s">
        <v>109</v>
      </c>
      <c r="E106" t="s">
        <v>130</v>
      </c>
      <c r="F106" t="s">
        <v>113</v>
      </c>
      <c r="G106" t="s">
        <v>114</v>
      </c>
      <c r="H106" t="s">
        <v>113</v>
      </c>
      <c r="I106">
        <v>24</v>
      </c>
      <c r="J106" t="s">
        <v>6</v>
      </c>
      <c r="K106">
        <v>0</v>
      </c>
      <c r="L106" s="5">
        <v>24</v>
      </c>
      <c r="M106">
        <v>13653</v>
      </c>
      <c r="N106" t="s">
        <v>20</v>
      </c>
      <c r="O106" t="str">
        <f t="shared" si="9"/>
        <v>ng*h/mL</v>
      </c>
      <c r="T106" t="s">
        <v>133</v>
      </c>
      <c r="U106">
        <v>250</v>
      </c>
      <c r="V106" t="s">
        <v>22</v>
      </c>
      <c r="W106" t="s">
        <v>23</v>
      </c>
      <c r="X106">
        <v>0</v>
      </c>
      <c r="Y106">
        <v>1</v>
      </c>
      <c r="AA106" t="s">
        <v>655</v>
      </c>
      <c r="AD106">
        <v>80.040000000000006</v>
      </c>
    </row>
    <row r="107" spans="1:31" x14ac:dyDescent="0.3">
      <c r="A107" t="s">
        <v>995</v>
      </c>
      <c r="B107" t="s">
        <v>996</v>
      </c>
      <c r="C107" t="b">
        <v>1</v>
      </c>
      <c r="D107" t="s">
        <v>109</v>
      </c>
      <c r="E107" t="s">
        <v>130</v>
      </c>
      <c r="F107" t="s">
        <v>113</v>
      </c>
      <c r="G107" t="s">
        <v>114</v>
      </c>
      <c r="H107" t="s">
        <v>113</v>
      </c>
      <c r="I107">
        <v>24</v>
      </c>
      <c r="J107" t="s">
        <v>6</v>
      </c>
      <c r="K107">
        <v>0</v>
      </c>
      <c r="L107" s="5">
        <v>24</v>
      </c>
      <c r="M107">
        <v>13663</v>
      </c>
      <c r="N107" t="s">
        <v>20</v>
      </c>
      <c r="O107" t="str">
        <f t="shared" si="9"/>
        <v>ng*h/mL</v>
      </c>
      <c r="T107" t="s">
        <v>802</v>
      </c>
      <c r="U107">
        <v>250</v>
      </c>
      <c r="V107" t="s">
        <v>22</v>
      </c>
      <c r="W107" t="s">
        <v>23</v>
      </c>
      <c r="X107">
        <v>0</v>
      </c>
      <c r="Y107">
        <v>1</v>
      </c>
      <c r="AA107" t="s">
        <v>655</v>
      </c>
      <c r="AD107">
        <v>80.040000000000006</v>
      </c>
    </row>
    <row r="108" spans="1:31" x14ac:dyDescent="0.3">
      <c r="A108" t="s">
        <v>995</v>
      </c>
      <c r="B108" t="s">
        <v>996</v>
      </c>
      <c r="C108" t="b">
        <v>1</v>
      </c>
      <c r="D108" t="s">
        <v>109</v>
      </c>
      <c r="E108" t="s">
        <v>130</v>
      </c>
      <c r="F108" t="s">
        <v>113</v>
      </c>
      <c r="G108" t="s">
        <v>114</v>
      </c>
      <c r="H108" t="s">
        <v>113</v>
      </c>
      <c r="I108">
        <v>24</v>
      </c>
      <c r="J108" t="s">
        <v>7</v>
      </c>
      <c r="K108">
        <v>0</v>
      </c>
      <c r="L108" s="5">
        <v>24</v>
      </c>
      <c r="M108">
        <v>5389.83</v>
      </c>
      <c r="N108" t="s">
        <v>21</v>
      </c>
      <c r="O108" t="str">
        <f t="shared" si="9"/>
        <v>nM</v>
      </c>
      <c r="R108">
        <v>2001.7</v>
      </c>
      <c r="S108" t="s">
        <v>661</v>
      </c>
      <c r="T108" t="s">
        <v>134</v>
      </c>
      <c r="U108">
        <v>250</v>
      </c>
      <c r="V108" t="s">
        <v>22</v>
      </c>
      <c r="W108" t="s">
        <v>23</v>
      </c>
      <c r="X108">
        <v>0</v>
      </c>
      <c r="Y108">
        <v>1</v>
      </c>
      <c r="AA108" t="s">
        <v>655</v>
      </c>
      <c r="AD108">
        <v>80.040000000000006</v>
      </c>
    </row>
    <row r="109" spans="1:31" x14ac:dyDescent="0.3">
      <c r="A109" t="s">
        <v>579</v>
      </c>
      <c r="B109" t="s">
        <v>697</v>
      </c>
      <c r="C109" t="b">
        <v>1</v>
      </c>
      <c r="D109" t="s">
        <v>109</v>
      </c>
      <c r="E109" t="s">
        <v>130</v>
      </c>
      <c r="F109" t="s">
        <v>113</v>
      </c>
      <c r="G109" t="s">
        <v>114</v>
      </c>
      <c r="H109" t="s">
        <v>113</v>
      </c>
      <c r="I109">
        <f t="shared" ref="I109:I111" si="14">9*24+96</f>
        <v>312</v>
      </c>
      <c r="J109" t="s">
        <v>6</v>
      </c>
      <c r="K109">
        <f>9*24</f>
        <v>216</v>
      </c>
      <c r="L109" s="5">
        <f>K109+96</f>
        <v>312</v>
      </c>
      <c r="M109">
        <v>18676</v>
      </c>
      <c r="N109" t="s">
        <v>20</v>
      </c>
      <c r="O109" t="str">
        <f t="shared" si="9"/>
        <v>ng*h/mL</v>
      </c>
      <c r="T109" t="s">
        <v>136</v>
      </c>
      <c r="U109">
        <v>250</v>
      </c>
      <c r="V109" t="s">
        <v>22</v>
      </c>
      <c r="W109" t="s">
        <v>23</v>
      </c>
      <c r="X109">
        <v>0</v>
      </c>
      <c r="Y109">
        <v>10</v>
      </c>
      <c r="Z109">
        <v>24</v>
      </c>
      <c r="AA109" t="s">
        <v>655</v>
      </c>
      <c r="AD109">
        <v>80.040000000000006</v>
      </c>
    </row>
    <row r="110" spans="1:31" x14ac:dyDescent="0.3">
      <c r="A110" t="s">
        <v>579</v>
      </c>
      <c r="B110" t="s">
        <v>697</v>
      </c>
      <c r="C110" t="b">
        <v>1</v>
      </c>
      <c r="D110" t="s">
        <v>109</v>
      </c>
      <c r="E110" t="s">
        <v>130</v>
      </c>
      <c r="F110" t="s">
        <v>113</v>
      </c>
      <c r="G110" t="s">
        <v>114</v>
      </c>
      <c r="H110" t="s">
        <v>113</v>
      </c>
      <c r="I110">
        <f t="shared" si="14"/>
        <v>312</v>
      </c>
      <c r="J110" t="s">
        <v>6</v>
      </c>
      <c r="K110">
        <f>9*24</f>
        <v>216</v>
      </c>
      <c r="L110" s="5">
        <f>10*24</f>
        <v>240</v>
      </c>
      <c r="M110">
        <v>16096</v>
      </c>
      <c r="N110" t="s">
        <v>20</v>
      </c>
      <c r="O110" t="str">
        <f t="shared" si="9"/>
        <v>ng*h/mL</v>
      </c>
      <c r="T110" t="s">
        <v>803</v>
      </c>
      <c r="U110">
        <v>250</v>
      </c>
      <c r="V110" t="s">
        <v>22</v>
      </c>
      <c r="W110" t="s">
        <v>23</v>
      </c>
      <c r="X110">
        <v>0</v>
      </c>
      <c r="Y110">
        <v>10</v>
      </c>
      <c r="Z110">
        <v>24</v>
      </c>
      <c r="AA110" t="s">
        <v>655</v>
      </c>
      <c r="AD110">
        <v>80.040000000000006</v>
      </c>
    </row>
    <row r="111" spans="1:31" x14ac:dyDescent="0.3">
      <c r="A111" t="s">
        <v>579</v>
      </c>
      <c r="B111" t="s">
        <v>697</v>
      </c>
      <c r="C111" t="b">
        <v>1</v>
      </c>
      <c r="D111" t="s">
        <v>109</v>
      </c>
      <c r="E111" t="s">
        <v>130</v>
      </c>
      <c r="F111" t="s">
        <v>113</v>
      </c>
      <c r="G111" t="s">
        <v>114</v>
      </c>
      <c r="H111" t="s">
        <v>113</v>
      </c>
      <c r="I111">
        <f t="shared" si="14"/>
        <v>312</v>
      </c>
      <c r="J111" t="s">
        <v>7</v>
      </c>
      <c r="K111">
        <f>9*24</f>
        <v>216</v>
      </c>
      <c r="L111" s="5">
        <f>10*24</f>
        <v>240</v>
      </c>
      <c r="M111">
        <v>6439.8</v>
      </c>
      <c r="N111" t="s">
        <v>21</v>
      </c>
      <c r="O111" t="str">
        <f t="shared" si="9"/>
        <v>nM</v>
      </c>
      <c r="R111">
        <v>2391.6999999999998</v>
      </c>
      <c r="S111" t="s">
        <v>661</v>
      </c>
      <c r="T111" t="s">
        <v>135</v>
      </c>
      <c r="U111">
        <v>250</v>
      </c>
      <c r="V111" t="s">
        <v>22</v>
      </c>
      <c r="W111" t="s">
        <v>23</v>
      </c>
      <c r="X111">
        <v>0</v>
      </c>
      <c r="Y111">
        <v>10</v>
      </c>
      <c r="Z111">
        <v>24</v>
      </c>
      <c r="AA111" t="s">
        <v>655</v>
      </c>
      <c r="AD111">
        <v>80.040000000000006</v>
      </c>
    </row>
    <row r="112" spans="1:31" x14ac:dyDescent="0.3">
      <c r="A112" t="s">
        <v>997</v>
      </c>
      <c r="B112" t="s">
        <v>998</v>
      </c>
      <c r="C112" t="b">
        <v>1</v>
      </c>
      <c r="D112" t="s">
        <v>109</v>
      </c>
      <c r="E112" t="s">
        <v>130</v>
      </c>
      <c r="F112" t="s">
        <v>113</v>
      </c>
      <c r="G112" t="s">
        <v>114</v>
      </c>
      <c r="H112" t="s">
        <v>113</v>
      </c>
      <c r="I112">
        <v>24</v>
      </c>
      <c r="J112" t="s">
        <v>6</v>
      </c>
      <c r="K112">
        <v>0</v>
      </c>
      <c r="L112" s="5">
        <v>24</v>
      </c>
      <c r="M112">
        <v>31578</v>
      </c>
      <c r="N112" t="s">
        <v>20</v>
      </c>
      <c r="O112" t="str">
        <f t="shared" si="9"/>
        <v>ng*h/mL</v>
      </c>
      <c r="T112" t="s">
        <v>139</v>
      </c>
      <c r="U112">
        <v>500</v>
      </c>
      <c r="V112" t="s">
        <v>22</v>
      </c>
      <c r="W112" t="s">
        <v>23</v>
      </c>
      <c r="X112">
        <v>0</v>
      </c>
      <c r="Y112">
        <v>1</v>
      </c>
      <c r="AA112" t="s">
        <v>655</v>
      </c>
      <c r="AD112">
        <v>80.040000000000006</v>
      </c>
    </row>
    <row r="113" spans="1:30" x14ac:dyDescent="0.3">
      <c r="A113" t="s">
        <v>997</v>
      </c>
      <c r="B113" t="s">
        <v>998</v>
      </c>
      <c r="C113" t="b">
        <v>1</v>
      </c>
      <c r="D113" t="s">
        <v>109</v>
      </c>
      <c r="E113" t="s">
        <v>130</v>
      </c>
      <c r="F113" t="s">
        <v>113</v>
      </c>
      <c r="G113" t="s">
        <v>114</v>
      </c>
      <c r="H113" t="s">
        <v>113</v>
      </c>
      <c r="I113">
        <v>24</v>
      </c>
      <c r="J113" t="s">
        <v>6</v>
      </c>
      <c r="K113">
        <v>0</v>
      </c>
      <c r="L113" s="5">
        <v>24</v>
      </c>
      <c r="M113">
        <v>31601</v>
      </c>
      <c r="N113" t="s">
        <v>20</v>
      </c>
      <c r="O113" t="str">
        <f t="shared" si="9"/>
        <v>ng*h/mL</v>
      </c>
      <c r="T113" t="s">
        <v>804</v>
      </c>
      <c r="U113">
        <v>500</v>
      </c>
      <c r="V113" t="s">
        <v>22</v>
      </c>
      <c r="W113" t="s">
        <v>23</v>
      </c>
      <c r="X113">
        <v>0</v>
      </c>
      <c r="Y113">
        <v>1</v>
      </c>
      <c r="AA113" t="s">
        <v>655</v>
      </c>
      <c r="AD113">
        <v>80.040000000000006</v>
      </c>
    </row>
    <row r="114" spans="1:30" x14ac:dyDescent="0.3">
      <c r="A114" t="s">
        <v>997</v>
      </c>
      <c r="B114" t="s">
        <v>998</v>
      </c>
      <c r="C114" t="b">
        <v>1</v>
      </c>
      <c r="D114" t="s">
        <v>109</v>
      </c>
      <c r="E114" t="s">
        <v>130</v>
      </c>
      <c r="F114" t="s">
        <v>113</v>
      </c>
      <c r="G114" t="s">
        <v>114</v>
      </c>
      <c r="H114" t="s">
        <v>113</v>
      </c>
      <c r="I114">
        <v>24</v>
      </c>
      <c r="J114" t="s">
        <v>7</v>
      </c>
      <c r="K114">
        <v>0</v>
      </c>
      <c r="L114" s="5">
        <v>24</v>
      </c>
      <c r="M114">
        <v>13786.88</v>
      </c>
      <c r="N114" t="s">
        <v>21</v>
      </c>
      <c r="O114" t="str">
        <f t="shared" si="9"/>
        <v>nM</v>
      </c>
      <c r="R114">
        <v>5121.3</v>
      </c>
      <c r="S114" t="s">
        <v>661</v>
      </c>
      <c r="T114" t="s">
        <v>137</v>
      </c>
      <c r="U114">
        <v>500</v>
      </c>
      <c r="V114" t="s">
        <v>22</v>
      </c>
      <c r="W114" t="s">
        <v>23</v>
      </c>
      <c r="X114">
        <v>0</v>
      </c>
      <c r="Y114">
        <v>1</v>
      </c>
      <c r="AA114" t="s">
        <v>655</v>
      </c>
      <c r="AD114">
        <v>80.040000000000006</v>
      </c>
    </row>
    <row r="115" spans="1:30" x14ac:dyDescent="0.3">
      <c r="A115" t="s">
        <v>999</v>
      </c>
      <c r="B115" t="s">
        <v>1000</v>
      </c>
      <c r="C115" t="b">
        <v>1</v>
      </c>
      <c r="D115" t="s">
        <v>109</v>
      </c>
      <c r="E115" t="s">
        <v>130</v>
      </c>
      <c r="F115" t="s">
        <v>113</v>
      </c>
      <c r="G115" t="s">
        <v>114</v>
      </c>
      <c r="H115" t="s">
        <v>113</v>
      </c>
      <c r="I115">
        <f t="shared" ref="I115:I117" si="15">9*24+96</f>
        <v>312</v>
      </c>
      <c r="J115" t="s">
        <v>6</v>
      </c>
      <c r="K115">
        <f>9*24</f>
        <v>216</v>
      </c>
      <c r="L115" s="5">
        <f>K115+96</f>
        <v>312</v>
      </c>
      <c r="M115">
        <v>46730</v>
      </c>
      <c r="N115" t="s">
        <v>20</v>
      </c>
      <c r="O115" t="str">
        <f t="shared" si="9"/>
        <v>ng*h/mL</v>
      </c>
      <c r="T115" t="s">
        <v>140</v>
      </c>
      <c r="U115">
        <v>500</v>
      </c>
      <c r="V115" t="s">
        <v>22</v>
      </c>
      <c r="W115" t="s">
        <v>23</v>
      </c>
      <c r="X115">
        <v>0</v>
      </c>
      <c r="Y115">
        <v>10</v>
      </c>
      <c r="Z115">
        <v>24</v>
      </c>
      <c r="AA115" t="s">
        <v>655</v>
      </c>
      <c r="AD115">
        <v>80.040000000000006</v>
      </c>
    </row>
    <row r="116" spans="1:30" x14ac:dyDescent="0.3">
      <c r="A116" t="s">
        <v>999</v>
      </c>
      <c r="B116" t="s">
        <v>1000</v>
      </c>
      <c r="C116" t="b">
        <v>1</v>
      </c>
      <c r="D116" t="s">
        <v>109</v>
      </c>
      <c r="E116" t="s">
        <v>130</v>
      </c>
      <c r="F116" t="s">
        <v>113</v>
      </c>
      <c r="G116" t="s">
        <v>114</v>
      </c>
      <c r="H116" t="s">
        <v>113</v>
      </c>
      <c r="I116">
        <f t="shared" si="15"/>
        <v>312</v>
      </c>
      <c r="J116" t="s">
        <v>6</v>
      </c>
      <c r="K116">
        <f>9*24</f>
        <v>216</v>
      </c>
      <c r="L116" s="5">
        <f>10*24</f>
        <v>240</v>
      </c>
      <c r="M116">
        <v>38599</v>
      </c>
      <c r="N116" t="s">
        <v>20</v>
      </c>
      <c r="O116" t="str">
        <f t="shared" si="9"/>
        <v>ng*h/mL</v>
      </c>
      <c r="T116" t="s">
        <v>805</v>
      </c>
      <c r="U116">
        <v>500</v>
      </c>
      <c r="V116" t="s">
        <v>22</v>
      </c>
      <c r="W116" t="s">
        <v>23</v>
      </c>
      <c r="X116">
        <v>0</v>
      </c>
      <c r="Y116">
        <v>10</v>
      </c>
      <c r="Z116">
        <v>24</v>
      </c>
      <c r="AA116" t="s">
        <v>655</v>
      </c>
      <c r="AD116">
        <v>80.040000000000006</v>
      </c>
    </row>
    <row r="117" spans="1:30" x14ac:dyDescent="0.3">
      <c r="A117" t="s">
        <v>999</v>
      </c>
      <c r="B117" t="s">
        <v>1000</v>
      </c>
      <c r="C117" t="b">
        <v>1</v>
      </c>
      <c r="D117" t="s">
        <v>109</v>
      </c>
      <c r="E117" t="s">
        <v>130</v>
      </c>
      <c r="F117" t="s">
        <v>113</v>
      </c>
      <c r="G117" t="s">
        <v>114</v>
      </c>
      <c r="H117" t="s">
        <v>113</v>
      </c>
      <c r="I117">
        <f t="shared" si="15"/>
        <v>312</v>
      </c>
      <c r="J117" t="s">
        <v>7</v>
      </c>
      <c r="K117">
        <f>9*24</f>
        <v>216</v>
      </c>
      <c r="L117" s="5">
        <f>10*24</f>
        <v>240</v>
      </c>
      <c r="M117">
        <v>14963.39</v>
      </c>
      <c r="N117" t="s">
        <v>21</v>
      </c>
      <c r="O117" t="str">
        <f t="shared" si="9"/>
        <v>nM</v>
      </c>
      <c r="R117">
        <v>5557.5</v>
      </c>
      <c r="S117" t="s">
        <v>661</v>
      </c>
      <c r="T117" t="s">
        <v>138</v>
      </c>
      <c r="U117">
        <v>500</v>
      </c>
      <c r="V117" t="s">
        <v>22</v>
      </c>
      <c r="W117" t="s">
        <v>23</v>
      </c>
      <c r="X117">
        <v>0</v>
      </c>
      <c r="Y117">
        <v>10</v>
      </c>
      <c r="Z117">
        <v>24</v>
      </c>
      <c r="AA117" t="s">
        <v>655</v>
      </c>
      <c r="AD117">
        <v>80.040000000000006</v>
      </c>
    </row>
    <row r="118" spans="1:30" x14ac:dyDescent="0.3">
      <c r="A118" t="s">
        <v>580</v>
      </c>
      <c r="B118" t="s">
        <v>698</v>
      </c>
      <c r="C118" t="b">
        <v>1</v>
      </c>
      <c r="D118" t="s">
        <v>109</v>
      </c>
      <c r="E118" t="s">
        <v>130</v>
      </c>
      <c r="F118" t="s">
        <v>113</v>
      </c>
      <c r="G118" t="s">
        <v>114</v>
      </c>
      <c r="H118" t="s">
        <v>113</v>
      </c>
      <c r="I118">
        <v>24</v>
      </c>
      <c r="J118" t="s">
        <v>6</v>
      </c>
      <c r="K118">
        <v>0</v>
      </c>
      <c r="L118" s="5">
        <v>24</v>
      </c>
      <c r="M118">
        <v>46029</v>
      </c>
      <c r="N118" t="s">
        <v>20</v>
      </c>
      <c r="O118" t="str">
        <f t="shared" si="9"/>
        <v>ng*h/mL</v>
      </c>
      <c r="T118" t="s">
        <v>144</v>
      </c>
      <c r="U118">
        <v>750</v>
      </c>
      <c r="V118" t="s">
        <v>22</v>
      </c>
      <c r="W118" t="s">
        <v>23</v>
      </c>
      <c r="X118">
        <v>0</v>
      </c>
      <c r="Y118">
        <v>1</v>
      </c>
      <c r="AA118" t="s">
        <v>655</v>
      </c>
      <c r="AD118">
        <v>80.040000000000006</v>
      </c>
    </row>
    <row r="119" spans="1:30" x14ac:dyDescent="0.3">
      <c r="A119" t="s">
        <v>580</v>
      </c>
      <c r="B119" t="s">
        <v>698</v>
      </c>
      <c r="C119" t="b">
        <v>1</v>
      </c>
      <c r="D119" t="s">
        <v>109</v>
      </c>
      <c r="E119" t="s">
        <v>130</v>
      </c>
      <c r="F119" t="s">
        <v>113</v>
      </c>
      <c r="G119" t="s">
        <v>114</v>
      </c>
      <c r="H119" t="s">
        <v>113</v>
      </c>
      <c r="I119">
        <v>24</v>
      </c>
      <c r="J119" t="s">
        <v>6</v>
      </c>
      <c r="K119">
        <v>0</v>
      </c>
      <c r="L119" s="5">
        <v>24</v>
      </c>
      <c r="M119">
        <v>46064</v>
      </c>
      <c r="N119" t="s">
        <v>20</v>
      </c>
      <c r="O119" t="str">
        <f t="shared" si="9"/>
        <v>ng*h/mL</v>
      </c>
      <c r="T119" t="s">
        <v>807</v>
      </c>
      <c r="U119">
        <v>750</v>
      </c>
      <c r="V119" t="s">
        <v>22</v>
      </c>
      <c r="W119" t="s">
        <v>23</v>
      </c>
      <c r="X119">
        <v>0</v>
      </c>
      <c r="Y119">
        <v>1</v>
      </c>
      <c r="AA119" t="s">
        <v>655</v>
      </c>
      <c r="AD119">
        <v>80.040000000000006</v>
      </c>
    </row>
    <row r="120" spans="1:30" x14ac:dyDescent="0.3">
      <c r="A120" t="s">
        <v>580</v>
      </c>
      <c r="B120" t="s">
        <v>698</v>
      </c>
      <c r="C120" t="b">
        <v>1</v>
      </c>
      <c r="D120" t="s">
        <v>109</v>
      </c>
      <c r="E120" t="s">
        <v>130</v>
      </c>
      <c r="F120" t="s">
        <v>113</v>
      </c>
      <c r="G120" t="s">
        <v>114</v>
      </c>
      <c r="H120" t="s">
        <v>113</v>
      </c>
      <c r="I120">
        <v>24</v>
      </c>
      <c r="J120" t="s">
        <v>7</v>
      </c>
      <c r="K120">
        <v>0</v>
      </c>
      <c r="L120" s="5">
        <v>24</v>
      </c>
      <c r="M120">
        <v>15488.37</v>
      </c>
      <c r="N120" t="s">
        <v>21</v>
      </c>
      <c r="O120" t="str">
        <f t="shared" si="9"/>
        <v>nM</v>
      </c>
      <c r="R120">
        <v>5752.5</v>
      </c>
      <c r="S120" t="s">
        <v>661</v>
      </c>
      <c r="T120" t="s">
        <v>142</v>
      </c>
      <c r="U120">
        <v>750</v>
      </c>
      <c r="V120" t="s">
        <v>22</v>
      </c>
      <c r="W120" t="s">
        <v>23</v>
      </c>
      <c r="X120">
        <v>0</v>
      </c>
      <c r="Y120">
        <v>1</v>
      </c>
      <c r="AA120" t="s">
        <v>655</v>
      </c>
      <c r="AD120">
        <v>80.040000000000006</v>
      </c>
    </row>
    <row r="121" spans="1:30" x14ac:dyDescent="0.3">
      <c r="A121" t="s">
        <v>1001</v>
      </c>
      <c r="B121" t="s">
        <v>1002</v>
      </c>
      <c r="C121" t="b">
        <v>1</v>
      </c>
      <c r="D121" t="s">
        <v>109</v>
      </c>
      <c r="E121" t="s">
        <v>130</v>
      </c>
      <c r="F121" t="s">
        <v>113</v>
      </c>
      <c r="G121" t="s">
        <v>114</v>
      </c>
      <c r="H121" t="s">
        <v>113</v>
      </c>
      <c r="I121">
        <f t="shared" ref="I121:I123" si="16">9*24+96</f>
        <v>312</v>
      </c>
      <c r="J121" t="s">
        <v>6</v>
      </c>
      <c r="K121">
        <f>9*24</f>
        <v>216</v>
      </c>
      <c r="L121" s="5">
        <f>K121+96</f>
        <v>312</v>
      </c>
      <c r="M121">
        <v>69254</v>
      </c>
      <c r="N121" t="s">
        <v>20</v>
      </c>
      <c r="O121" t="str">
        <f t="shared" si="9"/>
        <v>ng*h/mL</v>
      </c>
      <c r="T121" t="s">
        <v>141</v>
      </c>
      <c r="U121">
        <v>750</v>
      </c>
      <c r="V121" t="s">
        <v>22</v>
      </c>
      <c r="W121" t="s">
        <v>23</v>
      </c>
      <c r="X121">
        <v>0</v>
      </c>
      <c r="Y121">
        <v>10</v>
      </c>
      <c r="Z121">
        <v>24</v>
      </c>
      <c r="AA121" t="s">
        <v>655</v>
      </c>
      <c r="AD121">
        <v>80.040000000000006</v>
      </c>
    </row>
    <row r="122" spans="1:30" x14ac:dyDescent="0.3">
      <c r="A122" t="s">
        <v>1001</v>
      </c>
      <c r="B122" t="s">
        <v>1002</v>
      </c>
      <c r="C122" t="b">
        <v>1</v>
      </c>
      <c r="D122" t="s">
        <v>109</v>
      </c>
      <c r="E122" t="s">
        <v>130</v>
      </c>
      <c r="F122" t="s">
        <v>113</v>
      </c>
      <c r="G122" t="s">
        <v>114</v>
      </c>
      <c r="H122" t="s">
        <v>113</v>
      </c>
      <c r="I122">
        <f t="shared" si="16"/>
        <v>312</v>
      </c>
      <c r="J122" t="s">
        <v>6</v>
      </c>
      <c r="K122">
        <f>9*24</f>
        <v>216</v>
      </c>
      <c r="L122" s="5">
        <f>10*24</f>
        <v>240</v>
      </c>
      <c r="M122">
        <v>58433</v>
      </c>
      <c r="N122" t="s">
        <v>20</v>
      </c>
      <c r="O122" t="str">
        <f t="shared" si="9"/>
        <v>ng*h/mL</v>
      </c>
      <c r="T122" t="s">
        <v>806</v>
      </c>
      <c r="U122">
        <v>750</v>
      </c>
      <c r="V122" t="s">
        <v>22</v>
      </c>
      <c r="W122" t="s">
        <v>23</v>
      </c>
      <c r="X122">
        <v>0</v>
      </c>
      <c r="Y122">
        <v>10</v>
      </c>
      <c r="Z122">
        <v>24</v>
      </c>
      <c r="AA122" t="s">
        <v>655</v>
      </c>
      <c r="AD122">
        <v>80.040000000000006</v>
      </c>
    </row>
    <row r="123" spans="1:30" x14ac:dyDescent="0.3">
      <c r="A123" t="s">
        <v>1001</v>
      </c>
      <c r="B123" t="s">
        <v>1002</v>
      </c>
      <c r="C123" t="b">
        <v>1</v>
      </c>
      <c r="D123" t="s">
        <v>109</v>
      </c>
      <c r="E123" t="s">
        <v>130</v>
      </c>
      <c r="F123" t="s">
        <v>113</v>
      </c>
      <c r="G123" t="s">
        <v>114</v>
      </c>
      <c r="H123" t="s">
        <v>113</v>
      </c>
      <c r="I123">
        <f t="shared" si="16"/>
        <v>312</v>
      </c>
      <c r="J123" t="s">
        <v>7</v>
      </c>
      <c r="K123">
        <f>9*24</f>
        <v>216</v>
      </c>
      <c r="L123" s="5">
        <f>10*24</f>
        <v>240</v>
      </c>
      <c r="M123">
        <v>18352.900000000001</v>
      </c>
      <c r="N123" t="s">
        <v>21</v>
      </c>
      <c r="O123" t="str">
        <f t="shared" si="9"/>
        <v>nM</v>
      </c>
      <c r="R123">
        <v>6817.1</v>
      </c>
      <c r="S123" t="s">
        <v>661</v>
      </c>
      <c r="T123" t="s">
        <v>143</v>
      </c>
      <c r="U123">
        <v>750</v>
      </c>
      <c r="V123" t="s">
        <v>22</v>
      </c>
      <c r="W123" t="s">
        <v>23</v>
      </c>
      <c r="X123">
        <v>0</v>
      </c>
      <c r="Y123">
        <v>10</v>
      </c>
      <c r="Z123">
        <v>24</v>
      </c>
      <c r="AA123" t="s">
        <v>655</v>
      </c>
      <c r="AD123">
        <v>80.040000000000006</v>
      </c>
    </row>
    <row r="124" spans="1:30" x14ac:dyDescent="0.3">
      <c r="A124" t="s">
        <v>1003</v>
      </c>
      <c r="B124" t="s">
        <v>1004</v>
      </c>
      <c r="C124" t="b">
        <v>1</v>
      </c>
      <c r="D124" t="s">
        <v>109</v>
      </c>
      <c r="E124" t="s">
        <v>130</v>
      </c>
      <c r="F124" t="s">
        <v>113</v>
      </c>
      <c r="G124" t="s">
        <v>114</v>
      </c>
      <c r="H124" t="s">
        <v>113</v>
      </c>
      <c r="I124">
        <v>24</v>
      </c>
      <c r="J124" t="s">
        <v>6</v>
      </c>
      <c r="K124">
        <v>0</v>
      </c>
      <c r="L124" s="5">
        <v>24</v>
      </c>
      <c r="M124">
        <v>59626</v>
      </c>
      <c r="N124" t="s">
        <v>20</v>
      </c>
      <c r="O124" t="str">
        <f t="shared" si="9"/>
        <v>ng*h/mL</v>
      </c>
      <c r="T124" t="s">
        <v>148</v>
      </c>
      <c r="U124">
        <v>1000</v>
      </c>
      <c r="V124" t="s">
        <v>22</v>
      </c>
      <c r="W124" t="s">
        <v>23</v>
      </c>
      <c r="X124">
        <v>0</v>
      </c>
      <c r="Y124">
        <v>1</v>
      </c>
      <c r="AA124" t="s">
        <v>655</v>
      </c>
      <c r="AD124">
        <v>80.040000000000006</v>
      </c>
    </row>
    <row r="125" spans="1:30" x14ac:dyDescent="0.3">
      <c r="A125" t="s">
        <v>1003</v>
      </c>
      <c r="B125" t="s">
        <v>1004</v>
      </c>
      <c r="C125" t="b">
        <v>1</v>
      </c>
      <c r="D125" t="s">
        <v>109</v>
      </c>
      <c r="E125" t="s">
        <v>130</v>
      </c>
      <c r="F125" t="s">
        <v>113</v>
      </c>
      <c r="G125" t="s">
        <v>114</v>
      </c>
      <c r="H125" t="s">
        <v>113</v>
      </c>
      <c r="I125">
        <v>24</v>
      </c>
      <c r="J125" t="s">
        <v>6</v>
      </c>
      <c r="K125">
        <v>0</v>
      </c>
      <c r="L125" s="5">
        <v>24</v>
      </c>
      <c r="M125">
        <v>59650</v>
      </c>
      <c r="N125" t="s">
        <v>20</v>
      </c>
      <c r="O125" t="str">
        <f t="shared" si="9"/>
        <v>ng*h/mL</v>
      </c>
      <c r="T125" t="s">
        <v>808</v>
      </c>
      <c r="U125">
        <v>1000</v>
      </c>
      <c r="V125" t="s">
        <v>22</v>
      </c>
      <c r="W125" t="s">
        <v>23</v>
      </c>
      <c r="X125">
        <v>0</v>
      </c>
      <c r="Y125">
        <v>1</v>
      </c>
      <c r="AA125" t="s">
        <v>655</v>
      </c>
      <c r="AD125">
        <v>80.040000000000006</v>
      </c>
    </row>
    <row r="126" spans="1:30" x14ac:dyDescent="0.3">
      <c r="A126" t="s">
        <v>1003</v>
      </c>
      <c r="B126" t="s">
        <v>1004</v>
      </c>
      <c r="C126" t="b">
        <v>1</v>
      </c>
      <c r="D126" t="s">
        <v>109</v>
      </c>
      <c r="E126" t="s">
        <v>130</v>
      </c>
      <c r="F126" t="s">
        <v>113</v>
      </c>
      <c r="G126" t="s">
        <v>114</v>
      </c>
      <c r="H126" t="s">
        <v>113</v>
      </c>
      <c r="I126">
        <v>24</v>
      </c>
      <c r="J126" t="s">
        <v>7</v>
      </c>
      <c r="K126">
        <v>0</v>
      </c>
      <c r="L126" s="5">
        <v>24</v>
      </c>
      <c r="M126">
        <v>20875.509999999998</v>
      </c>
      <c r="N126" t="s">
        <v>21</v>
      </c>
      <c r="O126" t="str">
        <f t="shared" si="9"/>
        <v>nM</v>
      </c>
      <c r="R126">
        <v>7753.8</v>
      </c>
      <c r="S126" t="s">
        <v>661</v>
      </c>
      <c r="T126" t="s">
        <v>146</v>
      </c>
      <c r="U126">
        <v>1000</v>
      </c>
      <c r="V126" t="s">
        <v>22</v>
      </c>
      <c r="W126" t="s">
        <v>23</v>
      </c>
      <c r="X126">
        <v>0</v>
      </c>
      <c r="Y126">
        <v>1</v>
      </c>
      <c r="AA126" t="s">
        <v>655</v>
      </c>
      <c r="AD126">
        <v>80.040000000000006</v>
      </c>
    </row>
    <row r="127" spans="1:30" x14ac:dyDescent="0.3">
      <c r="A127" t="s">
        <v>1005</v>
      </c>
      <c r="B127" t="s">
        <v>1006</v>
      </c>
      <c r="C127" t="b">
        <v>1</v>
      </c>
      <c r="D127" t="s">
        <v>109</v>
      </c>
      <c r="E127" t="s">
        <v>130</v>
      </c>
      <c r="F127" t="s">
        <v>113</v>
      </c>
      <c r="G127" t="s">
        <v>114</v>
      </c>
      <c r="H127" t="s">
        <v>113</v>
      </c>
      <c r="I127">
        <f t="shared" ref="I127:I129" si="17">9*24+96</f>
        <v>312</v>
      </c>
      <c r="J127" t="s">
        <v>6</v>
      </c>
      <c r="K127">
        <f>9*24</f>
        <v>216</v>
      </c>
      <c r="L127" s="5">
        <f>K127+96</f>
        <v>312</v>
      </c>
      <c r="M127">
        <v>88320</v>
      </c>
      <c r="N127" t="s">
        <v>20</v>
      </c>
      <c r="O127" t="str">
        <f t="shared" si="9"/>
        <v>ng*h/mL</v>
      </c>
      <c r="T127" t="s">
        <v>145</v>
      </c>
      <c r="U127">
        <v>1000</v>
      </c>
      <c r="V127" t="s">
        <v>22</v>
      </c>
      <c r="W127" t="s">
        <v>23</v>
      </c>
      <c r="X127">
        <v>0</v>
      </c>
      <c r="Y127">
        <v>10</v>
      </c>
      <c r="Z127">
        <v>24</v>
      </c>
      <c r="AA127" t="s">
        <v>655</v>
      </c>
      <c r="AD127">
        <v>80.040000000000006</v>
      </c>
    </row>
    <row r="128" spans="1:30" x14ac:dyDescent="0.3">
      <c r="A128" t="s">
        <v>1005</v>
      </c>
      <c r="B128" t="s">
        <v>1006</v>
      </c>
      <c r="C128" t="b">
        <v>1</v>
      </c>
      <c r="D128" t="s">
        <v>109</v>
      </c>
      <c r="E128" t="s">
        <v>130</v>
      </c>
      <c r="F128" t="s">
        <v>113</v>
      </c>
      <c r="G128" t="s">
        <v>114</v>
      </c>
      <c r="H128" t="s">
        <v>113</v>
      </c>
      <c r="I128">
        <f t="shared" si="17"/>
        <v>312</v>
      </c>
      <c r="J128" t="s">
        <v>6</v>
      </c>
      <c r="K128">
        <f>9*24</f>
        <v>216</v>
      </c>
      <c r="L128" s="5">
        <f>10*24</f>
        <v>240</v>
      </c>
      <c r="M128">
        <v>74837</v>
      </c>
      <c r="N128" t="s">
        <v>20</v>
      </c>
      <c r="O128" t="str">
        <f t="shared" si="9"/>
        <v>ng*h/mL</v>
      </c>
      <c r="T128" t="s">
        <v>809</v>
      </c>
      <c r="U128">
        <v>1000</v>
      </c>
      <c r="V128" t="s">
        <v>22</v>
      </c>
      <c r="W128" t="s">
        <v>23</v>
      </c>
      <c r="X128">
        <v>0</v>
      </c>
      <c r="Y128">
        <v>10</v>
      </c>
      <c r="Z128">
        <v>24</v>
      </c>
      <c r="AA128" t="s">
        <v>655</v>
      </c>
      <c r="AD128">
        <v>80.040000000000006</v>
      </c>
    </row>
    <row r="129" spans="1:31" x14ac:dyDescent="0.3">
      <c r="A129" t="s">
        <v>1005</v>
      </c>
      <c r="B129" t="s">
        <v>1006</v>
      </c>
      <c r="C129" t="b">
        <v>1</v>
      </c>
      <c r="D129" t="s">
        <v>109</v>
      </c>
      <c r="E129" t="s">
        <v>130</v>
      </c>
      <c r="F129" t="s">
        <v>113</v>
      </c>
      <c r="G129" t="s">
        <v>114</v>
      </c>
      <c r="H129" t="s">
        <v>113</v>
      </c>
      <c r="I129">
        <f t="shared" si="17"/>
        <v>312</v>
      </c>
      <c r="J129" t="s">
        <v>7</v>
      </c>
      <c r="K129">
        <f>9*24</f>
        <v>216</v>
      </c>
      <c r="L129" s="5">
        <f>10*24</f>
        <v>240</v>
      </c>
      <c r="M129">
        <v>22062.78</v>
      </c>
      <c r="N129" t="s">
        <v>21</v>
      </c>
      <c r="O129" t="str">
        <f t="shared" si="9"/>
        <v>nM</v>
      </c>
      <c r="R129">
        <v>8195</v>
      </c>
      <c r="S129" t="s">
        <v>661</v>
      </c>
      <c r="T129" t="s">
        <v>147</v>
      </c>
      <c r="U129">
        <v>1000</v>
      </c>
      <c r="V129" t="s">
        <v>22</v>
      </c>
      <c r="W129" t="s">
        <v>23</v>
      </c>
      <c r="X129">
        <v>0</v>
      </c>
      <c r="Y129">
        <v>10</v>
      </c>
      <c r="Z129">
        <v>24</v>
      </c>
      <c r="AA129" t="s">
        <v>655</v>
      </c>
      <c r="AD129">
        <v>80.040000000000006</v>
      </c>
    </row>
    <row r="130" spans="1:31" x14ac:dyDescent="0.3">
      <c r="A130" t="s">
        <v>1007</v>
      </c>
      <c r="B130" t="s">
        <v>1008</v>
      </c>
      <c r="C130" t="b">
        <v>1</v>
      </c>
      <c r="D130" t="s">
        <v>149</v>
      </c>
      <c r="E130" t="s">
        <v>152</v>
      </c>
      <c r="F130" t="s">
        <v>153</v>
      </c>
      <c r="G130" t="s">
        <v>154</v>
      </c>
      <c r="H130" t="s">
        <v>153</v>
      </c>
      <c r="I130">
        <v>48</v>
      </c>
      <c r="J130" t="s">
        <v>6</v>
      </c>
      <c r="K130">
        <v>0</v>
      </c>
      <c r="L130" s="5" t="s">
        <v>654</v>
      </c>
      <c r="M130">
        <v>9808</v>
      </c>
      <c r="N130" t="s">
        <v>20</v>
      </c>
      <c r="O130" t="str">
        <f t="shared" si="9"/>
        <v>ng*h/mL</v>
      </c>
      <c r="T130" t="s">
        <v>150</v>
      </c>
      <c r="U130">
        <v>500</v>
      </c>
      <c r="V130" t="s">
        <v>22</v>
      </c>
      <c r="W130" t="s">
        <v>23</v>
      </c>
      <c r="X130">
        <v>0</v>
      </c>
      <c r="Y130">
        <v>1</v>
      </c>
      <c r="AA130" t="s">
        <v>655</v>
      </c>
      <c r="AD130">
        <v>83.7</v>
      </c>
      <c r="AE130" t="b">
        <v>0</v>
      </c>
    </row>
    <row r="131" spans="1:31" x14ac:dyDescent="0.3">
      <c r="A131" t="s">
        <v>1007</v>
      </c>
      <c r="B131" t="s">
        <v>1008</v>
      </c>
      <c r="C131" t="b">
        <v>1</v>
      </c>
      <c r="D131" t="s">
        <v>149</v>
      </c>
      <c r="E131" t="s">
        <v>152</v>
      </c>
      <c r="F131" t="s">
        <v>153</v>
      </c>
      <c r="G131" t="s">
        <v>154</v>
      </c>
      <c r="H131" t="s">
        <v>153</v>
      </c>
      <c r="I131">
        <v>48</v>
      </c>
      <c r="J131" t="s">
        <v>6</v>
      </c>
      <c r="K131">
        <v>0</v>
      </c>
      <c r="L131" s="5">
        <v>48</v>
      </c>
      <c r="M131">
        <v>9879</v>
      </c>
      <c r="N131" t="s">
        <v>20</v>
      </c>
      <c r="O131" t="str">
        <f t="shared" ref="O131:O194" si="18">IF(EXACT(N131,"ng.hr.mL-1"),"ng*h/mL",IF(EXACT(N131,"ug.mL-1"),"ug/mL",N131))</f>
        <v>ng*h/mL</v>
      </c>
      <c r="T131" t="s">
        <v>810</v>
      </c>
      <c r="U131">
        <v>500</v>
      </c>
      <c r="V131" t="s">
        <v>22</v>
      </c>
      <c r="W131" t="s">
        <v>23</v>
      </c>
      <c r="X131">
        <v>0</v>
      </c>
      <c r="Y131">
        <v>1</v>
      </c>
      <c r="AA131" t="s">
        <v>655</v>
      </c>
      <c r="AD131">
        <v>83.7</v>
      </c>
      <c r="AE131" t="b">
        <v>0</v>
      </c>
    </row>
    <row r="132" spans="1:31" x14ac:dyDescent="0.3">
      <c r="A132" t="s">
        <v>1007</v>
      </c>
      <c r="B132" t="s">
        <v>1008</v>
      </c>
      <c r="C132" t="b">
        <v>1</v>
      </c>
      <c r="D132" t="s">
        <v>149</v>
      </c>
      <c r="E132" t="s">
        <v>152</v>
      </c>
      <c r="F132" t="s">
        <v>153</v>
      </c>
      <c r="G132" t="s">
        <v>154</v>
      </c>
      <c r="H132" t="s">
        <v>153</v>
      </c>
      <c r="I132">
        <v>48</v>
      </c>
      <c r="J132" t="s">
        <v>7</v>
      </c>
      <c r="K132">
        <v>0</v>
      </c>
      <c r="L132" s="5">
        <v>48</v>
      </c>
      <c r="M132">
        <v>0.93400000000000005</v>
      </c>
      <c r="N132" t="s">
        <v>155</v>
      </c>
      <c r="O132" t="str">
        <f t="shared" si="18"/>
        <v>ug/mL</v>
      </c>
      <c r="R132">
        <v>934</v>
      </c>
      <c r="S132" t="s">
        <v>661</v>
      </c>
      <c r="T132" t="s">
        <v>151</v>
      </c>
      <c r="U132">
        <v>500</v>
      </c>
      <c r="V132" t="s">
        <v>22</v>
      </c>
      <c r="W132" t="s">
        <v>23</v>
      </c>
      <c r="X132">
        <v>0</v>
      </c>
      <c r="Y132">
        <v>1</v>
      </c>
      <c r="AA132" t="s">
        <v>655</v>
      </c>
      <c r="AD132">
        <v>83.7</v>
      </c>
      <c r="AE132" t="b">
        <v>0</v>
      </c>
    </row>
    <row r="133" spans="1:31" x14ac:dyDescent="0.3">
      <c r="A133" t="s">
        <v>1009</v>
      </c>
      <c r="B133" t="s">
        <v>1010</v>
      </c>
      <c r="C133" t="b">
        <v>1</v>
      </c>
      <c r="D133" t="s">
        <v>149</v>
      </c>
      <c r="E133" t="s">
        <v>152</v>
      </c>
      <c r="F133" t="s">
        <v>153</v>
      </c>
      <c r="G133" t="s">
        <v>154</v>
      </c>
      <c r="H133" t="s">
        <v>153</v>
      </c>
      <c r="I133">
        <v>48</v>
      </c>
      <c r="J133" t="s">
        <v>6</v>
      </c>
      <c r="K133">
        <v>0</v>
      </c>
      <c r="L133" s="5" t="s">
        <v>654</v>
      </c>
      <c r="M133">
        <v>24937</v>
      </c>
      <c r="N133" t="s">
        <v>20</v>
      </c>
      <c r="O133" t="str">
        <f t="shared" si="18"/>
        <v>ng*h/mL</v>
      </c>
      <c r="T133" t="s">
        <v>156</v>
      </c>
      <c r="U133">
        <v>1000</v>
      </c>
      <c r="V133" t="s">
        <v>22</v>
      </c>
      <c r="W133" t="s">
        <v>23</v>
      </c>
      <c r="X133">
        <v>0</v>
      </c>
      <c r="Y133">
        <v>1</v>
      </c>
      <c r="AA133" t="s">
        <v>655</v>
      </c>
      <c r="AD133">
        <v>77.900000000000006</v>
      </c>
      <c r="AE133" t="b">
        <v>0</v>
      </c>
    </row>
    <row r="134" spans="1:31" x14ac:dyDescent="0.3">
      <c r="A134" t="s">
        <v>1009</v>
      </c>
      <c r="B134" t="s">
        <v>1010</v>
      </c>
      <c r="C134" t="b">
        <v>1</v>
      </c>
      <c r="D134" t="s">
        <v>149</v>
      </c>
      <c r="E134" t="s">
        <v>152</v>
      </c>
      <c r="F134" t="s">
        <v>153</v>
      </c>
      <c r="G134" t="s">
        <v>154</v>
      </c>
      <c r="H134" t="s">
        <v>153</v>
      </c>
      <c r="I134">
        <v>48</v>
      </c>
      <c r="J134" t="s">
        <v>6</v>
      </c>
      <c r="K134">
        <v>0</v>
      </c>
      <c r="L134" s="5">
        <v>48</v>
      </c>
      <c r="M134">
        <v>21088</v>
      </c>
      <c r="N134" t="s">
        <v>20</v>
      </c>
      <c r="O134" t="str">
        <f t="shared" si="18"/>
        <v>ng*h/mL</v>
      </c>
      <c r="T134" t="s">
        <v>811</v>
      </c>
      <c r="U134">
        <v>1000</v>
      </c>
      <c r="V134" t="s">
        <v>22</v>
      </c>
      <c r="W134" t="s">
        <v>23</v>
      </c>
      <c r="X134">
        <v>0</v>
      </c>
      <c r="Y134">
        <v>1</v>
      </c>
      <c r="AA134" t="s">
        <v>655</v>
      </c>
      <c r="AD134">
        <v>77.900000000000006</v>
      </c>
      <c r="AE134" t="b">
        <v>0</v>
      </c>
    </row>
    <row r="135" spans="1:31" x14ac:dyDescent="0.3">
      <c r="A135" t="s">
        <v>1009</v>
      </c>
      <c r="B135" t="s">
        <v>1010</v>
      </c>
      <c r="C135" t="b">
        <v>1</v>
      </c>
      <c r="D135" t="s">
        <v>149</v>
      </c>
      <c r="E135" t="s">
        <v>152</v>
      </c>
      <c r="F135" t="s">
        <v>153</v>
      </c>
      <c r="G135" t="s">
        <v>154</v>
      </c>
      <c r="H135" t="s">
        <v>153</v>
      </c>
      <c r="I135">
        <v>48</v>
      </c>
      <c r="J135" t="s">
        <v>7</v>
      </c>
      <c r="K135">
        <v>0</v>
      </c>
      <c r="L135" s="5">
        <v>48</v>
      </c>
      <c r="M135">
        <v>1.8140000000000001</v>
      </c>
      <c r="N135" t="s">
        <v>155</v>
      </c>
      <c r="O135" t="str">
        <f t="shared" si="18"/>
        <v>ug/mL</v>
      </c>
      <c r="R135">
        <v>1814</v>
      </c>
      <c r="S135" t="s">
        <v>661</v>
      </c>
      <c r="T135" t="s">
        <v>157</v>
      </c>
      <c r="U135">
        <v>1000</v>
      </c>
      <c r="V135" t="s">
        <v>22</v>
      </c>
      <c r="W135" t="s">
        <v>23</v>
      </c>
      <c r="X135">
        <v>0</v>
      </c>
      <c r="Y135">
        <v>1</v>
      </c>
      <c r="AA135" t="s">
        <v>655</v>
      </c>
      <c r="AD135">
        <v>77.900000000000006</v>
      </c>
      <c r="AE135" t="b">
        <v>0</v>
      </c>
    </row>
    <row r="136" spans="1:31" x14ac:dyDescent="0.3">
      <c r="A136" t="s">
        <v>1011</v>
      </c>
      <c r="B136" t="s">
        <v>1012</v>
      </c>
      <c r="C136" t="b">
        <v>1</v>
      </c>
      <c r="D136" t="s">
        <v>149</v>
      </c>
      <c r="E136" t="s">
        <v>152</v>
      </c>
      <c r="F136" t="s">
        <v>153</v>
      </c>
      <c r="G136" t="s">
        <v>154</v>
      </c>
      <c r="H136" t="s">
        <v>153</v>
      </c>
      <c r="I136">
        <v>72</v>
      </c>
      <c r="J136" t="s">
        <v>6</v>
      </c>
      <c r="K136">
        <v>0</v>
      </c>
      <c r="L136" s="5" t="s">
        <v>654</v>
      </c>
      <c r="M136">
        <v>35886</v>
      </c>
      <c r="N136" t="s">
        <v>20</v>
      </c>
      <c r="O136" t="str">
        <f t="shared" si="18"/>
        <v>ng*h/mL</v>
      </c>
      <c r="T136" t="s">
        <v>161</v>
      </c>
      <c r="U136">
        <v>1000</v>
      </c>
      <c r="V136" t="s">
        <v>22</v>
      </c>
      <c r="W136" t="s">
        <v>23</v>
      </c>
      <c r="X136">
        <v>0</v>
      </c>
      <c r="Y136">
        <v>1</v>
      </c>
      <c r="AA136" t="s">
        <v>655</v>
      </c>
      <c r="AD136">
        <v>75.900000000000006</v>
      </c>
      <c r="AE136" t="b">
        <v>1</v>
      </c>
    </row>
    <row r="137" spans="1:31" x14ac:dyDescent="0.3">
      <c r="A137" t="s">
        <v>1011</v>
      </c>
      <c r="B137" t="s">
        <v>1012</v>
      </c>
      <c r="C137" t="b">
        <v>1</v>
      </c>
      <c r="D137" t="s">
        <v>149</v>
      </c>
      <c r="E137" t="s">
        <v>152</v>
      </c>
      <c r="F137" t="s">
        <v>153</v>
      </c>
      <c r="G137" t="s">
        <v>154</v>
      </c>
      <c r="H137" t="s">
        <v>153</v>
      </c>
      <c r="I137">
        <v>72</v>
      </c>
      <c r="J137" t="s">
        <v>6</v>
      </c>
      <c r="K137">
        <v>0</v>
      </c>
      <c r="L137" s="5">
        <v>72</v>
      </c>
      <c r="M137">
        <v>34056</v>
      </c>
      <c r="N137" t="s">
        <v>20</v>
      </c>
      <c r="O137" t="str">
        <f t="shared" si="18"/>
        <v>ng*h/mL</v>
      </c>
      <c r="T137" t="s">
        <v>812</v>
      </c>
      <c r="U137">
        <v>1000</v>
      </c>
      <c r="V137" t="s">
        <v>22</v>
      </c>
      <c r="W137" t="s">
        <v>23</v>
      </c>
      <c r="X137">
        <v>0</v>
      </c>
      <c r="Y137">
        <v>1</v>
      </c>
      <c r="AA137" t="s">
        <v>655</v>
      </c>
      <c r="AD137">
        <v>75.900000000000006</v>
      </c>
      <c r="AE137" t="b">
        <v>1</v>
      </c>
    </row>
    <row r="138" spans="1:31" x14ac:dyDescent="0.3">
      <c r="A138" t="s">
        <v>1011</v>
      </c>
      <c r="B138" t="s">
        <v>1012</v>
      </c>
      <c r="C138" t="b">
        <v>1</v>
      </c>
      <c r="D138" t="s">
        <v>149</v>
      </c>
      <c r="E138" t="s">
        <v>152</v>
      </c>
      <c r="F138" t="s">
        <v>153</v>
      </c>
      <c r="G138" t="s">
        <v>154</v>
      </c>
      <c r="H138" t="s">
        <v>153</v>
      </c>
      <c r="I138">
        <v>72</v>
      </c>
      <c r="J138" t="s">
        <v>7</v>
      </c>
      <c r="K138">
        <v>0</v>
      </c>
      <c r="L138" s="5">
        <v>72</v>
      </c>
      <c r="M138">
        <v>2.9329999999999998</v>
      </c>
      <c r="N138" t="s">
        <v>155</v>
      </c>
      <c r="O138" t="str">
        <f t="shared" si="18"/>
        <v>ug/mL</v>
      </c>
      <c r="R138">
        <v>2933</v>
      </c>
      <c r="S138" t="s">
        <v>661</v>
      </c>
      <c r="T138" t="s">
        <v>158</v>
      </c>
      <c r="U138">
        <v>1000</v>
      </c>
      <c r="V138" t="s">
        <v>22</v>
      </c>
      <c r="W138" t="s">
        <v>23</v>
      </c>
      <c r="X138">
        <v>0</v>
      </c>
      <c r="Y138">
        <v>1</v>
      </c>
      <c r="AA138" t="s">
        <v>655</v>
      </c>
      <c r="AD138">
        <v>75.900000000000006</v>
      </c>
      <c r="AE138" t="b">
        <v>1</v>
      </c>
    </row>
    <row r="139" spans="1:31" x14ac:dyDescent="0.3">
      <c r="A139" t="s">
        <v>1013</v>
      </c>
      <c r="B139" t="s">
        <v>1014</v>
      </c>
      <c r="C139" t="b">
        <v>1</v>
      </c>
      <c r="D139" t="s">
        <v>149</v>
      </c>
      <c r="E139" t="s">
        <v>152</v>
      </c>
      <c r="F139" t="s">
        <v>153</v>
      </c>
      <c r="G139" t="s">
        <v>154</v>
      </c>
      <c r="H139" t="s">
        <v>153</v>
      </c>
      <c r="I139">
        <v>48</v>
      </c>
      <c r="J139" t="s">
        <v>6</v>
      </c>
      <c r="K139">
        <v>0</v>
      </c>
      <c r="L139" s="5" t="s">
        <v>654</v>
      </c>
      <c r="M139">
        <v>25746</v>
      </c>
      <c r="N139" t="s">
        <v>20</v>
      </c>
      <c r="O139" t="str">
        <f t="shared" si="18"/>
        <v>ng*h/mL</v>
      </c>
      <c r="T139" t="s">
        <v>159</v>
      </c>
      <c r="U139">
        <v>2000</v>
      </c>
      <c r="V139" t="s">
        <v>22</v>
      </c>
      <c r="W139" t="s">
        <v>23</v>
      </c>
      <c r="X139">
        <v>0</v>
      </c>
      <c r="Y139">
        <v>1</v>
      </c>
      <c r="AA139" t="s">
        <v>655</v>
      </c>
      <c r="AD139">
        <v>81.5</v>
      </c>
      <c r="AE139" t="b">
        <v>0</v>
      </c>
    </row>
    <row r="140" spans="1:31" x14ac:dyDescent="0.3">
      <c r="A140" t="s">
        <v>1013</v>
      </c>
      <c r="B140" t="s">
        <v>1014</v>
      </c>
      <c r="C140" t="b">
        <v>1</v>
      </c>
      <c r="D140" t="s">
        <v>149</v>
      </c>
      <c r="E140" t="s">
        <v>152</v>
      </c>
      <c r="F140" t="s">
        <v>153</v>
      </c>
      <c r="G140" t="s">
        <v>154</v>
      </c>
      <c r="H140" t="s">
        <v>153</v>
      </c>
      <c r="I140">
        <v>48</v>
      </c>
      <c r="J140" t="s">
        <v>6</v>
      </c>
      <c r="K140">
        <v>0</v>
      </c>
      <c r="L140" s="5">
        <v>48</v>
      </c>
      <c r="M140">
        <v>24548</v>
      </c>
      <c r="N140" t="s">
        <v>20</v>
      </c>
      <c r="O140" t="str">
        <f t="shared" si="18"/>
        <v>ng*h/mL</v>
      </c>
      <c r="T140" t="s">
        <v>813</v>
      </c>
      <c r="U140">
        <v>2000</v>
      </c>
      <c r="V140" t="s">
        <v>22</v>
      </c>
      <c r="W140" t="s">
        <v>23</v>
      </c>
      <c r="X140">
        <v>0</v>
      </c>
      <c r="Y140">
        <v>1</v>
      </c>
      <c r="AA140" t="s">
        <v>655</v>
      </c>
      <c r="AD140">
        <v>81.5</v>
      </c>
      <c r="AE140" t="b">
        <v>0</v>
      </c>
    </row>
    <row r="141" spans="1:31" x14ac:dyDescent="0.3">
      <c r="A141" t="s">
        <v>1013</v>
      </c>
      <c r="B141" t="s">
        <v>1014</v>
      </c>
      <c r="C141" t="b">
        <v>1</v>
      </c>
      <c r="D141" t="s">
        <v>149</v>
      </c>
      <c r="E141" t="s">
        <v>152</v>
      </c>
      <c r="F141" t="s">
        <v>153</v>
      </c>
      <c r="G141" t="s">
        <v>154</v>
      </c>
      <c r="H141" t="s">
        <v>153</v>
      </c>
      <c r="I141">
        <v>48</v>
      </c>
      <c r="J141" t="s">
        <v>7</v>
      </c>
      <c r="K141">
        <v>0</v>
      </c>
      <c r="L141" s="5">
        <v>48</v>
      </c>
      <c r="M141">
        <v>2.5529999999999999</v>
      </c>
      <c r="N141" t="s">
        <v>155</v>
      </c>
      <c r="O141" t="str">
        <f t="shared" si="18"/>
        <v>ug/mL</v>
      </c>
      <c r="R141">
        <v>2553</v>
      </c>
      <c r="S141" t="s">
        <v>661</v>
      </c>
      <c r="T141" t="s">
        <v>160</v>
      </c>
      <c r="U141">
        <v>2000</v>
      </c>
      <c r="V141" t="s">
        <v>22</v>
      </c>
      <c r="W141" t="s">
        <v>23</v>
      </c>
      <c r="X141">
        <v>0</v>
      </c>
      <c r="Y141">
        <v>1</v>
      </c>
      <c r="AA141" t="s">
        <v>655</v>
      </c>
      <c r="AD141">
        <v>81.5</v>
      </c>
      <c r="AE141" t="b">
        <v>0</v>
      </c>
    </row>
    <row r="142" spans="1:31" x14ac:dyDescent="0.3">
      <c r="A142" t="s">
        <v>1015</v>
      </c>
      <c r="B142" t="s">
        <v>1016</v>
      </c>
      <c r="C142" t="b">
        <v>1</v>
      </c>
      <c r="D142" t="s">
        <v>162</v>
      </c>
      <c r="E142" t="s">
        <v>163</v>
      </c>
      <c r="F142" t="s">
        <v>164</v>
      </c>
      <c r="G142" t="s">
        <v>165</v>
      </c>
      <c r="H142" t="s">
        <v>164</v>
      </c>
      <c r="I142">
        <v>24</v>
      </c>
      <c r="J142" t="s">
        <v>6</v>
      </c>
      <c r="K142">
        <v>0</v>
      </c>
      <c r="L142" s="5" t="s">
        <v>654</v>
      </c>
      <c r="M142">
        <v>126000</v>
      </c>
      <c r="N142" t="s">
        <v>20</v>
      </c>
      <c r="O142" t="str">
        <f t="shared" si="18"/>
        <v>ng*h/mL</v>
      </c>
      <c r="T142" t="s">
        <v>167</v>
      </c>
      <c r="U142">
        <v>400</v>
      </c>
      <c r="V142" t="s">
        <v>22</v>
      </c>
      <c r="W142" t="s">
        <v>23</v>
      </c>
      <c r="X142">
        <v>0</v>
      </c>
      <c r="Y142">
        <v>1</v>
      </c>
      <c r="AA142" t="s">
        <v>655</v>
      </c>
      <c r="AD142">
        <v>75.5</v>
      </c>
      <c r="AE142" t="b">
        <v>0</v>
      </c>
    </row>
    <row r="143" spans="1:31" x14ac:dyDescent="0.3">
      <c r="A143" t="s">
        <v>1015</v>
      </c>
      <c r="B143" t="s">
        <v>1016</v>
      </c>
      <c r="C143" t="b">
        <v>1</v>
      </c>
      <c r="D143" t="s">
        <v>162</v>
      </c>
      <c r="E143" t="s">
        <v>163</v>
      </c>
      <c r="F143" t="s">
        <v>164</v>
      </c>
      <c r="G143" t="s">
        <v>165</v>
      </c>
      <c r="H143" t="s">
        <v>164</v>
      </c>
      <c r="I143">
        <v>24</v>
      </c>
      <c r="J143" t="s">
        <v>6</v>
      </c>
      <c r="K143">
        <v>0</v>
      </c>
      <c r="L143" s="5">
        <v>24</v>
      </c>
      <c r="M143">
        <v>119000</v>
      </c>
      <c r="N143" t="s">
        <v>20</v>
      </c>
      <c r="O143" t="str">
        <f t="shared" si="18"/>
        <v>ng*h/mL</v>
      </c>
      <c r="T143" t="s">
        <v>814</v>
      </c>
      <c r="U143">
        <v>400</v>
      </c>
      <c r="V143" t="s">
        <v>22</v>
      </c>
      <c r="W143" t="s">
        <v>23</v>
      </c>
      <c r="X143">
        <v>0</v>
      </c>
      <c r="Y143">
        <v>1</v>
      </c>
      <c r="AA143" t="s">
        <v>655</v>
      </c>
      <c r="AD143">
        <v>75.5</v>
      </c>
      <c r="AE143" t="b">
        <v>0</v>
      </c>
    </row>
    <row r="144" spans="1:31" x14ac:dyDescent="0.3">
      <c r="A144" t="s">
        <v>1015</v>
      </c>
      <c r="B144" t="s">
        <v>1016</v>
      </c>
      <c r="C144" t="b">
        <v>1</v>
      </c>
      <c r="D144" t="s">
        <v>162</v>
      </c>
      <c r="E144" t="s">
        <v>163</v>
      </c>
      <c r="F144" t="s">
        <v>164</v>
      </c>
      <c r="G144" t="s">
        <v>165</v>
      </c>
      <c r="H144" t="s">
        <v>164</v>
      </c>
      <c r="I144">
        <v>24</v>
      </c>
      <c r="J144" t="s">
        <v>7</v>
      </c>
      <c r="K144">
        <v>0</v>
      </c>
      <c r="L144" s="5">
        <v>24</v>
      </c>
      <c r="M144">
        <v>52625.98</v>
      </c>
      <c r="N144" t="s">
        <v>21</v>
      </c>
      <c r="O144" t="str">
        <f t="shared" si="18"/>
        <v>nM</v>
      </c>
      <c r="R144">
        <v>19.8</v>
      </c>
      <c r="S144" t="s">
        <v>660</v>
      </c>
      <c r="T144" t="s">
        <v>166</v>
      </c>
      <c r="U144">
        <v>400</v>
      </c>
      <c r="V144" t="s">
        <v>22</v>
      </c>
      <c r="W144" t="s">
        <v>23</v>
      </c>
      <c r="X144">
        <v>0</v>
      </c>
      <c r="Y144">
        <v>1</v>
      </c>
      <c r="AA144" t="s">
        <v>655</v>
      </c>
      <c r="AD144">
        <v>75.5</v>
      </c>
      <c r="AE144" t="b">
        <v>0</v>
      </c>
    </row>
    <row r="145" spans="1:31" x14ac:dyDescent="0.3">
      <c r="A145" t="s">
        <v>1017</v>
      </c>
      <c r="B145" t="s">
        <v>1018</v>
      </c>
      <c r="C145" t="b">
        <v>1</v>
      </c>
      <c r="D145" t="s">
        <v>168</v>
      </c>
      <c r="E145" t="s">
        <v>171</v>
      </c>
      <c r="F145" t="s">
        <v>172</v>
      </c>
      <c r="G145" t="s">
        <v>173</v>
      </c>
      <c r="H145" t="s">
        <v>172</v>
      </c>
      <c r="I145">
        <v>36</v>
      </c>
      <c r="J145" t="s">
        <v>6</v>
      </c>
      <c r="K145">
        <v>0</v>
      </c>
      <c r="L145" s="5" t="s">
        <v>654</v>
      </c>
      <c r="M145">
        <v>10967.32</v>
      </c>
      <c r="N145" t="s">
        <v>20</v>
      </c>
      <c r="O145" t="str">
        <f t="shared" si="18"/>
        <v>ng*h/mL</v>
      </c>
      <c r="T145" t="s">
        <v>169</v>
      </c>
      <c r="U145">
        <v>750</v>
      </c>
      <c r="V145" t="s">
        <v>22</v>
      </c>
      <c r="W145" t="s">
        <v>23</v>
      </c>
      <c r="X145">
        <v>0</v>
      </c>
      <c r="Y145">
        <v>1</v>
      </c>
      <c r="AA145" t="s">
        <v>655</v>
      </c>
      <c r="AD145">
        <v>73.400000000000006</v>
      </c>
    </row>
    <row r="146" spans="1:31" x14ac:dyDescent="0.3">
      <c r="A146" t="s">
        <v>1017</v>
      </c>
      <c r="B146" t="s">
        <v>1018</v>
      </c>
      <c r="C146" t="b">
        <v>1</v>
      </c>
      <c r="D146" t="s">
        <v>168</v>
      </c>
      <c r="E146" t="s">
        <v>171</v>
      </c>
      <c r="F146" t="s">
        <v>172</v>
      </c>
      <c r="G146" t="s">
        <v>173</v>
      </c>
      <c r="H146" t="s">
        <v>172</v>
      </c>
      <c r="I146">
        <v>36</v>
      </c>
      <c r="J146" t="s">
        <v>7</v>
      </c>
      <c r="K146">
        <v>0</v>
      </c>
      <c r="L146" s="5" t="s">
        <v>654</v>
      </c>
      <c r="M146">
        <v>4910.43</v>
      </c>
      <c r="N146" t="s">
        <v>21</v>
      </c>
      <c r="O146" t="str">
        <f t="shared" si="18"/>
        <v>nM</v>
      </c>
      <c r="R146">
        <v>1524.06</v>
      </c>
      <c r="S146" t="s">
        <v>661</v>
      </c>
      <c r="T146" t="s">
        <v>170</v>
      </c>
      <c r="U146">
        <v>750</v>
      </c>
      <c r="V146" t="s">
        <v>22</v>
      </c>
      <c r="W146" t="s">
        <v>23</v>
      </c>
      <c r="X146">
        <v>0</v>
      </c>
      <c r="Y146">
        <v>1</v>
      </c>
      <c r="AA146" t="s">
        <v>655</v>
      </c>
      <c r="AD146">
        <v>73.400000000000006</v>
      </c>
    </row>
    <row r="147" spans="1:31" x14ac:dyDescent="0.3">
      <c r="A147" t="s">
        <v>581</v>
      </c>
      <c r="B147" t="s">
        <v>699</v>
      </c>
      <c r="C147" t="b">
        <v>1</v>
      </c>
      <c r="D147" t="s">
        <v>174</v>
      </c>
      <c r="E147" t="s">
        <v>177</v>
      </c>
      <c r="F147" t="s">
        <v>178</v>
      </c>
      <c r="G147" t="s">
        <v>179</v>
      </c>
      <c r="H147" t="s">
        <v>178</v>
      </c>
      <c r="I147">
        <v>72</v>
      </c>
      <c r="J147" t="s">
        <v>6</v>
      </c>
      <c r="K147">
        <v>0</v>
      </c>
      <c r="L147" s="5" t="s">
        <v>654</v>
      </c>
      <c r="M147">
        <v>6050</v>
      </c>
      <c r="N147" t="s">
        <v>20</v>
      </c>
      <c r="O147" t="str">
        <f t="shared" si="18"/>
        <v>ng*h/mL</v>
      </c>
      <c r="T147" t="s">
        <v>175</v>
      </c>
      <c r="U147">
        <v>200</v>
      </c>
      <c r="V147" t="s">
        <v>22</v>
      </c>
      <c r="W147" t="s">
        <v>23</v>
      </c>
      <c r="X147">
        <v>0</v>
      </c>
      <c r="Y147">
        <v>1</v>
      </c>
      <c r="AA147" t="s">
        <v>655</v>
      </c>
      <c r="AD147">
        <v>78.599999999999994</v>
      </c>
      <c r="AE147" t="b">
        <v>0</v>
      </c>
    </row>
    <row r="148" spans="1:31" x14ac:dyDescent="0.3">
      <c r="A148" t="s">
        <v>581</v>
      </c>
      <c r="B148" t="s">
        <v>699</v>
      </c>
      <c r="C148" t="b">
        <v>1</v>
      </c>
      <c r="D148" t="s">
        <v>174</v>
      </c>
      <c r="E148" t="s">
        <v>177</v>
      </c>
      <c r="F148" t="s">
        <v>178</v>
      </c>
      <c r="G148" t="s">
        <v>179</v>
      </c>
      <c r="H148" t="s">
        <v>178</v>
      </c>
      <c r="I148">
        <v>72</v>
      </c>
      <c r="J148" t="s">
        <v>7</v>
      </c>
      <c r="K148">
        <v>0</v>
      </c>
      <c r="L148" s="5">
        <v>72</v>
      </c>
      <c r="M148">
        <v>1369.84</v>
      </c>
      <c r="N148" t="s">
        <v>21</v>
      </c>
      <c r="O148" t="str">
        <f t="shared" si="18"/>
        <v>nM</v>
      </c>
      <c r="R148">
        <v>731</v>
      </c>
      <c r="S148" t="s">
        <v>661</v>
      </c>
      <c r="T148" t="s">
        <v>176</v>
      </c>
      <c r="U148">
        <v>200</v>
      </c>
      <c r="V148" t="s">
        <v>22</v>
      </c>
      <c r="W148" t="s">
        <v>23</v>
      </c>
      <c r="X148">
        <v>0</v>
      </c>
      <c r="Y148">
        <v>1</v>
      </c>
      <c r="AA148" t="s">
        <v>655</v>
      </c>
      <c r="AD148">
        <v>78.599999999999994</v>
      </c>
      <c r="AE148" t="b">
        <v>0</v>
      </c>
    </row>
    <row r="149" spans="1:31" x14ac:dyDescent="0.3">
      <c r="A149" t="s">
        <v>1019</v>
      </c>
      <c r="B149" t="s">
        <v>1020</v>
      </c>
      <c r="C149" t="b">
        <v>1</v>
      </c>
      <c r="D149" t="s">
        <v>174</v>
      </c>
      <c r="E149" t="s">
        <v>177</v>
      </c>
      <c r="F149" t="s">
        <v>178</v>
      </c>
      <c r="G149" t="s">
        <v>179</v>
      </c>
      <c r="H149" t="s">
        <v>178</v>
      </c>
      <c r="I149">
        <v>72</v>
      </c>
      <c r="J149" t="s">
        <v>6</v>
      </c>
      <c r="K149">
        <v>0</v>
      </c>
      <c r="L149" s="5" t="s">
        <v>654</v>
      </c>
      <c r="M149">
        <v>11000</v>
      </c>
      <c r="N149" t="s">
        <v>20</v>
      </c>
      <c r="O149" t="str">
        <f t="shared" si="18"/>
        <v>ng*h/mL</v>
      </c>
      <c r="T149" t="s">
        <v>182</v>
      </c>
      <c r="U149">
        <v>250</v>
      </c>
      <c r="V149" t="s">
        <v>22</v>
      </c>
      <c r="W149" t="s">
        <v>23</v>
      </c>
      <c r="X149">
        <v>0</v>
      </c>
      <c r="Y149">
        <v>1</v>
      </c>
      <c r="AA149" t="s">
        <v>655</v>
      </c>
      <c r="AD149">
        <v>69.849999999999994</v>
      </c>
      <c r="AE149" t="b">
        <v>0</v>
      </c>
    </row>
    <row r="150" spans="1:31" x14ac:dyDescent="0.3">
      <c r="A150" t="s">
        <v>1019</v>
      </c>
      <c r="B150" t="s">
        <v>1020</v>
      </c>
      <c r="C150" t="b">
        <v>1</v>
      </c>
      <c r="D150" t="s">
        <v>174</v>
      </c>
      <c r="E150" t="s">
        <v>177</v>
      </c>
      <c r="F150" t="s">
        <v>178</v>
      </c>
      <c r="G150" t="s">
        <v>179</v>
      </c>
      <c r="H150" t="s">
        <v>178</v>
      </c>
      <c r="I150">
        <v>72</v>
      </c>
      <c r="J150" t="s">
        <v>7</v>
      </c>
      <c r="K150">
        <v>0</v>
      </c>
      <c r="L150" s="5">
        <v>72</v>
      </c>
      <c r="M150">
        <v>1843.94</v>
      </c>
      <c r="N150" t="s">
        <v>21</v>
      </c>
      <c r="O150" t="str">
        <f t="shared" si="18"/>
        <v>nM</v>
      </c>
      <c r="R150">
        <v>984</v>
      </c>
      <c r="S150" t="s">
        <v>661</v>
      </c>
      <c r="T150" t="s">
        <v>183</v>
      </c>
      <c r="U150">
        <v>250</v>
      </c>
      <c r="V150" t="s">
        <v>22</v>
      </c>
      <c r="W150" t="s">
        <v>23</v>
      </c>
      <c r="X150">
        <v>0</v>
      </c>
      <c r="Y150">
        <v>1</v>
      </c>
      <c r="AA150" t="s">
        <v>655</v>
      </c>
      <c r="AD150">
        <v>69.849999999999994</v>
      </c>
      <c r="AE150" t="b">
        <v>0</v>
      </c>
    </row>
    <row r="151" spans="1:31" x14ac:dyDescent="0.3">
      <c r="A151" t="s">
        <v>582</v>
      </c>
      <c r="B151" t="s">
        <v>700</v>
      </c>
      <c r="C151" t="b">
        <v>1</v>
      </c>
      <c r="D151" t="s">
        <v>174</v>
      </c>
      <c r="E151" t="s">
        <v>177</v>
      </c>
      <c r="F151" t="s">
        <v>178</v>
      </c>
      <c r="G151" t="s">
        <v>179</v>
      </c>
      <c r="H151" t="s">
        <v>178</v>
      </c>
      <c r="I151">
        <v>72</v>
      </c>
      <c r="J151" t="s">
        <v>6</v>
      </c>
      <c r="K151">
        <v>0</v>
      </c>
      <c r="L151" s="5" t="s">
        <v>654</v>
      </c>
      <c r="M151">
        <v>10100</v>
      </c>
      <c r="N151" t="s">
        <v>20</v>
      </c>
      <c r="O151" t="str">
        <f t="shared" si="18"/>
        <v>ng*h/mL</v>
      </c>
      <c r="T151" t="s">
        <v>180</v>
      </c>
      <c r="U151">
        <v>300</v>
      </c>
      <c r="V151" t="s">
        <v>22</v>
      </c>
      <c r="W151" t="s">
        <v>23</v>
      </c>
      <c r="X151">
        <v>0</v>
      </c>
      <c r="Y151">
        <v>1</v>
      </c>
      <c r="AA151" t="s">
        <v>655</v>
      </c>
      <c r="AD151">
        <v>83.85</v>
      </c>
      <c r="AE151" t="b">
        <v>0</v>
      </c>
    </row>
    <row r="152" spans="1:31" x14ac:dyDescent="0.3">
      <c r="A152" t="s">
        <v>582</v>
      </c>
      <c r="B152" t="s">
        <v>700</v>
      </c>
      <c r="C152" t="b">
        <v>1</v>
      </c>
      <c r="D152" t="s">
        <v>174</v>
      </c>
      <c r="E152" t="s">
        <v>177</v>
      </c>
      <c r="F152" t="s">
        <v>178</v>
      </c>
      <c r="G152" t="s">
        <v>179</v>
      </c>
      <c r="H152" t="s">
        <v>178</v>
      </c>
      <c r="I152">
        <v>72</v>
      </c>
      <c r="J152" t="s">
        <v>7</v>
      </c>
      <c r="K152">
        <v>0</v>
      </c>
      <c r="L152" s="5">
        <v>72</v>
      </c>
      <c r="M152">
        <v>2117.5300000000002</v>
      </c>
      <c r="N152" t="s">
        <v>21</v>
      </c>
      <c r="O152" t="str">
        <f t="shared" si="18"/>
        <v>nM</v>
      </c>
      <c r="R152">
        <v>1130</v>
      </c>
      <c r="S152" t="s">
        <v>661</v>
      </c>
      <c r="T152" t="s">
        <v>181</v>
      </c>
      <c r="U152">
        <v>300</v>
      </c>
      <c r="V152" t="s">
        <v>22</v>
      </c>
      <c r="W152" t="s">
        <v>23</v>
      </c>
      <c r="X152">
        <v>0</v>
      </c>
      <c r="Y152">
        <v>1</v>
      </c>
      <c r="AA152" t="s">
        <v>655</v>
      </c>
      <c r="AD152">
        <v>83.85</v>
      </c>
      <c r="AE152" t="b">
        <v>0</v>
      </c>
    </row>
    <row r="153" spans="1:31" x14ac:dyDescent="0.3">
      <c r="A153" t="s">
        <v>583</v>
      </c>
      <c r="B153" t="s">
        <v>701</v>
      </c>
      <c r="C153" t="b">
        <v>1</v>
      </c>
      <c r="D153" t="s">
        <v>174</v>
      </c>
      <c r="E153" t="s">
        <v>177</v>
      </c>
      <c r="F153" t="s">
        <v>178</v>
      </c>
      <c r="G153" t="s">
        <v>179</v>
      </c>
      <c r="H153" t="s">
        <v>178</v>
      </c>
      <c r="I153">
        <v>24</v>
      </c>
      <c r="J153" t="s">
        <v>6</v>
      </c>
      <c r="K153">
        <v>0</v>
      </c>
      <c r="L153" s="5">
        <v>24</v>
      </c>
      <c r="M153">
        <v>3260</v>
      </c>
      <c r="N153" t="s">
        <v>20</v>
      </c>
      <c r="O153" t="str">
        <f t="shared" si="18"/>
        <v>ng*h/mL</v>
      </c>
      <c r="T153" t="s">
        <v>816</v>
      </c>
      <c r="U153">
        <v>150</v>
      </c>
      <c r="V153" t="s">
        <v>22</v>
      </c>
      <c r="W153" t="s">
        <v>23</v>
      </c>
      <c r="X153">
        <v>0</v>
      </c>
      <c r="Y153">
        <v>1</v>
      </c>
      <c r="AA153" t="s">
        <v>655</v>
      </c>
      <c r="AD153">
        <v>78.599999999999994</v>
      </c>
      <c r="AE153" t="b">
        <v>0</v>
      </c>
    </row>
    <row r="154" spans="1:31" x14ac:dyDescent="0.3">
      <c r="A154" t="s">
        <v>583</v>
      </c>
      <c r="B154" t="s">
        <v>701</v>
      </c>
      <c r="C154" t="b">
        <v>1</v>
      </c>
      <c r="D154" t="s">
        <v>174</v>
      </c>
      <c r="E154" t="s">
        <v>177</v>
      </c>
      <c r="F154" t="s">
        <v>178</v>
      </c>
      <c r="G154" t="s">
        <v>179</v>
      </c>
      <c r="H154" t="s">
        <v>178</v>
      </c>
      <c r="I154">
        <v>24</v>
      </c>
      <c r="J154" t="s">
        <v>7</v>
      </c>
      <c r="K154">
        <v>0</v>
      </c>
      <c r="L154" s="5">
        <v>24</v>
      </c>
      <c r="M154">
        <v>888.24</v>
      </c>
      <c r="N154" t="s">
        <v>21</v>
      </c>
      <c r="O154" t="str">
        <f t="shared" si="18"/>
        <v>nM</v>
      </c>
      <c r="R154">
        <v>474</v>
      </c>
      <c r="S154" t="s">
        <v>661</v>
      </c>
      <c r="T154" t="s">
        <v>818</v>
      </c>
      <c r="U154">
        <v>150</v>
      </c>
      <c r="V154" t="s">
        <v>22</v>
      </c>
      <c r="W154" t="s">
        <v>23</v>
      </c>
      <c r="X154">
        <v>0</v>
      </c>
      <c r="Y154">
        <v>1</v>
      </c>
      <c r="AA154" t="s">
        <v>655</v>
      </c>
      <c r="AD154">
        <v>78.599999999999994</v>
      </c>
      <c r="AE154" t="b">
        <v>0</v>
      </c>
    </row>
    <row r="155" spans="1:31" x14ac:dyDescent="0.3">
      <c r="A155" t="s">
        <v>584</v>
      </c>
      <c r="B155" t="s">
        <v>702</v>
      </c>
      <c r="C155" t="b">
        <v>1</v>
      </c>
      <c r="D155" t="s">
        <v>174</v>
      </c>
      <c r="E155" t="s">
        <v>177</v>
      </c>
      <c r="F155" t="s">
        <v>178</v>
      </c>
      <c r="G155" t="s">
        <v>179</v>
      </c>
      <c r="H155" t="s">
        <v>178</v>
      </c>
      <c r="I155">
        <v>24</v>
      </c>
      <c r="J155" t="s">
        <v>6</v>
      </c>
      <c r="K155">
        <v>0</v>
      </c>
      <c r="L155" s="5">
        <v>24</v>
      </c>
      <c r="M155">
        <v>5390</v>
      </c>
      <c r="N155" t="s">
        <v>20</v>
      </c>
      <c r="O155" t="str">
        <f t="shared" si="18"/>
        <v>ng*h/mL</v>
      </c>
      <c r="T155" t="s">
        <v>815</v>
      </c>
      <c r="U155">
        <v>200</v>
      </c>
      <c r="V155" t="s">
        <v>22</v>
      </c>
      <c r="W155" t="s">
        <v>23</v>
      </c>
      <c r="X155">
        <v>0</v>
      </c>
      <c r="Y155">
        <v>1</v>
      </c>
      <c r="AA155" t="s">
        <v>655</v>
      </c>
      <c r="AD155">
        <v>69.849999999999994</v>
      </c>
      <c r="AE155" t="b">
        <v>0</v>
      </c>
    </row>
    <row r="156" spans="1:31" x14ac:dyDescent="0.3">
      <c r="A156" t="s">
        <v>584</v>
      </c>
      <c r="B156" t="s">
        <v>702</v>
      </c>
      <c r="C156" t="b">
        <v>1</v>
      </c>
      <c r="D156" t="s">
        <v>174</v>
      </c>
      <c r="E156" t="s">
        <v>177</v>
      </c>
      <c r="F156" t="s">
        <v>178</v>
      </c>
      <c r="G156" t="s">
        <v>179</v>
      </c>
      <c r="H156" t="s">
        <v>178</v>
      </c>
      <c r="I156">
        <v>24</v>
      </c>
      <c r="J156" t="s">
        <v>7</v>
      </c>
      <c r="K156">
        <v>0</v>
      </c>
      <c r="L156" s="5">
        <v>24</v>
      </c>
      <c r="M156">
        <v>1570.35</v>
      </c>
      <c r="N156" t="s">
        <v>21</v>
      </c>
      <c r="O156" t="str">
        <f t="shared" si="18"/>
        <v>nM</v>
      </c>
      <c r="R156">
        <v>838</v>
      </c>
      <c r="S156" t="s">
        <v>661</v>
      </c>
      <c r="T156" t="s">
        <v>819</v>
      </c>
      <c r="U156">
        <v>200</v>
      </c>
      <c r="V156" t="s">
        <v>22</v>
      </c>
      <c r="W156" t="s">
        <v>23</v>
      </c>
      <c r="X156">
        <v>0</v>
      </c>
      <c r="Y156">
        <v>1</v>
      </c>
      <c r="AA156" t="s">
        <v>655</v>
      </c>
      <c r="AD156">
        <v>69.849999999999994</v>
      </c>
      <c r="AE156" t="b">
        <v>0</v>
      </c>
    </row>
    <row r="157" spans="1:31" x14ac:dyDescent="0.3">
      <c r="A157" t="s">
        <v>585</v>
      </c>
      <c r="B157" t="s">
        <v>703</v>
      </c>
      <c r="C157" t="b">
        <v>1</v>
      </c>
      <c r="D157" t="s">
        <v>174</v>
      </c>
      <c r="E157" t="s">
        <v>177</v>
      </c>
      <c r="F157" t="s">
        <v>178</v>
      </c>
      <c r="G157" t="s">
        <v>179</v>
      </c>
      <c r="H157" t="s">
        <v>178</v>
      </c>
      <c r="I157">
        <v>24</v>
      </c>
      <c r="J157" t="s">
        <v>6</v>
      </c>
      <c r="K157">
        <v>0</v>
      </c>
      <c r="L157" s="5">
        <v>24</v>
      </c>
      <c r="M157">
        <v>5050</v>
      </c>
      <c r="N157" t="s">
        <v>20</v>
      </c>
      <c r="O157" t="str">
        <f t="shared" si="18"/>
        <v>ng*h/mL</v>
      </c>
      <c r="T157" t="s">
        <v>817</v>
      </c>
      <c r="U157">
        <v>250</v>
      </c>
      <c r="V157" t="s">
        <v>22</v>
      </c>
      <c r="W157" t="s">
        <v>23</v>
      </c>
      <c r="X157">
        <v>0</v>
      </c>
      <c r="Y157">
        <v>1</v>
      </c>
      <c r="AA157" t="s">
        <v>655</v>
      </c>
      <c r="AD157">
        <v>83.85</v>
      </c>
      <c r="AE157" t="b">
        <v>0</v>
      </c>
    </row>
    <row r="158" spans="1:31" x14ac:dyDescent="0.3">
      <c r="A158" t="s">
        <v>585</v>
      </c>
      <c r="B158" t="s">
        <v>703</v>
      </c>
      <c r="C158" t="b">
        <v>1</v>
      </c>
      <c r="D158" t="s">
        <v>174</v>
      </c>
      <c r="E158" t="s">
        <v>177</v>
      </c>
      <c r="F158" t="s">
        <v>178</v>
      </c>
      <c r="G158" t="s">
        <v>179</v>
      </c>
      <c r="H158" t="s">
        <v>178</v>
      </c>
      <c r="I158">
        <v>24</v>
      </c>
      <c r="J158" t="s">
        <v>7</v>
      </c>
      <c r="K158">
        <v>0</v>
      </c>
      <c r="L158" s="5">
        <v>24</v>
      </c>
      <c r="M158">
        <v>1482.27</v>
      </c>
      <c r="N158" t="s">
        <v>21</v>
      </c>
      <c r="O158" t="str">
        <f t="shared" si="18"/>
        <v>nM</v>
      </c>
      <c r="R158">
        <v>791</v>
      </c>
      <c r="S158" t="s">
        <v>661</v>
      </c>
      <c r="T158" t="s">
        <v>820</v>
      </c>
      <c r="U158">
        <v>250</v>
      </c>
      <c r="V158" t="s">
        <v>22</v>
      </c>
      <c r="W158" t="s">
        <v>23</v>
      </c>
      <c r="X158">
        <v>0</v>
      </c>
      <c r="Y158">
        <v>1</v>
      </c>
      <c r="AA158" t="s">
        <v>655</v>
      </c>
      <c r="AD158">
        <v>83.85</v>
      </c>
      <c r="AE158" t="b">
        <v>0</v>
      </c>
    </row>
    <row r="159" spans="1:31" x14ac:dyDescent="0.3">
      <c r="A159" t="s">
        <v>586</v>
      </c>
      <c r="B159" t="s">
        <v>704</v>
      </c>
      <c r="C159" t="b">
        <v>1</v>
      </c>
      <c r="D159" t="s">
        <v>174</v>
      </c>
      <c r="E159" t="s">
        <v>177</v>
      </c>
      <c r="F159" t="s">
        <v>178</v>
      </c>
      <c r="G159" t="s">
        <v>179</v>
      </c>
      <c r="H159" t="s">
        <v>178</v>
      </c>
      <c r="I159">
        <f>6*24+72</f>
        <v>216</v>
      </c>
      <c r="J159" t="s">
        <v>6</v>
      </c>
      <c r="K159">
        <f>6*24</f>
        <v>144</v>
      </c>
      <c r="L159" s="5">
        <f>7*24</f>
        <v>168</v>
      </c>
      <c r="M159">
        <v>6060</v>
      </c>
      <c r="N159" t="s">
        <v>20</v>
      </c>
      <c r="O159" t="str">
        <f t="shared" si="18"/>
        <v>ng*h/mL</v>
      </c>
      <c r="T159" t="s">
        <v>821</v>
      </c>
      <c r="U159">
        <v>150</v>
      </c>
      <c r="V159" t="s">
        <v>22</v>
      </c>
      <c r="W159" t="s">
        <v>23</v>
      </c>
      <c r="X159">
        <v>0</v>
      </c>
      <c r="Y159">
        <v>7</v>
      </c>
      <c r="Z159">
        <v>24</v>
      </c>
      <c r="AA159" t="s">
        <v>655</v>
      </c>
      <c r="AD159">
        <v>78.599999999999994</v>
      </c>
      <c r="AE159" t="b">
        <v>0</v>
      </c>
    </row>
    <row r="160" spans="1:31" x14ac:dyDescent="0.3">
      <c r="A160" t="s">
        <v>586</v>
      </c>
      <c r="B160" t="s">
        <v>704</v>
      </c>
      <c r="C160" t="b">
        <v>1</v>
      </c>
      <c r="D160" t="s">
        <v>174</v>
      </c>
      <c r="E160" t="s">
        <v>177</v>
      </c>
      <c r="F160" t="s">
        <v>178</v>
      </c>
      <c r="G160" t="s">
        <v>179</v>
      </c>
      <c r="H160" t="s">
        <v>178</v>
      </c>
      <c r="I160">
        <f t="shared" ref="I160:I164" si="19">6*24+72</f>
        <v>216</v>
      </c>
      <c r="J160" t="s">
        <v>7</v>
      </c>
      <c r="K160">
        <f>6*24</f>
        <v>144</v>
      </c>
      <c r="L160" s="5">
        <f>7*24</f>
        <v>168</v>
      </c>
      <c r="M160">
        <v>1216.18</v>
      </c>
      <c r="N160" t="s">
        <v>21</v>
      </c>
      <c r="O160" t="str">
        <f t="shared" si="18"/>
        <v>nM</v>
      </c>
      <c r="R160">
        <v>649</v>
      </c>
      <c r="S160" t="s">
        <v>661</v>
      </c>
      <c r="T160" t="s">
        <v>823</v>
      </c>
      <c r="U160">
        <v>150</v>
      </c>
      <c r="V160" t="s">
        <v>22</v>
      </c>
      <c r="W160" t="s">
        <v>23</v>
      </c>
      <c r="X160">
        <v>0</v>
      </c>
      <c r="Y160">
        <v>7</v>
      </c>
      <c r="Z160">
        <v>24</v>
      </c>
      <c r="AA160" t="s">
        <v>655</v>
      </c>
      <c r="AD160">
        <v>78.599999999999994</v>
      </c>
      <c r="AE160" t="b">
        <v>0</v>
      </c>
    </row>
    <row r="161" spans="1:31" x14ac:dyDescent="0.3">
      <c r="A161" t="s">
        <v>587</v>
      </c>
      <c r="B161" t="s">
        <v>705</v>
      </c>
      <c r="C161" t="b">
        <v>1</v>
      </c>
      <c r="D161" t="s">
        <v>174</v>
      </c>
      <c r="E161" t="s">
        <v>177</v>
      </c>
      <c r="F161" t="s">
        <v>178</v>
      </c>
      <c r="G161" t="s">
        <v>179</v>
      </c>
      <c r="H161" t="s">
        <v>178</v>
      </c>
      <c r="I161">
        <f t="shared" si="19"/>
        <v>216</v>
      </c>
      <c r="J161" t="s">
        <v>6</v>
      </c>
      <c r="K161">
        <f>6*24</f>
        <v>144</v>
      </c>
      <c r="L161" s="5">
        <f>7*24</f>
        <v>168</v>
      </c>
      <c r="M161">
        <v>8140</v>
      </c>
      <c r="N161" t="s">
        <v>20</v>
      </c>
      <c r="O161" t="str">
        <f t="shared" si="18"/>
        <v>ng*h/mL</v>
      </c>
      <c r="T161" t="s">
        <v>822</v>
      </c>
      <c r="U161">
        <v>200</v>
      </c>
      <c r="V161" t="s">
        <v>22</v>
      </c>
      <c r="W161" t="s">
        <v>23</v>
      </c>
      <c r="X161">
        <v>0</v>
      </c>
      <c r="Y161">
        <v>7</v>
      </c>
      <c r="Z161">
        <v>24</v>
      </c>
      <c r="AA161" t="s">
        <v>655</v>
      </c>
      <c r="AD161">
        <v>69.849999999999994</v>
      </c>
      <c r="AE161" t="b">
        <v>0</v>
      </c>
    </row>
    <row r="162" spans="1:31" x14ac:dyDescent="0.3">
      <c r="A162" t="s">
        <v>587</v>
      </c>
      <c r="B162" t="s">
        <v>705</v>
      </c>
      <c r="C162" t="b">
        <v>1</v>
      </c>
      <c r="D162" t="s">
        <v>174</v>
      </c>
      <c r="E162" t="s">
        <v>177</v>
      </c>
      <c r="F162" t="s">
        <v>178</v>
      </c>
      <c r="G162" t="s">
        <v>179</v>
      </c>
      <c r="H162" t="s">
        <v>178</v>
      </c>
      <c r="I162">
        <f t="shared" si="19"/>
        <v>216</v>
      </c>
      <c r="J162" t="s">
        <v>7</v>
      </c>
      <c r="K162">
        <f t="shared" ref="K162:K164" si="20">6*24</f>
        <v>144</v>
      </c>
      <c r="L162" s="5">
        <f t="shared" ref="L162:L164" si="21">7*24</f>
        <v>168</v>
      </c>
      <c r="M162">
        <v>1778.35</v>
      </c>
      <c r="N162" t="s">
        <v>21</v>
      </c>
      <c r="O162" t="str">
        <f t="shared" si="18"/>
        <v>nM</v>
      </c>
      <c r="R162">
        <v>949</v>
      </c>
      <c r="S162" t="s">
        <v>661</v>
      </c>
      <c r="T162" t="s">
        <v>824</v>
      </c>
      <c r="U162">
        <v>200</v>
      </c>
      <c r="V162" t="s">
        <v>22</v>
      </c>
      <c r="W162" t="s">
        <v>23</v>
      </c>
      <c r="X162">
        <v>0</v>
      </c>
      <c r="Y162">
        <v>7</v>
      </c>
      <c r="Z162">
        <v>24</v>
      </c>
      <c r="AA162" t="s">
        <v>655</v>
      </c>
      <c r="AD162">
        <v>69.849999999999994</v>
      </c>
      <c r="AE162" t="b">
        <v>0</v>
      </c>
    </row>
    <row r="163" spans="1:31" x14ac:dyDescent="0.3">
      <c r="A163" t="s">
        <v>588</v>
      </c>
      <c r="B163" t="s">
        <v>706</v>
      </c>
      <c r="C163" t="b">
        <v>1</v>
      </c>
      <c r="D163" t="s">
        <v>174</v>
      </c>
      <c r="E163" t="s">
        <v>177</v>
      </c>
      <c r="F163" t="s">
        <v>178</v>
      </c>
      <c r="G163" t="s">
        <v>179</v>
      </c>
      <c r="H163" t="s">
        <v>178</v>
      </c>
      <c r="I163">
        <f t="shared" si="19"/>
        <v>216</v>
      </c>
      <c r="J163" t="s">
        <v>6</v>
      </c>
      <c r="K163">
        <f t="shared" si="20"/>
        <v>144</v>
      </c>
      <c r="L163" s="5">
        <f t="shared" si="21"/>
        <v>168</v>
      </c>
      <c r="M163">
        <v>8750</v>
      </c>
      <c r="N163" t="s">
        <v>20</v>
      </c>
      <c r="O163" t="str">
        <f t="shared" si="18"/>
        <v>ng*h/mL</v>
      </c>
      <c r="T163" t="s">
        <v>825</v>
      </c>
      <c r="U163">
        <v>250</v>
      </c>
      <c r="V163" t="s">
        <v>22</v>
      </c>
      <c r="W163" t="s">
        <v>23</v>
      </c>
      <c r="X163">
        <v>0</v>
      </c>
      <c r="Y163">
        <v>7</v>
      </c>
      <c r="Z163">
        <v>24</v>
      </c>
      <c r="AA163" t="s">
        <v>655</v>
      </c>
      <c r="AD163">
        <v>83.85</v>
      </c>
      <c r="AE163" t="b">
        <v>0</v>
      </c>
    </row>
    <row r="164" spans="1:31" x14ac:dyDescent="0.3">
      <c r="A164" t="s">
        <v>588</v>
      </c>
      <c r="B164" t="s">
        <v>706</v>
      </c>
      <c r="C164" t="b">
        <v>1</v>
      </c>
      <c r="D164" t="s">
        <v>174</v>
      </c>
      <c r="E164" t="s">
        <v>177</v>
      </c>
      <c r="F164" t="s">
        <v>178</v>
      </c>
      <c r="G164" t="s">
        <v>179</v>
      </c>
      <c r="H164" t="s">
        <v>178</v>
      </c>
      <c r="I164">
        <f t="shared" si="19"/>
        <v>216</v>
      </c>
      <c r="J164" t="s">
        <v>7</v>
      </c>
      <c r="K164">
        <f t="shared" si="20"/>
        <v>144</v>
      </c>
      <c r="L164" s="5">
        <f t="shared" si="21"/>
        <v>168</v>
      </c>
      <c r="M164">
        <v>1948.88</v>
      </c>
      <c r="N164" t="s">
        <v>21</v>
      </c>
      <c r="O164" t="str">
        <f t="shared" si="18"/>
        <v>nM</v>
      </c>
      <c r="R164">
        <v>1040</v>
      </c>
      <c r="S164" t="s">
        <v>661</v>
      </c>
      <c r="T164" t="s">
        <v>826</v>
      </c>
      <c r="U164">
        <v>250</v>
      </c>
      <c r="V164" t="s">
        <v>22</v>
      </c>
      <c r="W164" t="s">
        <v>23</v>
      </c>
      <c r="X164">
        <v>0</v>
      </c>
      <c r="Y164">
        <v>7</v>
      </c>
      <c r="Z164">
        <v>24</v>
      </c>
      <c r="AA164" t="s">
        <v>655</v>
      </c>
      <c r="AD164">
        <v>83.85</v>
      </c>
      <c r="AE164" t="b">
        <v>0</v>
      </c>
    </row>
    <row r="165" spans="1:31" x14ac:dyDescent="0.3">
      <c r="A165" t="s">
        <v>589</v>
      </c>
      <c r="B165" t="s">
        <v>707</v>
      </c>
      <c r="C165" t="b">
        <v>1</v>
      </c>
      <c r="D165" t="s">
        <v>184</v>
      </c>
      <c r="E165" t="s">
        <v>187</v>
      </c>
      <c r="F165" t="s">
        <v>188</v>
      </c>
      <c r="G165" t="s">
        <v>189</v>
      </c>
      <c r="H165" t="s">
        <v>188</v>
      </c>
      <c r="I165">
        <v>48</v>
      </c>
      <c r="J165" t="s">
        <v>6</v>
      </c>
      <c r="K165">
        <v>0</v>
      </c>
      <c r="L165" s="5" t="s">
        <v>654</v>
      </c>
      <c r="M165">
        <v>10168.33</v>
      </c>
      <c r="N165" t="s">
        <v>20</v>
      </c>
      <c r="O165" t="str">
        <f t="shared" si="18"/>
        <v>ng*h/mL</v>
      </c>
      <c r="R165">
        <v>22.88</v>
      </c>
      <c r="S165" t="s">
        <v>789</v>
      </c>
      <c r="T165" t="s">
        <v>185</v>
      </c>
      <c r="U165">
        <v>400</v>
      </c>
      <c r="V165" t="s">
        <v>22</v>
      </c>
      <c r="W165" t="s">
        <v>23</v>
      </c>
      <c r="X165">
        <v>0</v>
      </c>
      <c r="Y165">
        <v>1</v>
      </c>
      <c r="AA165" t="s">
        <v>655</v>
      </c>
      <c r="AD165">
        <v>79.599999999999994</v>
      </c>
      <c r="AE165" t="b">
        <v>0</v>
      </c>
    </row>
    <row r="166" spans="1:31" x14ac:dyDescent="0.3">
      <c r="A166" t="s">
        <v>589</v>
      </c>
      <c r="B166" t="s">
        <v>707</v>
      </c>
      <c r="C166" t="b">
        <v>1</v>
      </c>
      <c r="D166" t="s">
        <v>184</v>
      </c>
      <c r="E166" t="s">
        <v>187</v>
      </c>
      <c r="F166" t="s">
        <v>188</v>
      </c>
      <c r="G166" t="s">
        <v>189</v>
      </c>
      <c r="H166" t="s">
        <v>188</v>
      </c>
      <c r="I166">
        <v>48</v>
      </c>
      <c r="J166" t="s">
        <v>828</v>
      </c>
      <c r="K166">
        <v>12</v>
      </c>
      <c r="L166" s="5">
        <v>12</v>
      </c>
      <c r="M166">
        <v>77.099999999999994</v>
      </c>
      <c r="N166" t="s">
        <v>21</v>
      </c>
      <c r="O166" t="str">
        <f t="shared" si="18"/>
        <v>nM</v>
      </c>
      <c r="T166" t="s">
        <v>827</v>
      </c>
      <c r="U166">
        <v>400</v>
      </c>
      <c r="V166" t="s">
        <v>22</v>
      </c>
      <c r="W166" t="s">
        <v>23</v>
      </c>
      <c r="X166">
        <v>0</v>
      </c>
      <c r="Y166">
        <v>1</v>
      </c>
      <c r="AA166" t="s">
        <v>655</v>
      </c>
      <c r="AD166">
        <v>79.599999999999994</v>
      </c>
      <c r="AE166" t="b">
        <v>0</v>
      </c>
    </row>
    <row r="167" spans="1:31" x14ac:dyDescent="0.3">
      <c r="A167" t="s">
        <v>589</v>
      </c>
      <c r="B167" t="s">
        <v>707</v>
      </c>
      <c r="C167" t="b">
        <v>1</v>
      </c>
      <c r="D167" t="s">
        <v>184</v>
      </c>
      <c r="E167" t="s">
        <v>187</v>
      </c>
      <c r="F167" t="s">
        <v>188</v>
      </c>
      <c r="G167" t="s">
        <v>189</v>
      </c>
      <c r="H167" t="s">
        <v>188</v>
      </c>
      <c r="I167">
        <v>48</v>
      </c>
      <c r="J167" t="s">
        <v>7</v>
      </c>
      <c r="K167">
        <v>0</v>
      </c>
      <c r="L167" s="5">
        <v>48</v>
      </c>
      <c r="M167">
        <v>9570</v>
      </c>
      <c r="N167" t="s">
        <v>21</v>
      </c>
      <c r="O167" t="str">
        <f t="shared" si="18"/>
        <v>nM</v>
      </c>
      <c r="T167" t="s">
        <v>186</v>
      </c>
      <c r="U167">
        <v>400</v>
      </c>
      <c r="V167" t="s">
        <v>22</v>
      </c>
      <c r="W167" t="s">
        <v>23</v>
      </c>
      <c r="X167">
        <v>0</v>
      </c>
      <c r="Y167">
        <v>1</v>
      </c>
      <c r="AA167" t="s">
        <v>655</v>
      </c>
      <c r="AD167">
        <v>79.599999999999994</v>
      </c>
      <c r="AE167" t="b">
        <v>0</v>
      </c>
    </row>
    <row r="168" spans="1:31" x14ac:dyDescent="0.3">
      <c r="A168" t="s">
        <v>590</v>
      </c>
      <c r="B168" t="s">
        <v>708</v>
      </c>
      <c r="C168" t="b">
        <v>1</v>
      </c>
      <c r="D168" t="s">
        <v>184</v>
      </c>
      <c r="E168" t="s">
        <v>187</v>
      </c>
      <c r="F168" t="s">
        <v>188</v>
      </c>
      <c r="G168" t="s">
        <v>189</v>
      </c>
      <c r="H168" t="s">
        <v>188</v>
      </c>
      <c r="I168">
        <v>48</v>
      </c>
      <c r="J168" t="s">
        <v>6</v>
      </c>
      <c r="K168">
        <v>0</v>
      </c>
      <c r="L168" s="5" t="s">
        <v>654</v>
      </c>
      <c r="M168">
        <v>12510.42</v>
      </c>
      <c r="N168" t="s">
        <v>20</v>
      </c>
      <c r="O168" t="str">
        <f t="shared" si="18"/>
        <v>ng*h/mL</v>
      </c>
      <c r="R168">
        <v>28.15</v>
      </c>
      <c r="S168" t="s">
        <v>789</v>
      </c>
      <c r="T168" t="s">
        <v>185</v>
      </c>
      <c r="U168">
        <v>400</v>
      </c>
      <c r="V168" t="s">
        <v>22</v>
      </c>
      <c r="W168" t="s">
        <v>23</v>
      </c>
      <c r="X168">
        <v>0</v>
      </c>
      <c r="Y168">
        <v>1</v>
      </c>
      <c r="AA168" t="s">
        <v>655</v>
      </c>
      <c r="AD168">
        <v>79.599999999999994</v>
      </c>
      <c r="AE168" t="b">
        <v>0</v>
      </c>
    </row>
    <row r="169" spans="1:31" x14ac:dyDescent="0.3">
      <c r="A169" t="s">
        <v>590</v>
      </c>
      <c r="B169" t="s">
        <v>708</v>
      </c>
      <c r="C169" t="b">
        <v>1</v>
      </c>
      <c r="D169" t="s">
        <v>184</v>
      </c>
      <c r="E169" t="s">
        <v>187</v>
      </c>
      <c r="F169" t="s">
        <v>188</v>
      </c>
      <c r="G169" t="s">
        <v>189</v>
      </c>
      <c r="H169" t="s">
        <v>188</v>
      </c>
      <c r="I169">
        <v>48</v>
      </c>
      <c r="J169" t="s">
        <v>828</v>
      </c>
      <c r="K169">
        <v>12</v>
      </c>
      <c r="L169" s="5">
        <v>12</v>
      </c>
      <c r="M169">
        <v>79.099999999999994</v>
      </c>
      <c r="N169" t="s">
        <v>21</v>
      </c>
      <c r="O169" t="str">
        <f t="shared" si="18"/>
        <v>nM</v>
      </c>
      <c r="T169" t="s">
        <v>827</v>
      </c>
      <c r="U169">
        <v>400</v>
      </c>
      <c r="V169" t="s">
        <v>22</v>
      </c>
      <c r="W169" t="s">
        <v>23</v>
      </c>
      <c r="X169">
        <v>0</v>
      </c>
      <c r="Y169">
        <v>1</v>
      </c>
      <c r="AA169" t="s">
        <v>655</v>
      </c>
      <c r="AD169">
        <v>79.599999999999994</v>
      </c>
      <c r="AE169" t="b">
        <v>0</v>
      </c>
    </row>
    <row r="170" spans="1:31" x14ac:dyDescent="0.3">
      <c r="A170" t="s">
        <v>590</v>
      </c>
      <c r="B170" t="s">
        <v>708</v>
      </c>
      <c r="C170" t="b">
        <v>1</v>
      </c>
      <c r="D170" t="s">
        <v>184</v>
      </c>
      <c r="E170" t="s">
        <v>187</v>
      </c>
      <c r="F170" t="s">
        <v>188</v>
      </c>
      <c r="G170" t="s">
        <v>189</v>
      </c>
      <c r="H170" t="s">
        <v>188</v>
      </c>
      <c r="I170">
        <v>48</v>
      </c>
      <c r="J170" t="s">
        <v>7</v>
      </c>
      <c r="K170">
        <v>0</v>
      </c>
      <c r="L170" s="5">
        <v>48</v>
      </c>
      <c r="M170">
        <v>10130</v>
      </c>
      <c r="N170" t="s">
        <v>21</v>
      </c>
      <c r="O170" t="str">
        <f t="shared" si="18"/>
        <v>nM</v>
      </c>
      <c r="T170" t="s">
        <v>186</v>
      </c>
      <c r="U170">
        <v>400</v>
      </c>
      <c r="V170" t="s">
        <v>22</v>
      </c>
      <c r="W170" t="s">
        <v>23</v>
      </c>
      <c r="X170">
        <v>0</v>
      </c>
      <c r="Y170">
        <v>1</v>
      </c>
      <c r="AA170" t="s">
        <v>655</v>
      </c>
      <c r="AD170">
        <v>79.599999999999994</v>
      </c>
      <c r="AE170" t="b">
        <v>0</v>
      </c>
    </row>
    <row r="171" spans="1:31" x14ac:dyDescent="0.3">
      <c r="A171" t="s">
        <v>591</v>
      </c>
      <c r="B171" t="s">
        <v>709</v>
      </c>
      <c r="C171" t="b">
        <v>1</v>
      </c>
      <c r="D171" t="s">
        <v>190</v>
      </c>
      <c r="E171" t="s">
        <v>193</v>
      </c>
      <c r="F171" t="s">
        <v>194</v>
      </c>
      <c r="G171" t="s">
        <v>195</v>
      </c>
      <c r="H171" t="s">
        <v>194</v>
      </c>
      <c r="I171">
        <v>24</v>
      </c>
      <c r="J171" t="s">
        <v>6</v>
      </c>
      <c r="K171">
        <v>0</v>
      </c>
      <c r="L171" s="5" t="s">
        <v>654</v>
      </c>
      <c r="M171">
        <v>40100</v>
      </c>
      <c r="N171" t="s">
        <v>20</v>
      </c>
      <c r="O171" t="str">
        <f t="shared" si="18"/>
        <v>ng*h/mL</v>
      </c>
      <c r="T171" t="s">
        <v>191</v>
      </c>
      <c r="U171">
        <v>250</v>
      </c>
      <c r="V171" t="s">
        <v>22</v>
      </c>
      <c r="W171" t="s">
        <v>663</v>
      </c>
      <c r="X171">
        <v>0</v>
      </c>
      <c r="Y171">
        <v>1</v>
      </c>
      <c r="AA171" t="s">
        <v>655</v>
      </c>
      <c r="AB171">
        <v>1</v>
      </c>
      <c r="AC171" t="s">
        <v>655</v>
      </c>
      <c r="AD171">
        <v>74.099999999999994</v>
      </c>
    </row>
    <row r="172" spans="1:31" x14ac:dyDescent="0.3">
      <c r="A172" t="s">
        <v>591</v>
      </c>
      <c r="B172" t="s">
        <v>709</v>
      </c>
      <c r="C172" t="b">
        <v>1</v>
      </c>
      <c r="D172" t="s">
        <v>190</v>
      </c>
      <c r="E172" t="s">
        <v>193</v>
      </c>
      <c r="F172" t="s">
        <v>194</v>
      </c>
      <c r="G172" t="s">
        <v>195</v>
      </c>
      <c r="H172" t="s">
        <v>194</v>
      </c>
      <c r="I172">
        <v>24</v>
      </c>
      <c r="J172" t="s">
        <v>7</v>
      </c>
      <c r="K172">
        <v>0</v>
      </c>
      <c r="L172" s="5">
        <v>24</v>
      </c>
      <c r="M172">
        <v>24748.76</v>
      </c>
      <c r="N172" t="s">
        <v>21</v>
      </c>
      <c r="O172" t="str">
        <f t="shared" si="18"/>
        <v>nM</v>
      </c>
      <c r="R172">
        <v>16.5</v>
      </c>
      <c r="S172" t="s">
        <v>660</v>
      </c>
      <c r="T172" t="s">
        <v>192</v>
      </c>
      <c r="U172">
        <v>250</v>
      </c>
      <c r="V172" t="s">
        <v>22</v>
      </c>
      <c r="W172" t="s">
        <v>663</v>
      </c>
      <c r="X172">
        <v>0</v>
      </c>
      <c r="Y172">
        <v>1</v>
      </c>
      <c r="AA172" t="s">
        <v>655</v>
      </c>
      <c r="AB172">
        <v>1</v>
      </c>
      <c r="AC172" t="s">
        <v>655</v>
      </c>
      <c r="AD172">
        <v>74.099999999999994</v>
      </c>
    </row>
    <row r="173" spans="1:31" x14ac:dyDescent="0.3">
      <c r="A173" t="s">
        <v>592</v>
      </c>
      <c r="B173" t="s">
        <v>710</v>
      </c>
      <c r="C173" t="b">
        <v>1</v>
      </c>
      <c r="D173" t="s">
        <v>190</v>
      </c>
      <c r="E173" t="s">
        <v>193</v>
      </c>
      <c r="F173" t="s">
        <v>194</v>
      </c>
      <c r="G173" t="s">
        <v>195</v>
      </c>
      <c r="H173" t="s">
        <v>194</v>
      </c>
      <c r="I173">
        <v>24</v>
      </c>
      <c r="J173" t="s">
        <v>6</v>
      </c>
      <c r="K173">
        <v>0</v>
      </c>
      <c r="L173" s="5" t="s">
        <v>654</v>
      </c>
      <c r="M173">
        <v>84100</v>
      </c>
      <c r="N173" t="s">
        <v>20</v>
      </c>
      <c r="O173" t="str">
        <f t="shared" si="18"/>
        <v>ng*h/mL</v>
      </c>
      <c r="T173" t="s">
        <v>196</v>
      </c>
      <c r="U173">
        <v>500</v>
      </c>
      <c r="V173" t="s">
        <v>22</v>
      </c>
      <c r="W173" t="s">
        <v>663</v>
      </c>
      <c r="X173">
        <v>0</v>
      </c>
      <c r="Y173">
        <v>1</v>
      </c>
      <c r="AA173" t="s">
        <v>655</v>
      </c>
      <c r="AB173">
        <v>1</v>
      </c>
      <c r="AC173" t="s">
        <v>655</v>
      </c>
      <c r="AD173">
        <v>74.099999999999994</v>
      </c>
    </row>
    <row r="174" spans="1:31" x14ac:dyDescent="0.3">
      <c r="A174" t="s">
        <v>592</v>
      </c>
      <c r="B174" t="s">
        <v>710</v>
      </c>
      <c r="C174" t="b">
        <v>1</v>
      </c>
      <c r="D174" t="s">
        <v>190</v>
      </c>
      <c r="E174" t="s">
        <v>193</v>
      </c>
      <c r="F174" t="s">
        <v>194</v>
      </c>
      <c r="G174" t="s">
        <v>195</v>
      </c>
      <c r="H174" t="s">
        <v>194</v>
      </c>
      <c r="I174">
        <v>24</v>
      </c>
      <c r="J174" t="s">
        <v>7</v>
      </c>
      <c r="K174">
        <v>0</v>
      </c>
      <c r="L174" s="5">
        <v>24</v>
      </c>
      <c r="M174">
        <v>48297.59</v>
      </c>
      <c r="N174" t="s">
        <v>21</v>
      </c>
      <c r="O174" t="str">
        <f t="shared" si="18"/>
        <v>nM</v>
      </c>
      <c r="R174">
        <v>32.200000000000003</v>
      </c>
      <c r="S174" t="s">
        <v>660</v>
      </c>
      <c r="T174" t="s">
        <v>197</v>
      </c>
      <c r="U174">
        <v>500</v>
      </c>
      <c r="V174" t="s">
        <v>22</v>
      </c>
      <c r="W174" t="s">
        <v>663</v>
      </c>
      <c r="X174">
        <v>0</v>
      </c>
      <c r="Y174">
        <v>1</v>
      </c>
      <c r="AA174" t="s">
        <v>655</v>
      </c>
      <c r="AB174">
        <v>1</v>
      </c>
      <c r="AC174" t="s">
        <v>655</v>
      </c>
      <c r="AD174">
        <v>74.099999999999994</v>
      </c>
    </row>
    <row r="175" spans="1:31" x14ac:dyDescent="0.3">
      <c r="A175" t="s">
        <v>593</v>
      </c>
      <c r="B175" t="s">
        <v>711</v>
      </c>
      <c r="C175" t="b">
        <v>1</v>
      </c>
      <c r="D175" t="s">
        <v>190</v>
      </c>
      <c r="E175" t="s">
        <v>193</v>
      </c>
      <c r="F175" t="s">
        <v>194</v>
      </c>
      <c r="G175" t="s">
        <v>195</v>
      </c>
      <c r="H175" t="s">
        <v>194</v>
      </c>
      <c r="I175">
        <v>24</v>
      </c>
      <c r="J175" t="s">
        <v>6</v>
      </c>
      <c r="K175">
        <v>0</v>
      </c>
      <c r="L175" s="5" t="s">
        <v>654</v>
      </c>
      <c r="M175">
        <v>152100</v>
      </c>
      <c r="N175" t="s">
        <v>20</v>
      </c>
      <c r="O175" t="str">
        <f t="shared" si="18"/>
        <v>ng*h/mL</v>
      </c>
      <c r="T175" t="s">
        <v>200</v>
      </c>
      <c r="U175">
        <v>1000</v>
      </c>
      <c r="V175" t="s">
        <v>22</v>
      </c>
      <c r="W175" t="s">
        <v>663</v>
      </c>
      <c r="X175">
        <v>0</v>
      </c>
      <c r="Y175">
        <v>1</v>
      </c>
      <c r="AA175" t="s">
        <v>655</v>
      </c>
      <c r="AB175">
        <v>1</v>
      </c>
      <c r="AC175" t="s">
        <v>655</v>
      </c>
      <c r="AD175">
        <v>74.099999999999994</v>
      </c>
    </row>
    <row r="176" spans="1:31" x14ac:dyDescent="0.3">
      <c r="A176" t="s">
        <v>593</v>
      </c>
      <c r="B176" t="s">
        <v>711</v>
      </c>
      <c r="C176" t="b">
        <v>1</v>
      </c>
      <c r="D176" t="s">
        <v>190</v>
      </c>
      <c r="E176" t="s">
        <v>193</v>
      </c>
      <c r="F176" t="s">
        <v>194</v>
      </c>
      <c r="G176" t="s">
        <v>195</v>
      </c>
      <c r="H176" t="s">
        <v>194</v>
      </c>
      <c r="I176">
        <v>24</v>
      </c>
      <c r="J176" t="s">
        <v>7</v>
      </c>
      <c r="K176">
        <v>0</v>
      </c>
      <c r="L176" s="5">
        <v>24</v>
      </c>
      <c r="M176">
        <v>87595.62</v>
      </c>
      <c r="N176" t="s">
        <v>21</v>
      </c>
      <c r="O176" t="str">
        <f t="shared" si="18"/>
        <v>nM</v>
      </c>
      <c r="R176">
        <v>58.4</v>
      </c>
      <c r="S176" t="s">
        <v>660</v>
      </c>
      <c r="T176" t="s">
        <v>198</v>
      </c>
      <c r="U176">
        <v>1000</v>
      </c>
      <c r="V176" t="s">
        <v>22</v>
      </c>
      <c r="W176" t="s">
        <v>663</v>
      </c>
      <c r="X176">
        <v>0</v>
      </c>
      <c r="Y176">
        <v>1</v>
      </c>
      <c r="AA176" t="s">
        <v>655</v>
      </c>
      <c r="AB176">
        <v>1</v>
      </c>
      <c r="AC176" t="s">
        <v>655</v>
      </c>
      <c r="AD176">
        <v>74.099999999999994</v>
      </c>
    </row>
    <row r="177" spans="1:32" x14ac:dyDescent="0.3">
      <c r="A177" t="s">
        <v>594</v>
      </c>
      <c r="B177" t="s">
        <v>712</v>
      </c>
      <c r="C177" t="b">
        <v>1</v>
      </c>
      <c r="D177" t="s">
        <v>190</v>
      </c>
      <c r="E177" t="s">
        <v>193</v>
      </c>
      <c r="F177" t="s">
        <v>194</v>
      </c>
      <c r="G177" t="s">
        <v>195</v>
      </c>
      <c r="H177" t="s">
        <v>194</v>
      </c>
      <c r="I177">
        <v>24</v>
      </c>
      <c r="J177" t="s">
        <v>6</v>
      </c>
      <c r="K177">
        <v>0</v>
      </c>
      <c r="L177" s="5" t="s">
        <v>654</v>
      </c>
      <c r="M177">
        <v>242800</v>
      </c>
      <c r="N177" t="s">
        <v>20</v>
      </c>
      <c r="O177" t="str">
        <f t="shared" si="18"/>
        <v>ng*h/mL</v>
      </c>
      <c r="T177" t="s">
        <v>201</v>
      </c>
      <c r="U177">
        <v>1500</v>
      </c>
      <c r="V177" t="s">
        <v>22</v>
      </c>
      <c r="W177" t="s">
        <v>663</v>
      </c>
      <c r="X177">
        <v>0</v>
      </c>
      <c r="Y177">
        <v>1</v>
      </c>
      <c r="AA177" t="s">
        <v>655</v>
      </c>
      <c r="AB177">
        <v>1</v>
      </c>
      <c r="AC177" t="s">
        <v>655</v>
      </c>
      <c r="AD177">
        <v>74.099999999999994</v>
      </c>
    </row>
    <row r="178" spans="1:32" x14ac:dyDescent="0.3">
      <c r="A178" t="s">
        <v>594</v>
      </c>
      <c r="B178" t="s">
        <v>712</v>
      </c>
      <c r="C178" t="b">
        <v>1</v>
      </c>
      <c r="D178" t="s">
        <v>190</v>
      </c>
      <c r="E178" t="s">
        <v>193</v>
      </c>
      <c r="F178" t="s">
        <v>194</v>
      </c>
      <c r="G178" t="s">
        <v>195</v>
      </c>
      <c r="H178" t="s">
        <v>194</v>
      </c>
      <c r="I178">
        <v>24</v>
      </c>
      <c r="J178" t="s">
        <v>7</v>
      </c>
      <c r="K178">
        <v>0</v>
      </c>
      <c r="L178" s="5">
        <v>24</v>
      </c>
      <c r="M178">
        <v>131093.45000000001</v>
      </c>
      <c r="N178" t="s">
        <v>21</v>
      </c>
      <c r="O178" t="str">
        <f t="shared" si="18"/>
        <v>nM</v>
      </c>
      <c r="R178">
        <v>87.4</v>
      </c>
      <c r="S178" t="s">
        <v>660</v>
      </c>
      <c r="T178" t="s">
        <v>199</v>
      </c>
      <c r="U178">
        <v>1500</v>
      </c>
      <c r="V178" t="s">
        <v>22</v>
      </c>
      <c r="W178" t="s">
        <v>663</v>
      </c>
      <c r="X178">
        <v>0</v>
      </c>
      <c r="Y178">
        <v>1</v>
      </c>
      <c r="AA178" t="s">
        <v>655</v>
      </c>
      <c r="AB178">
        <v>1</v>
      </c>
      <c r="AC178" t="s">
        <v>655</v>
      </c>
      <c r="AD178">
        <v>74.099999999999994</v>
      </c>
    </row>
    <row r="179" spans="1:32" x14ac:dyDescent="0.3">
      <c r="A179" t="s">
        <v>595</v>
      </c>
      <c r="B179" t="s">
        <v>713</v>
      </c>
      <c r="C179" t="b">
        <v>1</v>
      </c>
      <c r="D179" t="s">
        <v>190</v>
      </c>
      <c r="E179" t="s">
        <v>193</v>
      </c>
      <c r="F179" t="s">
        <v>194</v>
      </c>
      <c r="G179" t="s">
        <v>195</v>
      </c>
      <c r="H179" t="s">
        <v>194</v>
      </c>
      <c r="I179">
        <v>24</v>
      </c>
      <c r="J179" t="s">
        <v>6</v>
      </c>
      <c r="K179">
        <v>0</v>
      </c>
      <c r="L179" s="5" t="s">
        <v>654</v>
      </c>
      <c r="M179">
        <v>344200</v>
      </c>
      <c r="N179" t="s">
        <v>20</v>
      </c>
      <c r="O179" t="str">
        <f t="shared" si="18"/>
        <v>ng*h/mL</v>
      </c>
      <c r="T179" t="s">
        <v>202</v>
      </c>
      <c r="U179">
        <v>2000</v>
      </c>
      <c r="V179" t="s">
        <v>22</v>
      </c>
      <c r="W179" t="s">
        <v>663</v>
      </c>
      <c r="X179">
        <v>0</v>
      </c>
      <c r="Y179">
        <v>1</v>
      </c>
      <c r="AA179" t="s">
        <v>655</v>
      </c>
      <c r="AB179">
        <v>1</v>
      </c>
      <c r="AC179" t="s">
        <v>655</v>
      </c>
      <c r="AD179">
        <v>74.099999999999994</v>
      </c>
    </row>
    <row r="180" spans="1:32" x14ac:dyDescent="0.3">
      <c r="A180" t="s">
        <v>595</v>
      </c>
      <c r="B180" t="s">
        <v>713</v>
      </c>
      <c r="C180" t="b">
        <v>1</v>
      </c>
      <c r="D180" t="s">
        <v>190</v>
      </c>
      <c r="E180" t="s">
        <v>193</v>
      </c>
      <c r="F180" t="s">
        <v>194</v>
      </c>
      <c r="G180" t="s">
        <v>195</v>
      </c>
      <c r="H180" t="s">
        <v>194</v>
      </c>
      <c r="I180">
        <v>24</v>
      </c>
      <c r="J180" t="s">
        <v>7</v>
      </c>
      <c r="K180">
        <v>0</v>
      </c>
      <c r="L180" s="5">
        <v>24</v>
      </c>
      <c r="M180">
        <v>191540.42</v>
      </c>
      <c r="N180" t="s">
        <v>21</v>
      </c>
      <c r="O180" t="str">
        <f t="shared" si="18"/>
        <v>nM</v>
      </c>
      <c r="R180">
        <v>127.7</v>
      </c>
      <c r="S180" t="s">
        <v>660</v>
      </c>
      <c r="T180" t="s">
        <v>203</v>
      </c>
      <c r="U180">
        <v>2000</v>
      </c>
      <c r="V180" t="s">
        <v>22</v>
      </c>
      <c r="W180" t="s">
        <v>663</v>
      </c>
      <c r="X180">
        <v>0</v>
      </c>
      <c r="Y180">
        <v>1</v>
      </c>
      <c r="AA180" t="s">
        <v>655</v>
      </c>
      <c r="AB180">
        <v>1</v>
      </c>
      <c r="AC180" t="s">
        <v>655</v>
      </c>
      <c r="AD180">
        <v>74.099999999999994</v>
      </c>
    </row>
    <row r="181" spans="1:32" x14ac:dyDescent="0.3">
      <c r="A181" t="s">
        <v>596</v>
      </c>
      <c r="B181" t="s">
        <v>714</v>
      </c>
      <c r="C181" t="b">
        <v>1</v>
      </c>
      <c r="D181" t="s">
        <v>190</v>
      </c>
      <c r="E181" t="s">
        <v>193</v>
      </c>
      <c r="F181" t="s">
        <v>194</v>
      </c>
      <c r="G181" t="s">
        <v>195</v>
      </c>
      <c r="H181" t="s">
        <v>194</v>
      </c>
      <c r="I181">
        <v>24</v>
      </c>
      <c r="J181" t="s">
        <v>6</v>
      </c>
      <c r="K181">
        <v>0</v>
      </c>
      <c r="L181" s="5" t="s">
        <v>654</v>
      </c>
      <c r="M181">
        <v>88100</v>
      </c>
      <c r="N181" t="s">
        <v>20</v>
      </c>
      <c r="O181" t="str">
        <f t="shared" si="18"/>
        <v>ng*h/mL</v>
      </c>
      <c r="T181" t="s">
        <v>832</v>
      </c>
      <c r="U181">
        <v>500</v>
      </c>
      <c r="V181" t="s">
        <v>22</v>
      </c>
      <c r="W181" t="s">
        <v>663</v>
      </c>
      <c r="X181">
        <v>0</v>
      </c>
      <c r="Y181">
        <v>1</v>
      </c>
      <c r="AA181" t="s">
        <v>655</v>
      </c>
      <c r="AB181">
        <v>1</v>
      </c>
      <c r="AC181" t="s">
        <v>655</v>
      </c>
      <c r="AD181">
        <v>75.3</v>
      </c>
      <c r="AF181" t="s">
        <v>829</v>
      </c>
    </row>
    <row r="182" spans="1:32" x14ac:dyDescent="0.3">
      <c r="A182" t="s">
        <v>596</v>
      </c>
      <c r="B182" t="s">
        <v>714</v>
      </c>
      <c r="C182" t="b">
        <v>1</v>
      </c>
      <c r="D182" t="s">
        <v>190</v>
      </c>
      <c r="E182" t="s">
        <v>193</v>
      </c>
      <c r="F182" t="s">
        <v>194</v>
      </c>
      <c r="G182" t="s">
        <v>195</v>
      </c>
      <c r="H182" t="s">
        <v>194</v>
      </c>
      <c r="I182">
        <v>24</v>
      </c>
      <c r="J182" t="s">
        <v>7</v>
      </c>
      <c r="K182">
        <v>0</v>
      </c>
      <c r="L182" s="5">
        <v>24</v>
      </c>
      <c r="M182">
        <v>51447.43</v>
      </c>
      <c r="N182" t="s">
        <v>21</v>
      </c>
      <c r="O182" t="str">
        <f t="shared" si="18"/>
        <v>nM</v>
      </c>
      <c r="R182">
        <v>34.299999999999997</v>
      </c>
      <c r="S182" t="s">
        <v>660</v>
      </c>
      <c r="T182" t="s">
        <v>833</v>
      </c>
      <c r="U182">
        <v>500</v>
      </c>
      <c r="V182" t="s">
        <v>22</v>
      </c>
      <c r="W182" t="s">
        <v>663</v>
      </c>
      <c r="X182">
        <v>0</v>
      </c>
      <c r="Y182">
        <v>1</v>
      </c>
      <c r="AA182" t="s">
        <v>655</v>
      </c>
      <c r="AB182">
        <v>1</v>
      </c>
      <c r="AC182" t="s">
        <v>655</v>
      </c>
      <c r="AD182">
        <v>75.3</v>
      </c>
      <c r="AF182" t="s">
        <v>829</v>
      </c>
    </row>
    <row r="183" spans="1:32" x14ac:dyDescent="0.3">
      <c r="A183" t="s">
        <v>597</v>
      </c>
      <c r="B183" t="s">
        <v>715</v>
      </c>
      <c r="C183" t="b">
        <v>1</v>
      </c>
      <c r="D183" t="s">
        <v>190</v>
      </c>
      <c r="E183" t="s">
        <v>193</v>
      </c>
      <c r="F183" t="s">
        <v>194</v>
      </c>
      <c r="G183" t="s">
        <v>195</v>
      </c>
      <c r="H183" t="s">
        <v>194</v>
      </c>
      <c r="I183">
        <v>24</v>
      </c>
      <c r="J183" t="s">
        <v>6</v>
      </c>
      <c r="K183">
        <v>0</v>
      </c>
      <c r="L183" s="5" t="s">
        <v>654</v>
      </c>
      <c r="M183">
        <v>148600</v>
      </c>
      <c r="N183" t="s">
        <v>20</v>
      </c>
      <c r="O183" t="str">
        <f t="shared" si="18"/>
        <v>ng*h/mL</v>
      </c>
      <c r="T183" t="s">
        <v>834</v>
      </c>
      <c r="U183">
        <v>1000</v>
      </c>
      <c r="V183" t="s">
        <v>22</v>
      </c>
      <c r="W183" t="s">
        <v>663</v>
      </c>
      <c r="X183">
        <v>0</v>
      </c>
      <c r="Y183">
        <v>1</v>
      </c>
      <c r="AA183" t="s">
        <v>655</v>
      </c>
      <c r="AB183">
        <v>1</v>
      </c>
      <c r="AC183" t="s">
        <v>655</v>
      </c>
      <c r="AD183">
        <v>75.3</v>
      </c>
      <c r="AF183" t="s">
        <v>830</v>
      </c>
    </row>
    <row r="184" spans="1:32" x14ac:dyDescent="0.3">
      <c r="A184" t="s">
        <v>597</v>
      </c>
      <c r="B184" t="s">
        <v>715</v>
      </c>
      <c r="C184" t="b">
        <v>1</v>
      </c>
      <c r="D184" t="s">
        <v>190</v>
      </c>
      <c r="E184" t="s">
        <v>193</v>
      </c>
      <c r="F184" t="s">
        <v>194</v>
      </c>
      <c r="G184" t="s">
        <v>195</v>
      </c>
      <c r="H184" t="s">
        <v>194</v>
      </c>
      <c r="I184">
        <v>24</v>
      </c>
      <c r="J184" t="s">
        <v>7</v>
      </c>
      <c r="K184">
        <v>0</v>
      </c>
      <c r="L184" s="5">
        <v>24</v>
      </c>
      <c r="M184">
        <v>79196.039999999994</v>
      </c>
      <c r="N184" t="s">
        <v>21</v>
      </c>
      <c r="O184" t="str">
        <f t="shared" si="18"/>
        <v>nM</v>
      </c>
      <c r="R184">
        <v>52.8</v>
      </c>
      <c r="S184" t="s">
        <v>660</v>
      </c>
      <c r="T184" t="s">
        <v>835</v>
      </c>
      <c r="U184">
        <v>1000</v>
      </c>
      <c r="V184" t="s">
        <v>22</v>
      </c>
      <c r="W184" t="s">
        <v>663</v>
      </c>
      <c r="X184">
        <v>0</v>
      </c>
      <c r="Y184">
        <v>1</v>
      </c>
      <c r="AA184" t="s">
        <v>655</v>
      </c>
      <c r="AB184">
        <v>1</v>
      </c>
      <c r="AC184" t="s">
        <v>655</v>
      </c>
      <c r="AD184">
        <v>75.3</v>
      </c>
      <c r="AF184" t="s">
        <v>830</v>
      </c>
    </row>
    <row r="185" spans="1:32" x14ac:dyDescent="0.3">
      <c r="A185" t="s">
        <v>598</v>
      </c>
      <c r="B185" t="s">
        <v>716</v>
      </c>
      <c r="C185" t="b">
        <v>1</v>
      </c>
      <c r="D185" t="s">
        <v>190</v>
      </c>
      <c r="E185" t="s">
        <v>193</v>
      </c>
      <c r="F185" t="s">
        <v>194</v>
      </c>
      <c r="G185" t="s">
        <v>195</v>
      </c>
      <c r="H185" t="s">
        <v>194</v>
      </c>
      <c r="I185">
        <v>24</v>
      </c>
      <c r="J185" t="s">
        <v>6</v>
      </c>
      <c r="K185">
        <v>0</v>
      </c>
      <c r="L185" s="5" t="s">
        <v>654</v>
      </c>
      <c r="M185">
        <v>219000</v>
      </c>
      <c r="N185" t="s">
        <v>20</v>
      </c>
      <c r="O185" t="str">
        <f t="shared" si="18"/>
        <v>ng*h/mL</v>
      </c>
      <c r="T185" t="s">
        <v>836</v>
      </c>
      <c r="U185">
        <v>1500</v>
      </c>
      <c r="V185" t="s">
        <v>22</v>
      </c>
      <c r="W185" t="s">
        <v>663</v>
      </c>
      <c r="X185">
        <v>0</v>
      </c>
      <c r="Y185">
        <v>1</v>
      </c>
      <c r="AA185" t="s">
        <v>655</v>
      </c>
      <c r="AB185">
        <v>1</v>
      </c>
      <c r="AC185" t="s">
        <v>655</v>
      </c>
      <c r="AD185">
        <v>75.3</v>
      </c>
      <c r="AF185" t="s">
        <v>831</v>
      </c>
    </row>
    <row r="186" spans="1:32" x14ac:dyDescent="0.3">
      <c r="A186" t="s">
        <v>598</v>
      </c>
      <c r="B186" t="s">
        <v>716</v>
      </c>
      <c r="C186" t="b">
        <v>1</v>
      </c>
      <c r="D186" t="s">
        <v>190</v>
      </c>
      <c r="E186" t="s">
        <v>193</v>
      </c>
      <c r="F186" t="s">
        <v>194</v>
      </c>
      <c r="G186" t="s">
        <v>195</v>
      </c>
      <c r="H186" t="s">
        <v>194</v>
      </c>
      <c r="I186">
        <v>24</v>
      </c>
      <c r="J186" t="s">
        <v>7</v>
      </c>
      <c r="K186">
        <v>0</v>
      </c>
      <c r="L186" s="5">
        <v>24</v>
      </c>
      <c r="M186">
        <v>128093.6</v>
      </c>
      <c r="N186" t="s">
        <v>21</v>
      </c>
      <c r="O186" t="str">
        <f t="shared" si="18"/>
        <v>nM</v>
      </c>
      <c r="R186">
        <v>85.4</v>
      </c>
      <c r="S186" t="s">
        <v>660</v>
      </c>
      <c r="T186" t="s">
        <v>837</v>
      </c>
      <c r="U186">
        <v>1500</v>
      </c>
      <c r="V186" t="s">
        <v>22</v>
      </c>
      <c r="W186" t="s">
        <v>663</v>
      </c>
      <c r="X186">
        <v>0</v>
      </c>
      <c r="Y186">
        <v>1</v>
      </c>
      <c r="AA186" t="s">
        <v>655</v>
      </c>
      <c r="AB186">
        <v>1</v>
      </c>
      <c r="AC186" t="s">
        <v>655</v>
      </c>
      <c r="AD186">
        <v>75.3</v>
      </c>
      <c r="AF186" t="s">
        <v>831</v>
      </c>
    </row>
    <row r="187" spans="1:32" x14ac:dyDescent="0.3">
      <c r="A187" t="s">
        <v>1021</v>
      </c>
      <c r="B187" t="s">
        <v>1022</v>
      </c>
      <c r="C187" t="b">
        <v>1</v>
      </c>
      <c r="D187" t="s">
        <v>190</v>
      </c>
      <c r="E187" t="s">
        <v>193</v>
      </c>
      <c r="F187" t="s">
        <v>194</v>
      </c>
      <c r="G187" t="s">
        <v>195</v>
      </c>
      <c r="H187" t="s">
        <v>194</v>
      </c>
      <c r="I187">
        <f t="shared" ref="I187" si="22">10*24</f>
        <v>240</v>
      </c>
      <c r="J187" t="s">
        <v>6</v>
      </c>
      <c r="K187">
        <f>9*24</f>
        <v>216</v>
      </c>
      <c r="L187" s="5" t="s">
        <v>654</v>
      </c>
      <c r="M187">
        <v>82900</v>
      </c>
      <c r="N187" t="s">
        <v>20</v>
      </c>
      <c r="O187" t="str">
        <f t="shared" si="18"/>
        <v>ng*h/mL</v>
      </c>
      <c r="T187" t="s">
        <v>838</v>
      </c>
      <c r="U187">
        <v>500</v>
      </c>
      <c r="V187" t="s">
        <v>22</v>
      </c>
      <c r="W187" t="s">
        <v>663</v>
      </c>
      <c r="X187">
        <v>0</v>
      </c>
      <c r="Y187">
        <f>2+8*3</f>
        <v>26</v>
      </c>
      <c r="Z187">
        <v>8</v>
      </c>
      <c r="AA187" t="s">
        <v>655</v>
      </c>
      <c r="AB187">
        <v>1</v>
      </c>
      <c r="AC187" t="s">
        <v>655</v>
      </c>
      <c r="AD187">
        <v>75.3</v>
      </c>
      <c r="AF187" t="s">
        <v>829</v>
      </c>
    </row>
    <row r="188" spans="1:32" x14ac:dyDescent="0.3">
      <c r="A188" t="s">
        <v>1021</v>
      </c>
      <c r="B188" t="s">
        <v>1022</v>
      </c>
      <c r="C188" t="b">
        <v>1</v>
      </c>
      <c r="D188" t="s">
        <v>190</v>
      </c>
      <c r="E188" t="s">
        <v>193</v>
      </c>
      <c r="F188" t="s">
        <v>194</v>
      </c>
      <c r="G188" t="s">
        <v>195</v>
      </c>
      <c r="H188" t="s">
        <v>194</v>
      </c>
      <c r="I188">
        <f>10*24</f>
        <v>240</v>
      </c>
      <c r="J188" t="s">
        <v>7</v>
      </c>
      <c r="K188">
        <v>216</v>
      </c>
      <c r="L188" s="5">
        <v>240</v>
      </c>
      <c r="M188">
        <v>49947.5</v>
      </c>
      <c r="N188" t="s">
        <v>21</v>
      </c>
      <c r="O188" t="str">
        <f t="shared" si="18"/>
        <v>nM</v>
      </c>
      <c r="R188">
        <v>33.299999999999997</v>
      </c>
      <c r="S188" t="s">
        <v>660</v>
      </c>
      <c r="T188" t="s">
        <v>839</v>
      </c>
      <c r="U188">
        <v>500</v>
      </c>
      <c r="V188" t="s">
        <v>22</v>
      </c>
      <c r="W188" t="s">
        <v>663</v>
      </c>
      <c r="X188">
        <v>0</v>
      </c>
      <c r="Y188">
        <f t="shared" ref="Y188:Y190" si="23">2+8*3</f>
        <v>26</v>
      </c>
      <c r="Z188">
        <v>8</v>
      </c>
      <c r="AA188" t="s">
        <v>655</v>
      </c>
      <c r="AB188">
        <v>1</v>
      </c>
      <c r="AC188" t="s">
        <v>655</v>
      </c>
      <c r="AD188">
        <v>75.3</v>
      </c>
      <c r="AF188" t="s">
        <v>829</v>
      </c>
    </row>
    <row r="189" spans="1:32" x14ac:dyDescent="0.3">
      <c r="A189" t="s">
        <v>599</v>
      </c>
      <c r="B189" t="s">
        <v>717</v>
      </c>
      <c r="C189" t="b">
        <v>1</v>
      </c>
      <c r="D189" t="s">
        <v>190</v>
      </c>
      <c r="E189" t="s">
        <v>193</v>
      </c>
      <c r="F189" t="s">
        <v>194</v>
      </c>
      <c r="G189" t="s">
        <v>195</v>
      </c>
      <c r="H189" t="s">
        <v>194</v>
      </c>
      <c r="I189">
        <f t="shared" ref="I189:I192" si="24">10*24</f>
        <v>240</v>
      </c>
      <c r="J189" t="s">
        <v>6</v>
      </c>
      <c r="K189">
        <f>9*24</f>
        <v>216</v>
      </c>
      <c r="L189" s="5" t="s">
        <v>654</v>
      </c>
      <c r="M189">
        <v>143300</v>
      </c>
      <c r="N189" t="s">
        <v>20</v>
      </c>
      <c r="O189" t="str">
        <f t="shared" si="18"/>
        <v>ng*h/mL</v>
      </c>
      <c r="T189" t="s">
        <v>840</v>
      </c>
      <c r="U189">
        <v>1000</v>
      </c>
      <c r="V189" t="s">
        <v>22</v>
      </c>
      <c r="W189" t="s">
        <v>663</v>
      </c>
      <c r="X189">
        <v>0</v>
      </c>
      <c r="Y189">
        <f t="shared" si="23"/>
        <v>26</v>
      </c>
      <c r="Z189">
        <v>8</v>
      </c>
      <c r="AA189" t="s">
        <v>655</v>
      </c>
      <c r="AB189">
        <v>1</v>
      </c>
      <c r="AC189" t="s">
        <v>655</v>
      </c>
      <c r="AD189">
        <v>75.3</v>
      </c>
      <c r="AF189" t="s">
        <v>830</v>
      </c>
    </row>
    <row r="190" spans="1:32" x14ac:dyDescent="0.3">
      <c r="A190" t="s">
        <v>599</v>
      </c>
      <c r="B190" t="s">
        <v>717</v>
      </c>
      <c r="C190" t="b">
        <v>1</v>
      </c>
      <c r="D190" t="s">
        <v>190</v>
      </c>
      <c r="E190" t="s">
        <v>193</v>
      </c>
      <c r="F190" t="s">
        <v>194</v>
      </c>
      <c r="G190" t="s">
        <v>195</v>
      </c>
      <c r="H190" t="s">
        <v>194</v>
      </c>
      <c r="I190">
        <f t="shared" si="24"/>
        <v>240</v>
      </c>
      <c r="J190" t="s">
        <v>7</v>
      </c>
      <c r="K190">
        <v>216</v>
      </c>
      <c r="L190" s="5">
        <v>240</v>
      </c>
      <c r="M190">
        <v>86995.65</v>
      </c>
      <c r="N190" t="s">
        <v>21</v>
      </c>
      <c r="O190" t="str">
        <f t="shared" si="18"/>
        <v>nM</v>
      </c>
      <c r="R190">
        <v>58</v>
      </c>
      <c r="S190" t="s">
        <v>660</v>
      </c>
      <c r="T190" t="s">
        <v>841</v>
      </c>
      <c r="U190">
        <v>1000</v>
      </c>
      <c r="V190" t="s">
        <v>22</v>
      </c>
      <c r="W190" t="s">
        <v>663</v>
      </c>
      <c r="X190">
        <v>0</v>
      </c>
      <c r="Y190">
        <f t="shared" si="23"/>
        <v>26</v>
      </c>
      <c r="Z190">
        <v>8</v>
      </c>
      <c r="AA190" t="s">
        <v>655</v>
      </c>
      <c r="AB190">
        <v>1</v>
      </c>
      <c r="AC190" t="s">
        <v>655</v>
      </c>
      <c r="AD190">
        <v>75.3</v>
      </c>
      <c r="AF190" t="s">
        <v>830</v>
      </c>
    </row>
    <row r="191" spans="1:32" x14ac:dyDescent="0.3">
      <c r="A191" t="s">
        <v>1023</v>
      </c>
      <c r="B191" t="s">
        <v>1024</v>
      </c>
      <c r="C191" t="b">
        <v>1</v>
      </c>
      <c r="D191" t="s">
        <v>190</v>
      </c>
      <c r="E191" t="s">
        <v>193</v>
      </c>
      <c r="F191" t="s">
        <v>194</v>
      </c>
      <c r="G191" t="s">
        <v>195</v>
      </c>
      <c r="H191" t="s">
        <v>194</v>
      </c>
      <c r="I191">
        <f t="shared" si="24"/>
        <v>240</v>
      </c>
      <c r="J191" t="s">
        <v>6</v>
      </c>
      <c r="K191">
        <f>9*24</f>
        <v>216</v>
      </c>
      <c r="L191" s="5" t="s">
        <v>654</v>
      </c>
      <c r="M191">
        <v>207000</v>
      </c>
      <c r="N191" t="s">
        <v>20</v>
      </c>
      <c r="O191" t="str">
        <f t="shared" si="18"/>
        <v>ng*h/mL</v>
      </c>
      <c r="T191" t="s">
        <v>842</v>
      </c>
      <c r="U191">
        <v>1500</v>
      </c>
      <c r="V191" t="s">
        <v>22</v>
      </c>
      <c r="W191" t="s">
        <v>663</v>
      </c>
      <c r="X191">
        <v>0</v>
      </c>
      <c r="Y191">
        <f>2+8*2</f>
        <v>18</v>
      </c>
      <c r="Z191">
        <v>12</v>
      </c>
      <c r="AA191" t="s">
        <v>655</v>
      </c>
      <c r="AB191">
        <v>1</v>
      </c>
      <c r="AC191" t="s">
        <v>655</v>
      </c>
      <c r="AD191">
        <v>75.3</v>
      </c>
      <c r="AF191" t="s">
        <v>831</v>
      </c>
    </row>
    <row r="192" spans="1:32" x14ac:dyDescent="0.3">
      <c r="A192" t="s">
        <v>1023</v>
      </c>
      <c r="B192" t="s">
        <v>1024</v>
      </c>
      <c r="C192" t="b">
        <v>1</v>
      </c>
      <c r="D192" t="s">
        <v>190</v>
      </c>
      <c r="E192" t="s">
        <v>193</v>
      </c>
      <c r="F192" t="s">
        <v>194</v>
      </c>
      <c r="G192" t="s">
        <v>195</v>
      </c>
      <c r="H192" t="s">
        <v>194</v>
      </c>
      <c r="I192">
        <f t="shared" si="24"/>
        <v>240</v>
      </c>
      <c r="J192" t="s">
        <v>7</v>
      </c>
      <c r="K192">
        <v>216</v>
      </c>
      <c r="L192" s="5">
        <v>240</v>
      </c>
      <c r="M192">
        <v>123893.81</v>
      </c>
      <c r="N192" t="s">
        <v>21</v>
      </c>
      <c r="O192" t="str">
        <f t="shared" si="18"/>
        <v>nM</v>
      </c>
      <c r="R192">
        <v>82.6</v>
      </c>
      <c r="S192" t="s">
        <v>660</v>
      </c>
      <c r="T192" t="s">
        <v>843</v>
      </c>
      <c r="U192">
        <v>1500</v>
      </c>
      <c r="V192" t="s">
        <v>22</v>
      </c>
      <c r="W192" t="s">
        <v>663</v>
      </c>
      <c r="X192">
        <v>0</v>
      </c>
      <c r="Y192">
        <f>2+8*2</f>
        <v>18</v>
      </c>
      <c r="Z192">
        <v>12</v>
      </c>
      <c r="AA192" t="s">
        <v>655</v>
      </c>
      <c r="AB192">
        <v>1</v>
      </c>
      <c r="AC192" t="s">
        <v>655</v>
      </c>
      <c r="AD192">
        <v>75.3</v>
      </c>
      <c r="AF192" t="s">
        <v>831</v>
      </c>
    </row>
    <row r="193" spans="1:31" x14ac:dyDescent="0.3">
      <c r="A193" t="s">
        <v>600</v>
      </c>
      <c r="B193" t="s">
        <v>718</v>
      </c>
      <c r="C193" t="b">
        <v>1</v>
      </c>
      <c r="D193" t="s">
        <v>204</v>
      </c>
      <c r="E193" t="s">
        <v>207</v>
      </c>
      <c r="F193" t="s">
        <v>208</v>
      </c>
      <c r="G193" t="s">
        <v>209</v>
      </c>
      <c r="H193" t="s">
        <v>208</v>
      </c>
      <c r="I193">
        <v>144</v>
      </c>
      <c r="J193" t="s">
        <v>6</v>
      </c>
      <c r="K193">
        <v>0</v>
      </c>
      <c r="L193" s="5">
        <v>4</v>
      </c>
      <c r="M193">
        <v>13.6</v>
      </c>
      <c r="N193" t="s">
        <v>20</v>
      </c>
      <c r="O193" t="str">
        <f t="shared" si="18"/>
        <v>ng*h/mL</v>
      </c>
      <c r="T193" t="s">
        <v>218</v>
      </c>
      <c r="U193">
        <v>5</v>
      </c>
      <c r="V193" t="s">
        <v>22</v>
      </c>
      <c r="W193" t="s">
        <v>23</v>
      </c>
      <c r="X193">
        <v>0</v>
      </c>
      <c r="Y193">
        <v>1</v>
      </c>
      <c r="AA193" t="s">
        <v>655</v>
      </c>
      <c r="AD193">
        <v>79</v>
      </c>
      <c r="AE193" t="b">
        <v>0</v>
      </c>
    </row>
    <row r="194" spans="1:31" x14ac:dyDescent="0.3">
      <c r="A194" t="s">
        <v>600</v>
      </c>
      <c r="B194" t="s">
        <v>718</v>
      </c>
      <c r="C194" t="b">
        <v>1</v>
      </c>
      <c r="D194" t="s">
        <v>204</v>
      </c>
      <c r="E194" t="s">
        <v>207</v>
      </c>
      <c r="F194" t="s">
        <v>208</v>
      </c>
      <c r="G194" t="s">
        <v>209</v>
      </c>
      <c r="H194" t="s">
        <v>208</v>
      </c>
      <c r="I194">
        <v>144</v>
      </c>
      <c r="J194" t="s">
        <v>6</v>
      </c>
      <c r="K194">
        <v>0</v>
      </c>
      <c r="L194" s="5" t="s">
        <v>654</v>
      </c>
      <c r="M194">
        <v>36.299999999999997</v>
      </c>
      <c r="N194" t="s">
        <v>20</v>
      </c>
      <c r="O194" t="str">
        <f t="shared" si="18"/>
        <v>ng*h/mL</v>
      </c>
      <c r="T194" t="s">
        <v>225</v>
      </c>
      <c r="U194">
        <v>5</v>
      </c>
      <c r="V194" t="s">
        <v>22</v>
      </c>
      <c r="W194" t="s">
        <v>23</v>
      </c>
      <c r="X194">
        <v>0</v>
      </c>
      <c r="Y194">
        <v>1</v>
      </c>
      <c r="AA194" t="s">
        <v>655</v>
      </c>
      <c r="AD194">
        <v>79</v>
      </c>
      <c r="AE194" t="b">
        <v>0</v>
      </c>
    </row>
    <row r="195" spans="1:31" x14ac:dyDescent="0.3">
      <c r="A195" t="s">
        <v>600</v>
      </c>
      <c r="B195" t="s">
        <v>718</v>
      </c>
      <c r="C195" t="b">
        <v>1</v>
      </c>
      <c r="D195" t="s">
        <v>204</v>
      </c>
      <c r="E195" t="s">
        <v>207</v>
      </c>
      <c r="F195" t="s">
        <v>208</v>
      </c>
      <c r="G195" t="s">
        <v>209</v>
      </c>
      <c r="H195" t="s">
        <v>208</v>
      </c>
      <c r="I195">
        <v>144</v>
      </c>
      <c r="J195" t="s">
        <v>7</v>
      </c>
      <c r="K195">
        <v>0</v>
      </c>
      <c r="L195" s="5">
        <v>4</v>
      </c>
      <c r="M195">
        <v>9.8759999999999994</v>
      </c>
      <c r="N195" t="s">
        <v>21</v>
      </c>
      <c r="O195" t="str">
        <f t="shared" ref="O195:O258" si="25">IF(EXACT(N195,"ng.hr.mL-1"),"ng*h/mL",IF(EXACT(N195,"ug.mL-1"),"ug/mL",N195))</f>
        <v>nM</v>
      </c>
      <c r="R195">
        <v>4.3600000000000003</v>
      </c>
      <c r="S195" t="s">
        <v>661</v>
      </c>
      <c r="T195" t="s">
        <v>219</v>
      </c>
      <c r="U195">
        <v>5</v>
      </c>
      <c r="V195" t="s">
        <v>22</v>
      </c>
      <c r="W195" t="s">
        <v>23</v>
      </c>
      <c r="X195">
        <v>0</v>
      </c>
      <c r="Y195">
        <v>1</v>
      </c>
      <c r="AA195" t="s">
        <v>655</v>
      </c>
      <c r="AD195">
        <v>79</v>
      </c>
      <c r="AE195" t="b">
        <v>0</v>
      </c>
    </row>
    <row r="196" spans="1:31" x14ac:dyDescent="0.3">
      <c r="A196" t="s">
        <v>1025</v>
      </c>
      <c r="B196" t="s">
        <v>1026</v>
      </c>
      <c r="C196" t="b">
        <v>1</v>
      </c>
      <c r="D196" t="s">
        <v>204</v>
      </c>
      <c r="E196" t="s">
        <v>207</v>
      </c>
      <c r="F196" t="s">
        <v>208</v>
      </c>
      <c r="G196" t="s">
        <v>209</v>
      </c>
      <c r="H196" t="s">
        <v>208</v>
      </c>
      <c r="I196">
        <v>144</v>
      </c>
      <c r="J196" t="s">
        <v>6</v>
      </c>
      <c r="K196">
        <v>0</v>
      </c>
      <c r="L196" s="5">
        <v>6</v>
      </c>
      <c r="M196">
        <v>56.2</v>
      </c>
      <c r="N196" t="s">
        <v>20</v>
      </c>
      <c r="O196" t="str">
        <f t="shared" si="25"/>
        <v>ng*h/mL</v>
      </c>
      <c r="T196" t="s">
        <v>216</v>
      </c>
      <c r="U196">
        <v>12.5</v>
      </c>
      <c r="V196" t="s">
        <v>22</v>
      </c>
      <c r="W196" t="s">
        <v>23</v>
      </c>
      <c r="X196">
        <v>0</v>
      </c>
      <c r="Y196">
        <v>1</v>
      </c>
      <c r="AA196" t="s">
        <v>655</v>
      </c>
      <c r="AD196">
        <v>79</v>
      </c>
      <c r="AE196" t="b">
        <v>0</v>
      </c>
    </row>
    <row r="197" spans="1:31" x14ac:dyDescent="0.3">
      <c r="A197" t="s">
        <v>1025</v>
      </c>
      <c r="B197" t="s">
        <v>1026</v>
      </c>
      <c r="C197" t="b">
        <v>1</v>
      </c>
      <c r="D197" t="s">
        <v>204</v>
      </c>
      <c r="E197" t="s">
        <v>207</v>
      </c>
      <c r="F197" t="s">
        <v>208</v>
      </c>
      <c r="G197" t="s">
        <v>209</v>
      </c>
      <c r="H197" t="s">
        <v>208</v>
      </c>
      <c r="I197">
        <v>144</v>
      </c>
      <c r="J197" t="s">
        <v>6</v>
      </c>
      <c r="K197">
        <v>0</v>
      </c>
      <c r="L197" s="5" t="s">
        <v>654</v>
      </c>
      <c r="M197">
        <v>71.8</v>
      </c>
      <c r="N197" t="s">
        <v>20</v>
      </c>
      <c r="O197" t="str">
        <f t="shared" si="25"/>
        <v>ng*h/mL</v>
      </c>
      <c r="T197" t="s">
        <v>224</v>
      </c>
      <c r="U197">
        <v>12.5</v>
      </c>
      <c r="V197" t="s">
        <v>22</v>
      </c>
      <c r="W197" t="s">
        <v>23</v>
      </c>
      <c r="X197">
        <v>0</v>
      </c>
      <c r="Y197">
        <v>1</v>
      </c>
      <c r="AA197" t="s">
        <v>655</v>
      </c>
      <c r="AD197">
        <v>79</v>
      </c>
      <c r="AE197" t="b">
        <v>0</v>
      </c>
    </row>
    <row r="198" spans="1:31" x14ac:dyDescent="0.3">
      <c r="A198" t="s">
        <v>1025</v>
      </c>
      <c r="B198" t="s">
        <v>1026</v>
      </c>
      <c r="C198" t="b">
        <v>1</v>
      </c>
      <c r="D198" t="s">
        <v>204</v>
      </c>
      <c r="E198" t="s">
        <v>207</v>
      </c>
      <c r="F198" t="s">
        <v>208</v>
      </c>
      <c r="G198" t="s">
        <v>209</v>
      </c>
      <c r="H198" t="s">
        <v>208</v>
      </c>
      <c r="I198">
        <v>144</v>
      </c>
      <c r="J198" t="s">
        <v>7</v>
      </c>
      <c r="K198">
        <v>0</v>
      </c>
      <c r="L198" s="5">
        <v>6</v>
      </c>
      <c r="M198">
        <v>33.520000000000003</v>
      </c>
      <c r="N198" t="s">
        <v>21</v>
      </c>
      <c r="O198" t="str">
        <f t="shared" si="25"/>
        <v>nM</v>
      </c>
      <c r="R198">
        <v>14.8</v>
      </c>
      <c r="S198" t="s">
        <v>661</v>
      </c>
      <c r="T198" t="s">
        <v>217</v>
      </c>
      <c r="U198">
        <v>12.5</v>
      </c>
      <c r="V198" t="s">
        <v>22</v>
      </c>
      <c r="W198" t="s">
        <v>23</v>
      </c>
      <c r="X198">
        <v>0</v>
      </c>
      <c r="Y198">
        <v>1</v>
      </c>
      <c r="AA198" t="s">
        <v>655</v>
      </c>
      <c r="AD198">
        <v>79</v>
      </c>
      <c r="AE198" t="b">
        <v>0</v>
      </c>
    </row>
    <row r="199" spans="1:31" x14ac:dyDescent="0.3">
      <c r="A199" t="s">
        <v>601</v>
      </c>
      <c r="B199" t="s">
        <v>719</v>
      </c>
      <c r="C199" t="b">
        <v>1</v>
      </c>
      <c r="D199" t="s">
        <v>204</v>
      </c>
      <c r="E199" t="s">
        <v>207</v>
      </c>
      <c r="F199" t="s">
        <v>208</v>
      </c>
      <c r="G199" t="s">
        <v>209</v>
      </c>
      <c r="H199" t="s">
        <v>208</v>
      </c>
      <c r="I199">
        <v>144</v>
      </c>
      <c r="J199" t="s">
        <v>6</v>
      </c>
      <c r="K199">
        <v>0</v>
      </c>
      <c r="L199" s="5">
        <v>12</v>
      </c>
      <c r="M199">
        <v>128</v>
      </c>
      <c r="N199" t="s">
        <v>20</v>
      </c>
      <c r="O199" t="str">
        <f t="shared" si="25"/>
        <v>ng*h/mL</v>
      </c>
      <c r="T199" t="s">
        <v>214</v>
      </c>
      <c r="U199">
        <v>25</v>
      </c>
      <c r="V199" t="s">
        <v>22</v>
      </c>
      <c r="W199" t="s">
        <v>23</v>
      </c>
      <c r="X199">
        <v>0</v>
      </c>
      <c r="Y199">
        <v>1</v>
      </c>
      <c r="AA199" t="s">
        <v>655</v>
      </c>
      <c r="AD199">
        <v>79</v>
      </c>
      <c r="AE199" t="b">
        <v>0</v>
      </c>
    </row>
    <row r="200" spans="1:31" x14ac:dyDescent="0.3">
      <c r="A200" t="s">
        <v>601</v>
      </c>
      <c r="B200" t="s">
        <v>719</v>
      </c>
      <c r="C200" t="b">
        <v>1</v>
      </c>
      <c r="D200" t="s">
        <v>204</v>
      </c>
      <c r="E200" t="s">
        <v>207</v>
      </c>
      <c r="F200" t="s">
        <v>208</v>
      </c>
      <c r="G200" t="s">
        <v>209</v>
      </c>
      <c r="H200" t="s">
        <v>208</v>
      </c>
      <c r="I200">
        <v>144</v>
      </c>
      <c r="J200" t="s">
        <v>6</v>
      </c>
      <c r="K200">
        <v>0</v>
      </c>
      <c r="L200" s="5" t="s">
        <v>654</v>
      </c>
      <c r="M200">
        <v>142</v>
      </c>
      <c r="N200" t="s">
        <v>20</v>
      </c>
      <c r="O200" t="str">
        <f t="shared" si="25"/>
        <v>ng*h/mL</v>
      </c>
      <c r="T200" t="s">
        <v>223</v>
      </c>
      <c r="U200">
        <v>25</v>
      </c>
      <c r="V200" t="s">
        <v>22</v>
      </c>
      <c r="W200" t="s">
        <v>23</v>
      </c>
      <c r="X200">
        <v>0</v>
      </c>
      <c r="Y200">
        <v>1</v>
      </c>
      <c r="AA200" t="s">
        <v>655</v>
      </c>
      <c r="AD200">
        <v>79</v>
      </c>
      <c r="AE200" t="b">
        <v>0</v>
      </c>
    </row>
    <row r="201" spans="1:31" x14ac:dyDescent="0.3">
      <c r="A201" t="s">
        <v>601</v>
      </c>
      <c r="B201" t="s">
        <v>719</v>
      </c>
      <c r="C201" t="b">
        <v>1</v>
      </c>
      <c r="D201" t="s">
        <v>204</v>
      </c>
      <c r="E201" t="s">
        <v>207</v>
      </c>
      <c r="F201" t="s">
        <v>208</v>
      </c>
      <c r="G201" t="s">
        <v>209</v>
      </c>
      <c r="H201" t="s">
        <v>208</v>
      </c>
      <c r="I201">
        <v>144</v>
      </c>
      <c r="J201" t="s">
        <v>7</v>
      </c>
      <c r="K201">
        <v>0</v>
      </c>
      <c r="L201" s="5">
        <v>12</v>
      </c>
      <c r="M201">
        <v>94.23</v>
      </c>
      <c r="N201" t="s">
        <v>21</v>
      </c>
      <c r="O201" t="str">
        <f t="shared" si="25"/>
        <v>nM</v>
      </c>
      <c r="R201">
        <v>41.6</v>
      </c>
      <c r="S201" t="s">
        <v>661</v>
      </c>
      <c r="T201" t="s">
        <v>215</v>
      </c>
      <c r="U201">
        <v>25</v>
      </c>
      <c r="V201" t="s">
        <v>22</v>
      </c>
      <c r="W201" t="s">
        <v>23</v>
      </c>
      <c r="X201">
        <v>0</v>
      </c>
      <c r="Y201">
        <v>1</v>
      </c>
      <c r="AA201" t="s">
        <v>655</v>
      </c>
      <c r="AD201">
        <v>79</v>
      </c>
      <c r="AE201" t="b">
        <v>0</v>
      </c>
    </row>
    <row r="202" spans="1:31" x14ac:dyDescent="0.3">
      <c r="A202" t="s">
        <v>1027</v>
      </c>
      <c r="B202" t="s">
        <v>1028</v>
      </c>
      <c r="C202" t="b">
        <v>1</v>
      </c>
      <c r="D202" t="s">
        <v>204</v>
      </c>
      <c r="E202" t="s">
        <v>207</v>
      </c>
      <c r="F202" t="s">
        <v>208</v>
      </c>
      <c r="G202" t="s">
        <v>209</v>
      </c>
      <c r="H202" t="s">
        <v>208</v>
      </c>
      <c r="I202">
        <v>144</v>
      </c>
      <c r="J202" t="s">
        <v>6</v>
      </c>
      <c r="K202">
        <v>0</v>
      </c>
      <c r="L202" s="5">
        <v>12</v>
      </c>
      <c r="M202">
        <v>406</v>
      </c>
      <c r="N202" t="s">
        <v>20</v>
      </c>
      <c r="O202" t="str">
        <f t="shared" si="25"/>
        <v>ng*h/mL</v>
      </c>
      <c r="T202" t="s">
        <v>212</v>
      </c>
      <c r="U202">
        <v>50</v>
      </c>
      <c r="V202" t="s">
        <v>22</v>
      </c>
      <c r="W202" t="s">
        <v>23</v>
      </c>
      <c r="X202">
        <v>0</v>
      </c>
      <c r="Y202">
        <v>1</v>
      </c>
      <c r="AA202" t="s">
        <v>655</v>
      </c>
      <c r="AD202">
        <v>79</v>
      </c>
      <c r="AE202" t="b">
        <v>0</v>
      </c>
    </row>
    <row r="203" spans="1:31" x14ac:dyDescent="0.3">
      <c r="A203" t="s">
        <v>1027</v>
      </c>
      <c r="B203" t="s">
        <v>1028</v>
      </c>
      <c r="C203" t="b">
        <v>1</v>
      </c>
      <c r="D203" t="s">
        <v>204</v>
      </c>
      <c r="E203" t="s">
        <v>207</v>
      </c>
      <c r="F203" t="s">
        <v>208</v>
      </c>
      <c r="G203" t="s">
        <v>209</v>
      </c>
      <c r="H203" t="s">
        <v>208</v>
      </c>
      <c r="I203">
        <v>144</v>
      </c>
      <c r="J203" t="s">
        <v>6</v>
      </c>
      <c r="K203">
        <v>0</v>
      </c>
      <c r="L203" s="5" t="s">
        <v>654</v>
      </c>
      <c r="M203">
        <v>419</v>
      </c>
      <c r="N203" t="s">
        <v>20</v>
      </c>
      <c r="O203" t="str">
        <f t="shared" si="25"/>
        <v>ng*h/mL</v>
      </c>
      <c r="T203" t="s">
        <v>222</v>
      </c>
      <c r="U203">
        <v>50</v>
      </c>
      <c r="V203" t="s">
        <v>22</v>
      </c>
      <c r="W203" t="s">
        <v>23</v>
      </c>
      <c r="X203">
        <v>0</v>
      </c>
      <c r="Y203">
        <v>1</v>
      </c>
      <c r="AA203" t="s">
        <v>655</v>
      </c>
      <c r="AD203">
        <v>79</v>
      </c>
      <c r="AE203" t="b">
        <v>0</v>
      </c>
    </row>
    <row r="204" spans="1:31" x14ac:dyDescent="0.3">
      <c r="A204" t="s">
        <v>1027</v>
      </c>
      <c r="B204" t="s">
        <v>1028</v>
      </c>
      <c r="C204" t="b">
        <v>1</v>
      </c>
      <c r="D204" t="s">
        <v>204</v>
      </c>
      <c r="E204" t="s">
        <v>207</v>
      </c>
      <c r="F204" t="s">
        <v>208</v>
      </c>
      <c r="G204" t="s">
        <v>209</v>
      </c>
      <c r="H204" t="s">
        <v>208</v>
      </c>
      <c r="I204">
        <v>144</v>
      </c>
      <c r="J204" t="s">
        <v>7</v>
      </c>
      <c r="K204">
        <v>0</v>
      </c>
      <c r="L204" s="5">
        <v>12</v>
      </c>
      <c r="M204">
        <v>371.47</v>
      </c>
      <c r="N204" t="s">
        <v>21</v>
      </c>
      <c r="O204" t="str">
        <f t="shared" si="25"/>
        <v>nM</v>
      </c>
      <c r="R204">
        <v>164</v>
      </c>
      <c r="S204" t="s">
        <v>661</v>
      </c>
      <c r="T204" t="s">
        <v>213</v>
      </c>
      <c r="U204">
        <v>50</v>
      </c>
      <c r="V204" t="s">
        <v>22</v>
      </c>
      <c r="W204" t="s">
        <v>23</v>
      </c>
      <c r="X204">
        <v>0</v>
      </c>
      <c r="Y204">
        <v>1</v>
      </c>
      <c r="AA204" t="s">
        <v>655</v>
      </c>
      <c r="AD204">
        <v>79</v>
      </c>
      <c r="AE204" t="b">
        <v>0</v>
      </c>
    </row>
    <row r="205" spans="1:31" x14ac:dyDescent="0.3">
      <c r="A205" t="s">
        <v>1029</v>
      </c>
      <c r="B205" t="s">
        <v>1030</v>
      </c>
      <c r="C205" t="b">
        <v>1</v>
      </c>
      <c r="D205" t="s">
        <v>204</v>
      </c>
      <c r="E205" t="s">
        <v>207</v>
      </c>
      <c r="F205" t="s">
        <v>208</v>
      </c>
      <c r="G205" t="s">
        <v>209</v>
      </c>
      <c r="H205" t="s">
        <v>208</v>
      </c>
      <c r="I205">
        <v>144</v>
      </c>
      <c r="J205" t="s">
        <v>6</v>
      </c>
      <c r="K205">
        <v>0</v>
      </c>
      <c r="L205" s="5">
        <v>12</v>
      </c>
      <c r="M205">
        <v>763</v>
      </c>
      <c r="N205" t="s">
        <v>20</v>
      </c>
      <c r="O205" t="str">
        <f t="shared" si="25"/>
        <v>ng*h/mL</v>
      </c>
      <c r="T205" t="s">
        <v>210</v>
      </c>
      <c r="U205">
        <v>75</v>
      </c>
      <c r="V205" t="s">
        <v>22</v>
      </c>
      <c r="W205" t="s">
        <v>23</v>
      </c>
      <c r="X205">
        <v>0</v>
      </c>
      <c r="Y205">
        <v>1</v>
      </c>
      <c r="AA205" t="s">
        <v>655</v>
      </c>
      <c r="AD205">
        <v>79</v>
      </c>
      <c r="AE205" t="b">
        <v>0</v>
      </c>
    </row>
    <row r="206" spans="1:31" x14ac:dyDescent="0.3">
      <c r="A206" t="s">
        <v>1029</v>
      </c>
      <c r="B206" t="s">
        <v>1030</v>
      </c>
      <c r="C206" t="b">
        <v>1</v>
      </c>
      <c r="D206" t="s">
        <v>204</v>
      </c>
      <c r="E206" t="s">
        <v>207</v>
      </c>
      <c r="F206" t="s">
        <v>208</v>
      </c>
      <c r="G206" t="s">
        <v>209</v>
      </c>
      <c r="H206" t="s">
        <v>208</v>
      </c>
      <c r="I206">
        <v>144</v>
      </c>
      <c r="J206" t="s">
        <v>6</v>
      </c>
      <c r="K206">
        <v>0</v>
      </c>
      <c r="L206" s="5" t="s">
        <v>654</v>
      </c>
      <c r="M206">
        <v>779</v>
      </c>
      <c r="N206" t="s">
        <v>20</v>
      </c>
      <c r="O206" t="str">
        <f t="shared" si="25"/>
        <v>ng*h/mL</v>
      </c>
      <c r="T206" t="s">
        <v>221</v>
      </c>
      <c r="U206">
        <v>75</v>
      </c>
      <c r="V206" t="s">
        <v>22</v>
      </c>
      <c r="W206" t="s">
        <v>23</v>
      </c>
      <c r="X206">
        <v>0</v>
      </c>
      <c r="Y206">
        <v>1</v>
      </c>
      <c r="AA206" t="s">
        <v>655</v>
      </c>
      <c r="AD206">
        <v>79</v>
      </c>
      <c r="AE206" t="b">
        <v>0</v>
      </c>
    </row>
    <row r="207" spans="1:31" x14ac:dyDescent="0.3">
      <c r="A207" t="s">
        <v>1029</v>
      </c>
      <c r="B207" t="s">
        <v>1030</v>
      </c>
      <c r="C207" t="b">
        <v>1</v>
      </c>
      <c r="D207" t="s">
        <v>204</v>
      </c>
      <c r="E207" t="s">
        <v>207</v>
      </c>
      <c r="F207" t="s">
        <v>208</v>
      </c>
      <c r="G207" t="s">
        <v>209</v>
      </c>
      <c r="H207" t="s">
        <v>208</v>
      </c>
      <c r="I207">
        <v>144</v>
      </c>
      <c r="J207" t="s">
        <v>7</v>
      </c>
      <c r="K207">
        <v>0</v>
      </c>
      <c r="L207" s="5">
        <v>12</v>
      </c>
      <c r="M207">
        <v>788.24</v>
      </c>
      <c r="N207" t="s">
        <v>21</v>
      </c>
      <c r="O207" t="str">
        <f t="shared" si="25"/>
        <v>nM</v>
      </c>
      <c r="R207">
        <v>348</v>
      </c>
      <c r="S207" t="s">
        <v>661</v>
      </c>
      <c r="T207" t="s">
        <v>211</v>
      </c>
      <c r="U207">
        <v>75</v>
      </c>
      <c r="V207" t="s">
        <v>22</v>
      </c>
      <c r="W207" t="s">
        <v>23</v>
      </c>
      <c r="X207">
        <v>0</v>
      </c>
      <c r="Y207">
        <v>1</v>
      </c>
      <c r="AA207" t="s">
        <v>655</v>
      </c>
      <c r="AD207">
        <v>79</v>
      </c>
      <c r="AE207" t="b">
        <v>0</v>
      </c>
    </row>
    <row r="208" spans="1:31" x14ac:dyDescent="0.3">
      <c r="A208" t="s">
        <v>1031</v>
      </c>
      <c r="B208" t="s">
        <v>1032</v>
      </c>
      <c r="C208" t="b">
        <v>1</v>
      </c>
      <c r="D208" t="s">
        <v>204</v>
      </c>
      <c r="E208" t="s">
        <v>207</v>
      </c>
      <c r="F208" t="s">
        <v>208</v>
      </c>
      <c r="G208" t="s">
        <v>209</v>
      </c>
      <c r="H208" t="s">
        <v>208</v>
      </c>
      <c r="I208">
        <v>144</v>
      </c>
      <c r="J208" t="s">
        <v>6</v>
      </c>
      <c r="K208">
        <v>0</v>
      </c>
      <c r="L208" s="5">
        <v>12</v>
      </c>
      <c r="M208">
        <v>1300</v>
      </c>
      <c r="N208" t="s">
        <v>20</v>
      </c>
      <c r="O208" t="str">
        <f t="shared" si="25"/>
        <v>ng*h/mL</v>
      </c>
      <c r="T208" t="s">
        <v>205</v>
      </c>
      <c r="U208">
        <v>100</v>
      </c>
      <c r="V208" t="s">
        <v>22</v>
      </c>
      <c r="W208" t="s">
        <v>23</v>
      </c>
      <c r="X208">
        <v>0</v>
      </c>
      <c r="Y208">
        <v>1</v>
      </c>
      <c r="AA208" t="s">
        <v>655</v>
      </c>
      <c r="AD208">
        <v>79</v>
      </c>
      <c r="AE208" t="b">
        <v>0</v>
      </c>
    </row>
    <row r="209" spans="1:31" x14ac:dyDescent="0.3">
      <c r="A209" t="s">
        <v>1031</v>
      </c>
      <c r="B209" t="s">
        <v>1032</v>
      </c>
      <c r="C209" t="b">
        <v>1</v>
      </c>
      <c r="D209" t="s">
        <v>204</v>
      </c>
      <c r="E209" t="s">
        <v>207</v>
      </c>
      <c r="F209" t="s">
        <v>208</v>
      </c>
      <c r="G209" t="s">
        <v>209</v>
      </c>
      <c r="H209" t="s">
        <v>208</v>
      </c>
      <c r="I209">
        <v>144</v>
      </c>
      <c r="J209" t="s">
        <v>6</v>
      </c>
      <c r="K209">
        <v>0</v>
      </c>
      <c r="L209" s="5" t="s">
        <v>654</v>
      </c>
      <c r="M209">
        <v>1310</v>
      </c>
      <c r="N209" t="s">
        <v>20</v>
      </c>
      <c r="O209" t="str">
        <f t="shared" si="25"/>
        <v>ng*h/mL</v>
      </c>
      <c r="T209" t="s">
        <v>220</v>
      </c>
      <c r="U209">
        <v>100</v>
      </c>
      <c r="V209" t="s">
        <v>22</v>
      </c>
      <c r="W209" t="s">
        <v>23</v>
      </c>
      <c r="X209">
        <v>0</v>
      </c>
      <c r="Y209">
        <v>1</v>
      </c>
      <c r="AA209" t="s">
        <v>655</v>
      </c>
      <c r="AD209">
        <v>79</v>
      </c>
      <c r="AE209" t="b">
        <v>0</v>
      </c>
    </row>
    <row r="210" spans="1:31" x14ac:dyDescent="0.3">
      <c r="A210" t="s">
        <v>1031</v>
      </c>
      <c r="B210" t="s">
        <v>1032</v>
      </c>
      <c r="C210" t="b">
        <v>1</v>
      </c>
      <c r="D210" t="s">
        <v>204</v>
      </c>
      <c r="E210" t="s">
        <v>207</v>
      </c>
      <c r="F210" t="s">
        <v>208</v>
      </c>
      <c r="G210" t="s">
        <v>209</v>
      </c>
      <c r="H210" t="s">
        <v>208</v>
      </c>
      <c r="I210">
        <v>144</v>
      </c>
      <c r="J210" t="s">
        <v>7</v>
      </c>
      <c r="K210">
        <v>0</v>
      </c>
      <c r="L210" s="5">
        <v>12</v>
      </c>
      <c r="M210">
        <v>2122.36</v>
      </c>
      <c r="N210" t="s">
        <v>21</v>
      </c>
      <c r="O210" t="str">
        <f t="shared" si="25"/>
        <v>nM</v>
      </c>
      <c r="R210">
        <v>937</v>
      </c>
      <c r="S210" t="s">
        <v>661</v>
      </c>
      <c r="T210" t="s">
        <v>206</v>
      </c>
      <c r="U210">
        <v>100</v>
      </c>
      <c r="V210" t="s">
        <v>22</v>
      </c>
      <c r="W210" t="s">
        <v>23</v>
      </c>
      <c r="X210">
        <v>0</v>
      </c>
      <c r="Y210">
        <v>1</v>
      </c>
      <c r="AA210" t="s">
        <v>655</v>
      </c>
      <c r="AD210">
        <v>79</v>
      </c>
      <c r="AE210" t="b">
        <v>0</v>
      </c>
    </row>
    <row r="211" spans="1:31" x14ac:dyDescent="0.3">
      <c r="A211" t="s">
        <v>1033</v>
      </c>
      <c r="B211" t="s">
        <v>1034</v>
      </c>
      <c r="C211" t="b">
        <v>1</v>
      </c>
      <c r="D211" t="s">
        <v>226</v>
      </c>
      <c r="E211" t="s">
        <v>229</v>
      </c>
      <c r="F211" t="s">
        <v>230</v>
      </c>
      <c r="G211" t="s">
        <v>231</v>
      </c>
      <c r="H211" t="s">
        <v>230</v>
      </c>
      <c r="I211">
        <v>96</v>
      </c>
      <c r="J211" t="s">
        <v>6</v>
      </c>
      <c r="K211">
        <v>0</v>
      </c>
      <c r="L211" s="5" t="s">
        <v>654</v>
      </c>
      <c r="M211">
        <v>1243</v>
      </c>
      <c r="N211" t="s">
        <v>20</v>
      </c>
      <c r="O211" t="str">
        <f t="shared" si="25"/>
        <v>ng*h/mL</v>
      </c>
      <c r="T211" t="s">
        <v>227</v>
      </c>
      <c r="U211">
        <v>20</v>
      </c>
      <c r="V211" t="s">
        <v>22</v>
      </c>
      <c r="W211" t="s">
        <v>23</v>
      </c>
      <c r="X211">
        <v>0</v>
      </c>
      <c r="Y211">
        <v>1</v>
      </c>
      <c r="AA211" t="s">
        <v>655</v>
      </c>
      <c r="AE211" t="b">
        <v>0</v>
      </c>
    </row>
    <row r="212" spans="1:31" x14ac:dyDescent="0.3">
      <c r="A212" t="s">
        <v>1033</v>
      </c>
      <c r="B212" t="s">
        <v>1034</v>
      </c>
      <c r="C212" t="b">
        <v>1</v>
      </c>
      <c r="D212" t="s">
        <v>226</v>
      </c>
      <c r="E212" t="s">
        <v>229</v>
      </c>
      <c r="F212" t="s">
        <v>230</v>
      </c>
      <c r="G212" t="s">
        <v>231</v>
      </c>
      <c r="H212" t="s">
        <v>230</v>
      </c>
      <c r="I212">
        <v>96</v>
      </c>
      <c r="J212" t="s">
        <v>6</v>
      </c>
      <c r="K212">
        <v>0</v>
      </c>
      <c r="L212" s="5">
        <v>24</v>
      </c>
      <c r="M212">
        <v>732</v>
      </c>
      <c r="N212" t="s">
        <v>20</v>
      </c>
      <c r="O212" t="str">
        <f t="shared" si="25"/>
        <v>ng*h/mL</v>
      </c>
      <c r="T212" t="s">
        <v>844</v>
      </c>
      <c r="U212">
        <v>20</v>
      </c>
      <c r="V212" t="s">
        <v>22</v>
      </c>
      <c r="W212" t="s">
        <v>23</v>
      </c>
      <c r="X212">
        <v>0</v>
      </c>
      <c r="Y212">
        <v>1</v>
      </c>
      <c r="AA212" t="s">
        <v>655</v>
      </c>
      <c r="AE212" t="b">
        <v>0</v>
      </c>
    </row>
    <row r="213" spans="1:31" x14ac:dyDescent="0.3">
      <c r="A213" t="s">
        <v>1033</v>
      </c>
      <c r="B213" t="s">
        <v>1034</v>
      </c>
      <c r="C213" t="b">
        <v>1</v>
      </c>
      <c r="D213" t="s">
        <v>226</v>
      </c>
      <c r="E213" t="s">
        <v>229</v>
      </c>
      <c r="F213" t="s">
        <v>230</v>
      </c>
      <c r="G213" t="s">
        <v>231</v>
      </c>
      <c r="H213" t="s">
        <v>230</v>
      </c>
      <c r="I213">
        <v>96</v>
      </c>
      <c r="J213" t="s">
        <v>6</v>
      </c>
      <c r="K213">
        <v>0</v>
      </c>
      <c r="L213" s="5">
        <v>96</v>
      </c>
      <c r="M213">
        <v>1029</v>
      </c>
      <c r="N213" t="s">
        <v>20</v>
      </c>
      <c r="O213" t="str">
        <f t="shared" si="25"/>
        <v>ng*h/mL</v>
      </c>
      <c r="T213" t="s">
        <v>845</v>
      </c>
      <c r="U213">
        <v>20</v>
      </c>
      <c r="V213" t="s">
        <v>22</v>
      </c>
      <c r="W213" t="s">
        <v>23</v>
      </c>
      <c r="X213">
        <v>0</v>
      </c>
      <c r="Y213">
        <v>1</v>
      </c>
      <c r="AA213" t="s">
        <v>655</v>
      </c>
      <c r="AE213" t="b">
        <v>0</v>
      </c>
    </row>
    <row r="214" spans="1:31" x14ac:dyDescent="0.3">
      <c r="A214" t="s">
        <v>1033</v>
      </c>
      <c r="B214" t="s">
        <v>1034</v>
      </c>
      <c r="C214" t="b">
        <v>1</v>
      </c>
      <c r="D214" t="s">
        <v>226</v>
      </c>
      <c r="E214" t="s">
        <v>229</v>
      </c>
      <c r="F214" t="s">
        <v>230</v>
      </c>
      <c r="G214" t="s">
        <v>231</v>
      </c>
      <c r="H214" t="s">
        <v>230</v>
      </c>
      <c r="I214">
        <v>96</v>
      </c>
      <c r="J214" t="s">
        <v>7</v>
      </c>
      <c r="K214">
        <v>0</v>
      </c>
      <c r="L214" s="5">
        <v>96</v>
      </c>
      <c r="M214">
        <v>599.05999999999995</v>
      </c>
      <c r="N214" t="s">
        <v>21</v>
      </c>
      <c r="O214" t="str">
        <f t="shared" si="25"/>
        <v>nM</v>
      </c>
      <c r="R214">
        <v>136.1</v>
      </c>
      <c r="S214" t="s">
        <v>661</v>
      </c>
      <c r="T214" t="s">
        <v>228</v>
      </c>
      <c r="U214">
        <v>20</v>
      </c>
      <c r="V214" t="s">
        <v>22</v>
      </c>
      <c r="W214" t="s">
        <v>23</v>
      </c>
      <c r="X214">
        <v>0</v>
      </c>
      <c r="Y214">
        <v>1</v>
      </c>
      <c r="AA214" t="s">
        <v>655</v>
      </c>
      <c r="AE214" t="b">
        <v>0</v>
      </c>
    </row>
    <row r="215" spans="1:31" x14ac:dyDescent="0.3">
      <c r="A215" t="s">
        <v>602</v>
      </c>
      <c r="B215" t="s">
        <v>720</v>
      </c>
      <c r="C215" t="b">
        <v>1</v>
      </c>
      <c r="D215" t="s">
        <v>232</v>
      </c>
      <c r="E215" t="s">
        <v>235</v>
      </c>
      <c r="F215" t="s">
        <v>236</v>
      </c>
      <c r="G215" t="s">
        <v>237</v>
      </c>
      <c r="H215" t="s">
        <v>236</v>
      </c>
      <c r="I215">
        <v>24</v>
      </c>
      <c r="J215" t="s">
        <v>6</v>
      </c>
      <c r="K215">
        <v>0</v>
      </c>
      <c r="L215" s="5" t="s">
        <v>654</v>
      </c>
      <c r="M215">
        <v>11600</v>
      </c>
      <c r="N215" t="s">
        <v>20</v>
      </c>
      <c r="O215" t="str">
        <f t="shared" si="25"/>
        <v>ng*h/mL</v>
      </c>
      <c r="T215" t="s">
        <v>233</v>
      </c>
      <c r="U215">
        <v>250</v>
      </c>
      <c r="V215" t="s">
        <v>22</v>
      </c>
      <c r="W215" t="s">
        <v>23</v>
      </c>
      <c r="X215">
        <v>0</v>
      </c>
      <c r="Y215">
        <v>1</v>
      </c>
      <c r="AA215" t="s">
        <v>655</v>
      </c>
      <c r="AD215">
        <v>74.400000000000006</v>
      </c>
      <c r="AE215" t="b">
        <v>0</v>
      </c>
    </row>
    <row r="216" spans="1:31" x14ac:dyDescent="0.3">
      <c r="A216" t="s">
        <v>602</v>
      </c>
      <c r="B216" t="s">
        <v>720</v>
      </c>
      <c r="C216" t="b">
        <v>1</v>
      </c>
      <c r="D216" t="s">
        <v>232</v>
      </c>
      <c r="E216" t="s">
        <v>235</v>
      </c>
      <c r="F216" t="s">
        <v>236</v>
      </c>
      <c r="G216" t="s">
        <v>237</v>
      </c>
      <c r="H216" t="s">
        <v>236</v>
      </c>
      <c r="I216">
        <v>24</v>
      </c>
      <c r="J216" t="s">
        <v>6</v>
      </c>
      <c r="K216">
        <v>0</v>
      </c>
      <c r="L216" s="5">
        <v>24</v>
      </c>
      <c r="M216">
        <v>11300</v>
      </c>
      <c r="N216" t="s">
        <v>20</v>
      </c>
      <c r="O216" t="str">
        <f t="shared" si="25"/>
        <v>ng*h/mL</v>
      </c>
      <c r="T216" t="s">
        <v>846</v>
      </c>
      <c r="U216">
        <v>250</v>
      </c>
      <c r="V216" t="s">
        <v>22</v>
      </c>
      <c r="W216" t="s">
        <v>23</v>
      </c>
      <c r="X216">
        <v>0</v>
      </c>
      <c r="Y216">
        <v>1</v>
      </c>
      <c r="AA216" t="s">
        <v>655</v>
      </c>
      <c r="AD216">
        <v>74.400000000000006</v>
      </c>
      <c r="AE216" t="b">
        <v>0</v>
      </c>
    </row>
    <row r="217" spans="1:31" x14ac:dyDescent="0.3">
      <c r="A217" t="s">
        <v>602</v>
      </c>
      <c r="B217" t="s">
        <v>720</v>
      </c>
      <c r="C217" t="b">
        <v>1</v>
      </c>
      <c r="D217" t="s">
        <v>232</v>
      </c>
      <c r="E217" t="s">
        <v>235</v>
      </c>
      <c r="F217" t="s">
        <v>236</v>
      </c>
      <c r="G217" t="s">
        <v>237</v>
      </c>
      <c r="H217" t="s">
        <v>236</v>
      </c>
      <c r="I217">
        <v>24</v>
      </c>
      <c r="J217" t="s">
        <v>7</v>
      </c>
      <c r="K217">
        <v>0</v>
      </c>
      <c r="L217" s="5">
        <v>24</v>
      </c>
      <c r="M217">
        <v>4460.59</v>
      </c>
      <c r="N217" t="s">
        <v>21</v>
      </c>
      <c r="O217" t="str">
        <f t="shared" si="25"/>
        <v>nM</v>
      </c>
      <c r="R217">
        <v>2.21</v>
      </c>
      <c r="S217" t="s">
        <v>660</v>
      </c>
      <c r="T217" t="s">
        <v>234</v>
      </c>
      <c r="U217">
        <v>250</v>
      </c>
      <c r="V217" t="s">
        <v>22</v>
      </c>
      <c r="W217" t="s">
        <v>23</v>
      </c>
      <c r="X217">
        <v>0</v>
      </c>
      <c r="Y217">
        <v>1</v>
      </c>
      <c r="AA217" t="s">
        <v>655</v>
      </c>
      <c r="AD217">
        <v>74.400000000000006</v>
      </c>
      <c r="AE217" t="b">
        <v>0</v>
      </c>
    </row>
    <row r="218" spans="1:31" x14ac:dyDescent="0.3">
      <c r="A218" t="s">
        <v>1035</v>
      </c>
      <c r="B218" t="s">
        <v>1036</v>
      </c>
      <c r="C218" t="b">
        <v>1</v>
      </c>
      <c r="D218" t="s">
        <v>232</v>
      </c>
      <c r="E218" t="s">
        <v>235</v>
      </c>
      <c r="F218" t="s">
        <v>236</v>
      </c>
      <c r="G218" t="s">
        <v>237</v>
      </c>
      <c r="H218" t="s">
        <v>236</v>
      </c>
      <c r="I218">
        <v>24</v>
      </c>
      <c r="J218" t="s">
        <v>6</v>
      </c>
      <c r="K218">
        <v>0</v>
      </c>
      <c r="L218" s="5" t="s">
        <v>654</v>
      </c>
      <c r="M218">
        <v>24600</v>
      </c>
      <c r="N218" t="s">
        <v>20</v>
      </c>
      <c r="O218" t="str">
        <f t="shared" si="25"/>
        <v>ng*h/mL</v>
      </c>
      <c r="T218" t="s">
        <v>238</v>
      </c>
      <c r="U218">
        <v>500</v>
      </c>
      <c r="V218" t="s">
        <v>22</v>
      </c>
      <c r="W218" t="s">
        <v>23</v>
      </c>
      <c r="X218">
        <v>0</v>
      </c>
      <c r="Y218">
        <v>1</v>
      </c>
      <c r="AA218" t="s">
        <v>655</v>
      </c>
      <c r="AD218">
        <v>74.400000000000006</v>
      </c>
      <c r="AE218" t="b">
        <v>0</v>
      </c>
    </row>
    <row r="219" spans="1:31" x14ac:dyDescent="0.3">
      <c r="A219" t="s">
        <v>1035</v>
      </c>
      <c r="B219" t="s">
        <v>1036</v>
      </c>
      <c r="C219" t="b">
        <v>1</v>
      </c>
      <c r="D219" t="s">
        <v>232</v>
      </c>
      <c r="E219" t="s">
        <v>235</v>
      </c>
      <c r="F219" t="s">
        <v>236</v>
      </c>
      <c r="G219" t="s">
        <v>237</v>
      </c>
      <c r="H219" t="s">
        <v>236</v>
      </c>
      <c r="I219">
        <v>24</v>
      </c>
      <c r="J219" t="s">
        <v>6</v>
      </c>
      <c r="K219">
        <v>0</v>
      </c>
      <c r="L219" s="5">
        <v>24</v>
      </c>
      <c r="M219">
        <v>24300</v>
      </c>
      <c r="N219" t="s">
        <v>20</v>
      </c>
      <c r="O219" t="str">
        <f t="shared" si="25"/>
        <v>ng*h/mL</v>
      </c>
      <c r="T219" t="s">
        <v>847</v>
      </c>
      <c r="U219">
        <v>500</v>
      </c>
      <c r="V219" t="s">
        <v>22</v>
      </c>
      <c r="W219" t="s">
        <v>23</v>
      </c>
      <c r="X219">
        <v>0</v>
      </c>
      <c r="Y219">
        <v>1</v>
      </c>
      <c r="AA219" t="s">
        <v>655</v>
      </c>
      <c r="AD219">
        <v>74.400000000000006</v>
      </c>
      <c r="AE219" t="b">
        <v>0</v>
      </c>
    </row>
    <row r="220" spans="1:31" x14ac:dyDescent="0.3">
      <c r="A220" t="s">
        <v>1035</v>
      </c>
      <c r="B220" t="s">
        <v>1036</v>
      </c>
      <c r="C220" t="b">
        <v>1</v>
      </c>
      <c r="D220" t="s">
        <v>232</v>
      </c>
      <c r="E220" t="s">
        <v>235</v>
      </c>
      <c r="F220" t="s">
        <v>236</v>
      </c>
      <c r="G220" t="s">
        <v>237</v>
      </c>
      <c r="H220" t="s">
        <v>236</v>
      </c>
      <c r="I220">
        <v>24</v>
      </c>
      <c r="J220" t="s">
        <v>7</v>
      </c>
      <c r="K220">
        <v>0</v>
      </c>
      <c r="L220" s="5">
        <v>24</v>
      </c>
      <c r="M220">
        <v>8053.28</v>
      </c>
      <c r="N220" t="s">
        <v>21</v>
      </c>
      <c r="O220" t="str">
        <f t="shared" si="25"/>
        <v>nM</v>
      </c>
      <c r="R220">
        <v>3.99</v>
      </c>
      <c r="S220" t="s">
        <v>660</v>
      </c>
      <c r="T220" t="s">
        <v>239</v>
      </c>
      <c r="U220">
        <v>500</v>
      </c>
      <c r="V220" t="s">
        <v>22</v>
      </c>
      <c r="W220" t="s">
        <v>23</v>
      </c>
      <c r="X220">
        <v>0</v>
      </c>
      <c r="Y220">
        <v>1</v>
      </c>
      <c r="AA220" t="s">
        <v>655</v>
      </c>
      <c r="AD220">
        <v>74.400000000000006</v>
      </c>
      <c r="AE220" t="b">
        <v>0</v>
      </c>
    </row>
    <row r="221" spans="1:31" x14ac:dyDescent="0.3">
      <c r="A221" t="s">
        <v>1037</v>
      </c>
      <c r="B221" t="s">
        <v>1038</v>
      </c>
      <c r="C221" t="b">
        <v>1</v>
      </c>
      <c r="D221" t="s">
        <v>232</v>
      </c>
      <c r="E221" t="s">
        <v>235</v>
      </c>
      <c r="F221" t="s">
        <v>236</v>
      </c>
      <c r="G221" t="s">
        <v>237</v>
      </c>
      <c r="H221" t="s">
        <v>236</v>
      </c>
      <c r="I221">
        <v>24</v>
      </c>
      <c r="J221" t="s">
        <v>6</v>
      </c>
      <c r="K221">
        <v>0</v>
      </c>
      <c r="L221" s="5" t="s">
        <v>654</v>
      </c>
      <c r="M221">
        <v>32500</v>
      </c>
      <c r="N221" t="s">
        <v>20</v>
      </c>
      <c r="O221" t="str">
        <f t="shared" si="25"/>
        <v>ng*h/mL</v>
      </c>
      <c r="T221" t="s">
        <v>240</v>
      </c>
      <c r="U221">
        <v>1000</v>
      </c>
      <c r="V221" t="s">
        <v>22</v>
      </c>
      <c r="W221" t="s">
        <v>23</v>
      </c>
      <c r="X221">
        <v>0</v>
      </c>
      <c r="Y221">
        <v>1</v>
      </c>
      <c r="AA221" t="s">
        <v>655</v>
      </c>
      <c r="AD221">
        <v>74.400000000000006</v>
      </c>
      <c r="AE221" t="b">
        <v>0</v>
      </c>
    </row>
    <row r="222" spans="1:31" x14ac:dyDescent="0.3">
      <c r="A222" t="s">
        <v>1037</v>
      </c>
      <c r="B222" t="s">
        <v>1038</v>
      </c>
      <c r="C222" t="b">
        <v>1</v>
      </c>
      <c r="D222" t="s">
        <v>232</v>
      </c>
      <c r="E222" t="s">
        <v>235</v>
      </c>
      <c r="F222" t="s">
        <v>236</v>
      </c>
      <c r="G222" t="s">
        <v>237</v>
      </c>
      <c r="H222" t="s">
        <v>236</v>
      </c>
      <c r="I222">
        <v>24</v>
      </c>
      <c r="J222" t="s">
        <v>6</v>
      </c>
      <c r="K222">
        <v>0</v>
      </c>
      <c r="L222" s="5">
        <v>24</v>
      </c>
      <c r="M222">
        <v>32100</v>
      </c>
      <c r="N222" t="s">
        <v>20</v>
      </c>
      <c r="O222" t="str">
        <f t="shared" si="25"/>
        <v>ng*h/mL</v>
      </c>
      <c r="T222" t="s">
        <v>848</v>
      </c>
      <c r="U222">
        <v>1000</v>
      </c>
      <c r="V222" t="s">
        <v>22</v>
      </c>
      <c r="W222" t="s">
        <v>23</v>
      </c>
      <c r="X222">
        <v>0</v>
      </c>
      <c r="Y222">
        <v>1</v>
      </c>
      <c r="AA222" t="s">
        <v>655</v>
      </c>
      <c r="AD222">
        <v>74.400000000000006</v>
      </c>
      <c r="AE222" t="b">
        <v>0</v>
      </c>
    </row>
    <row r="223" spans="1:31" x14ac:dyDescent="0.3">
      <c r="A223" t="s">
        <v>1037</v>
      </c>
      <c r="B223" t="s">
        <v>1038</v>
      </c>
      <c r="C223" t="b">
        <v>1</v>
      </c>
      <c r="D223" t="s">
        <v>232</v>
      </c>
      <c r="E223" t="s">
        <v>235</v>
      </c>
      <c r="F223" t="s">
        <v>236</v>
      </c>
      <c r="G223" t="s">
        <v>237</v>
      </c>
      <c r="H223" t="s">
        <v>236</v>
      </c>
      <c r="I223">
        <v>24</v>
      </c>
      <c r="J223" t="s">
        <v>7</v>
      </c>
      <c r="K223">
        <v>0</v>
      </c>
      <c r="L223" s="5">
        <v>24</v>
      </c>
      <c r="M223">
        <v>10374.41</v>
      </c>
      <c r="N223" t="s">
        <v>21</v>
      </c>
      <c r="O223" t="str">
        <f t="shared" si="25"/>
        <v>nM</v>
      </c>
      <c r="R223">
        <v>5.14</v>
      </c>
      <c r="S223" t="s">
        <v>660</v>
      </c>
      <c r="T223" t="s">
        <v>241</v>
      </c>
      <c r="U223">
        <v>1000</v>
      </c>
      <c r="V223" t="s">
        <v>22</v>
      </c>
      <c r="W223" t="s">
        <v>23</v>
      </c>
      <c r="X223">
        <v>0</v>
      </c>
      <c r="Y223">
        <v>1</v>
      </c>
      <c r="AA223" t="s">
        <v>655</v>
      </c>
      <c r="AD223">
        <v>74.400000000000006</v>
      </c>
      <c r="AE223" t="b">
        <v>0</v>
      </c>
    </row>
    <row r="224" spans="1:31" x14ac:dyDescent="0.3">
      <c r="A224" t="s">
        <v>603</v>
      </c>
      <c r="B224" t="s">
        <v>721</v>
      </c>
      <c r="C224" t="b">
        <v>1</v>
      </c>
      <c r="D224" t="s">
        <v>232</v>
      </c>
      <c r="E224" t="s">
        <v>235</v>
      </c>
      <c r="F224" t="s">
        <v>236</v>
      </c>
      <c r="G224" t="s">
        <v>237</v>
      </c>
      <c r="H224" t="s">
        <v>236</v>
      </c>
      <c r="I224">
        <v>24</v>
      </c>
      <c r="J224" t="s">
        <v>6</v>
      </c>
      <c r="K224">
        <v>0</v>
      </c>
      <c r="L224" s="5" t="s">
        <v>654</v>
      </c>
      <c r="M224">
        <v>30600</v>
      </c>
      <c r="N224" t="s">
        <v>20</v>
      </c>
      <c r="O224" t="str">
        <f t="shared" si="25"/>
        <v>ng*h/mL</v>
      </c>
      <c r="T224" t="s">
        <v>242</v>
      </c>
      <c r="U224">
        <v>1500</v>
      </c>
      <c r="V224" t="s">
        <v>22</v>
      </c>
      <c r="W224" t="s">
        <v>23</v>
      </c>
      <c r="X224">
        <v>0</v>
      </c>
      <c r="Y224">
        <v>1</v>
      </c>
      <c r="AA224" t="s">
        <v>655</v>
      </c>
      <c r="AD224">
        <v>74.400000000000006</v>
      </c>
      <c r="AE224" t="b">
        <v>0</v>
      </c>
    </row>
    <row r="225" spans="1:31" x14ac:dyDescent="0.3">
      <c r="A225" t="s">
        <v>603</v>
      </c>
      <c r="B225" t="s">
        <v>721</v>
      </c>
      <c r="C225" t="b">
        <v>1</v>
      </c>
      <c r="D225" t="s">
        <v>232</v>
      </c>
      <c r="E225" t="s">
        <v>235</v>
      </c>
      <c r="F225" t="s">
        <v>236</v>
      </c>
      <c r="G225" t="s">
        <v>237</v>
      </c>
      <c r="H225" t="s">
        <v>236</v>
      </c>
      <c r="I225">
        <v>24</v>
      </c>
      <c r="J225" t="s">
        <v>6</v>
      </c>
      <c r="K225">
        <v>0</v>
      </c>
      <c r="L225" s="5">
        <v>24</v>
      </c>
      <c r="M225">
        <v>30300</v>
      </c>
      <c r="N225" t="s">
        <v>20</v>
      </c>
      <c r="O225" t="str">
        <f t="shared" si="25"/>
        <v>ng*h/mL</v>
      </c>
      <c r="T225" t="s">
        <v>849</v>
      </c>
      <c r="U225">
        <v>1500</v>
      </c>
      <c r="V225" t="s">
        <v>22</v>
      </c>
      <c r="W225" t="s">
        <v>23</v>
      </c>
      <c r="X225">
        <v>0</v>
      </c>
      <c r="Y225">
        <v>1</v>
      </c>
      <c r="AA225" t="s">
        <v>655</v>
      </c>
      <c r="AD225">
        <v>74.400000000000006</v>
      </c>
      <c r="AE225" t="b">
        <v>0</v>
      </c>
    </row>
    <row r="226" spans="1:31" x14ac:dyDescent="0.3">
      <c r="A226" t="s">
        <v>603</v>
      </c>
      <c r="B226" t="s">
        <v>721</v>
      </c>
      <c r="C226" t="b">
        <v>1</v>
      </c>
      <c r="D226" t="s">
        <v>232</v>
      </c>
      <c r="E226" t="s">
        <v>235</v>
      </c>
      <c r="F226" t="s">
        <v>236</v>
      </c>
      <c r="G226" t="s">
        <v>237</v>
      </c>
      <c r="H226" t="s">
        <v>236</v>
      </c>
      <c r="I226">
        <v>24</v>
      </c>
      <c r="J226" t="s">
        <v>7</v>
      </c>
      <c r="K226">
        <v>0</v>
      </c>
      <c r="L226" s="5">
        <v>24</v>
      </c>
      <c r="M226">
        <v>9789.08</v>
      </c>
      <c r="N226" t="s">
        <v>21</v>
      </c>
      <c r="O226" t="str">
        <f t="shared" si="25"/>
        <v>nM</v>
      </c>
      <c r="R226">
        <v>4.8499999999999996</v>
      </c>
      <c r="S226" t="s">
        <v>660</v>
      </c>
      <c r="T226" t="s">
        <v>243</v>
      </c>
      <c r="U226">
        <v>1500</v>
      </c>
      <c r="V226" t="s">
        <v>22</v>
      </c>
      <c r="W226" t="s">
        <v>23</v>
      </c>
      <c r="X226">
        <v>0</v>
      </c>
      <c r="Y226">
        <v>1</v>
      </c>
      <c r="AA226" t="s">
        <v>655</v>
      </c>
      <c r="AD226">
        <v>74.400000000000006</v>
      </c>
      <c r="AE226" t="b">
        <v>0</v>
      </c>
    </row>
    <row r="227" spans="1:31" x14ac:dyDescent="0.3">
      <c r="A227" t="s">
        <v>1039</v>
      </c>
      <c r="B227" t="s">
        <v>1040</v>
      </c>
      <c r="C227" t="b">
        <v>1</v>
      </c>
      <c r="D227" t="s">
        <v>232</v>
      </c>
      <c r="E227" t="s">
        <v>235</v>
      </c>
      <c r="F227" t="s">
        <v>236</v>
      </c>
      <c r="G227" t="s">
        <v>237</v>
      </c>
      <c r="H227" t="s">
        <v>236</v>
      </c>
      <c r="I227">
        <v>24</v>
      </c>
      <c r="J227" t="s">
        <v>6</v>
      </c>
      <c r="K227">
        <v>0</v>
      </c>
      <c r="L227" s="5" t="s">
        <v>654</v>
      </c>
      <c r="M227">
        <v>37900</v>
      </c>
      <c r="N227" t="s">
        <v>20</v>
      </c>
      <c r="O227" t="str">
        <f t="shared" si="25"/>
        <v>ng*h/mL</v>
      </c>
      <c r="T227" t="s">
        <v>244</v>
      </c>
      <c r="U227">
        <v>1750</v>
      </c>
      <c r="V227" t="s">
        <v>22</v>
      </c>
      <c r="W227" t="s">
        <v>23</v>
      </c>
      <c r="X227">
        <v>0</v>
      </c>
      <c r="Y227">
        <v>1</v>
      </c>
      <c r="AA227" t="s">
        <v>655</v>
      </c>
      <c r="AD227">
        <v>74.400000000000006</v>
      </c>
      <c r="AE227" t="b">
        <v>0</v>
      </c>
    </row>
    <row r="228" spans="1:31" x14ac:dyDescent="0.3">
      <c r="A228" t="s">
        <v>1039</v>
      </c>
      <c r="B228" t="s">
        <v>1040</v>
      </c>
      <c r="C228" t="b">
        <v>1</v>
      </c>
      <c r="D228" t="s">
        <v>232</v>
      </c>
      <c r="E228" t="s">
        <v>235</v>
      </c>
      <c r="F228" t="s">
        <v>236</v>
      </c>
      <c r="G228" t="s">
        <v>237</v>
      </c>
      <c r="H228" t="s">
        <v>236</v>
      </c>
      <c r="I228">
        <v>24</v>
      </c>
      <c r="J228" t="s">
        <v>6</v>
      </c>
      <c r="K228">
        <v>0</v>
      </c>
      <c r="L228" s="5">
        <v>24</v>
      </c>
      <c r="M228">
        <v>37400</v>
      </c>
      <c r="N228" t="s">
        <v>20</v>
      </c>
      <c r="O228" t="str">
        <f t="shared" si="25"/>
        <v>ng*h/mL</v>
      </c>
      <c r="T228" t="s">
        <v>850</v>
      </c>
      <c r="U228">
        <v>1750</v>
      </c>
      <c r="V228" t="s">
        <v>22</v>
      </c>
      <c r="W228" t="s">
        <v>23</v>
      </c>
      <c r="X228">
        <v>0</v>
      </c>
      <c r="Y228">
        <v>1</v>
      </c>
      <c r="AA228" t="s">
        <v>655</v>
      </c>
      <c r="AD228">
        <v>74.400000000000006</v>
      </c>
      <c r="AE228" t="b">
        <v>0</v>
      </c>
    </row>
    <row r="229" spans="1:31" x14ac:dyDescent="0.3">
      <c r="A229" t="s">
        <v>1039</v>
      </c>
      <c r="B229" t="s">
        <v>1040</v>
      </c>
      <c r="C229" t="b">
        <v>1</v>
      </c>
      <c r="D229" t="s">
        <v>232</v>
      </c>
      <c r="E229" t="s">
        <v>235</v>
      </c>
      <c r="F229" t="s">
        <v>236</v>
      </c>
      <c r="G229" t="s">
        <v>237</v>
      </c>
      <c r="H229" t="s">
        <v>236</v>
      </c>
      <c r="I229">
        <v>24</v>
      </c>
      <c r="J229" t="s">
        <v>7</v>
      </c>
      <c r="K229">
        <v>0</v>
      </c>
      <c r="L229" s="5">
        <v>24</v>
      </c>
      <c r="M229">
        <v>12998.28</v>
      </c>
      <c r="N229" t="s">
        <v>21</v>
      </c>
      <c r="O229" t="str">
        <f t="shared" si="25"/>
        <v>nM</v>
      </c>
      <c r="R229">
        <v>6.44</v>
      </c>
      <c r="S229" t="s">
        <v>660</v>
      </c>
      <c r="T229" t="s">
        <v>245</v>
      </c>
      <c r="U229">
        <v>1750</v>
      </c>
      <c r="V229" t="s">
        <v>22</v>
      </c>
      <c r="W229" t="s">
        <v>23</v>
      </c>
      <c r="X229">
        <v>0</v>
      </c>
      <c r="Y229">
        <v>1</v>
      </c>
      <c r="AA229" t="s">
        <v>655</v>
      </c>
      <c r="AD229">
        <v>74.400000000000006</v>
      </c>
      <c r="AE229" t="b">
        <v>0</v>
      </c>
    </row>
    <row r="230" spans="1:31" x14ac:dyDescent="0.3">
      <c r="A230" t="s">
        <v>1041</v>
      </c>
      <c r="B230" t="s">
        <v>1042</v>
      </c>
      <c r="C230" t="b">
        <v>1</v>
      </c>
      <c r="D230" t="s">
        <v>232</v>
      </c>
      <c r="E230" t="s">
        <v>235</v>
      </c>
      <c r="F230" t="s">
        <v>236</v>
      </c>
      <c r="G230" t="s">
        <v>237</v>
      </c>
      <c r="H230" t="s">
        <v>236</v>
      </c>
      <c r="I230">
        <v>24</v>
      </c>
      <c r="J230" t="s">
        <v>6</v>
      </c>
      <c r="K230">
        <v>0</v>
      </c>
      <c r="L230" s="5" t="s">
        <v>654</v>
      </c>
      <c r="M230">
        <v>40700</v>
      </c>
      <c r="N230" t="s">
        <v>20</v>
      </c>
      <c r="O230" t="str">
        <f t="shared" si="25"/>
        <v>ng*h/mL</v>
      </c>
      <c r="T230" t="s">
        <v>246</v>
      </c>
      <c r="U230">
        <v>2000</v>
      </c>
      <c r="V230" t="s">
        <v>22</v>
      </c>
      <c r="W230" t="s">
        <v>23</v>
      </c>
      <c r="X230">
        <v>0</v>
      </c>
      <c r="Y230">
        <v>1</v>
      </c>
      <c r="AA230" t="s">
        <v>655</v>
      </c>
      <c r="AD230">
        <v>74.400000000000006</v>
      </c>
      <c r="AE230" t="b">
        <v>0</v>
      </c>
    </row>
    <row r="231" spans="1:31" x14ac:dyDescent="0.3">
      <c r="A231" t="s">
        <v>1041</v>
      </c>
      <c r="B231" t="s">
        <v>1042</v>
      </c>
      <c r="C231" t="b">
        <v>1</v>
      </c>
      <c r="D231" t="s">
        <v>232</v>
      </c>
      <c r="E231" t="s">
        <v>235</v>
      </c>
      <c r="F231" t="s">
        <v>236</v>
      </c>
      <c r="G231" t="s">
        <v>237</v>
      </c>
      <c r="H231" t="s">
        <v>236</v>
      </c>
      <c r="I231">
        <v>24</v>
      </c>
      <c r="J231" t="s">
        <v>6</v>
      </c>
      <c r="K231">
        <v>0</v>
      </c>
      <c r="L231" s="5">
        <v>24</v>
      </c>
      <c r="M231">
        <v>40200</v>
      </c>
      <c r="N231" t="s">
        <v>20</v>
      </c>
      <c r="O231" t="str">
        <f t="shared" si="25"/>
        <v>ng*h/mL</v>
      </c>
      <c r="T231" t="s">
        <v>851</v>
      </c>
      <c r="U231">
        <v>2000</v>
      </c>
      <c r="V231" t="s">
        <v>22</v>
      </c>
      <c r="W231" t="s">
        <v>23</v>
      </c>
      <c r="X231">
        <v>0</v>
      </c>
      <c r="Y231">
        <v>1</v>
      </c>
      <c r="AA231" t="s">
        <v>655</v>
      </c>
      <c r="AD231">
        <v>74.400000000000006</v>
      </c>
      <c r="AE231" t="b">
        <v>0</v>
      </c>
    </row>
    <row r="232" spans="1:31" x14ac:dyDescent="0.3">
      <c r="A232" t="s">
        <v>1041</v>
      </c>
      <c r="B232" t="s">
        <v>1042</v>
      </c>
      <c r="C232" t="b">
        <v>1</v>
      </c>
      <c r="D232" t="s">
        <v>232</v>
      </c>
      <c r="E232" t="s">
        <v>235</v>
      </c>
      <c r="F232" t="s">
        <v>236</v>
      </c>
      <c r="G232" t="s">
        <v>237</v>
      </c>
      <c r="H232" t="s">
        <v>236</v>
      </c>
      <c r="I232">
        <v>24</v>
      </c>
      <c r="J232" t="s">
        <v>7</v>
      </c>
      <c r="K232">
        <v>0</v>
      </c>
      <c r="L232" s="5">
        <v>24</v>
      </c>
      <c r="M232">
        <v>12957.92</v>
      </c>
      <c r="N232" t="s">
        <v>21</v>
      </c>
      <c r="O232" t="str">
        <f t="shared" si="25"/>
        <v>nM</v>
      </c>
      <c r="R232">
        <v>6.42</v>
      </c>
      <c r="S232" t="s">
        <v>660</v>
      </c>
      <c r="T232" t="s">
        <v>247</v>
      </c>
      <c r="U232">
        <v>2000</v>
      </c>
      <c r="V232" t="s">
        <v>22</v>
      </c>
      <c r="W232" t="s">
        <v>23</v>
      </c>
      <c r="X232">
        <v>0</v>
      </c>
      <c r="Y232">
        <v>1</v>
      </c>
      <c r="AA232" t="s">
        <v>655</v>
      </c>
      <c r="AD232">
        <v>74.400000000000006</v>
      </c>
      <c r="AE232" t="b">
        <v>0</v>
      </c>
    </row>
    <row r="233" spans="1:31" x14ac:dyDescent="0.3">
      <c r="A233" t="s">
        <v>604</v>
      </c>
      <c r="B233" t="s">
        <v>722</v>
      </c>
      <c r="C233" t="b">
        <v>1</v>
      </c>
      <c r="D233" t="s">
        <v>248</v>
      </c>
      <c r="E233" t="s">
        <v>251</v>
      </c>
      <c r="F233" t="s">
        <v>252</v>
      </c>
      <c r="G233" t="s">
        <v>1174</v>
      </c>
      <c r="H233" t="s">
        <v>252</v>
      </c>
      <c r="I233">
        <v>48</v>
      </c>
      <c r="J233" t="s">
        <v>6</v>
      </c>
      <c r="K233">
        <v>0</v>
      </c>
      <c r="L233" s="5" t="s">
        <v>654</v>
      </c>
      <c r="M233">
        <v>8800</v>
      </c>
      <c r="N233" t="s">
        <v>20</v>
      </c>
      <c r="O233" t="str">
        <f t="shared" si="25"/>
        <v>ng*h/mL</v>
      </c>
      <c r="T233" t="s">
        <v>254</v>
      </c>
      <c r="U233">
        <v>50</v>
      </c>
      <c r="V233" t="s">
        <v>22</v>
      </c>
      <c r="W233" t="s">
        <v>23</v>
      </c>
      <c r="X233">
        <v>0</v>
      </c>
      <c r="Y233">
        <v>1</v>
      </c>
      <c r="AA233" t="s">
        <v>655</v>
      </c>
      <c r="AD233">
        <v>72.599999999999994</v>
      </c>
      <c r="AE233" t="b">
        <v>0</v>
      </c>
    </row>
    <row r="234" spans="1:31" x14ac:dyDescent="0.3">
      <c r="A234" t="s">
        <v>604</v>
      </c>
      <c r="B234" t="s">
        <v>722</v>
      </c>
      <c r="C234" t="b">
        <v>1</v>
      </c>
      <c r="D234" t="s">
        <v>248</v>
      </c>
      <c r="E234" t="s">
        <v>251</v>
      </c>
      <c r="F234" t="s">
        <v>252</v>
      </c>
      <c r="G234" t="s">
        <v>1174</v>
      </c>
      <c r="H234" t="s">
        <v>252</v>
      </c>
      <c r="I234">
        <v>48</v>
      </c>
      <c r="J234" t="s">
        <v>7</v>
      </c>
      <c r="K234">
        <v>0</v>
      </c>
      <c r="L234" s="5">
        <v>48</v>
      </c>
      <c r="M234">
        <v>3866.6</v>
      </c>
      <c r="N234" t="s">
        <v>21</v>
      </c>
      <c r="O234" t="str">
        <f t="shared" si="25"/>
        <v>nM</v>
      </c>
      <c r="R234">
        <v>1.6</v>
      </c>
      <c r="S234" t="s">
        <v>660</v>
      </c>
      <c r="T234" t="s">
        <v>255</v>
      </c>
      <c r="U234">
        <v>50</v>
      </c>
      <c r="V234" t="s">
        <v>22</v>
      </c>
      <c r="W234" t="s">
        <v>23</v>
      </c>
      <c r="X234">
        <v>0</v>
      </c>
      <c r="Y234">
        <v>1</v>
      </c>
      <c r="AA234" t="s">
        <v>655</v>
      </c>
      <c r="AD234">
        <v>72.599999999999994</v>
      </c>
      <c r="AE234" t="b">
        <v>0</v>
      </c>
    </row>
    <row r="235" spans="1:31" x14ac:dyDescent="0.3">
      <c r="A235" t="s">
        <v>604</v>
      </c>
      <c r="B235" t="s">
        <v>722</v>
      </c>
      <c r="C235" t="b">
        <v>1</v>
      </c>
      <c r="D235" t="s">
        <v>248</v>
      </c>
      <c r="E235" t="s">
        <v>251</v>
      </c>
      <c r="F235" t="s">
        <v>252</v>
      </c>
      <c r="G235" t="s">
        <v>1174</v>
      </c>
      <c r="H235" t="s">
        <v>252</v>
      </c>
      <c r="I235">
        <v>48</v>
      </c>
      <c r="J235" t="s">
        <v>828</v>
      </c>
      <c r="K235">
        <v>24</v>
      </c>
      <c r="L235" s="5">
        <v>24</v>
      </c>
      <c r="M235">
        <v>120.83</v>
      </c>
      <c r="N235" t="s">
        <v>21</v>
      </c>
      <c r="O235" t="str">
        <f t="shared" si="25"/>
        <v>nM</v>
      </c>
      <c r="R235">
        <v>0.05</v>
      </c>
      <c r="S235" t="s">
        <v>660</v>
      </c>
      <c r="T235" t="s">
        <v>852</v>
      </c>
      <c r="U235">
        <v>50</v>
      </c>
      <c r="V235" t="s">
        <v>22</v>
      </c>
      <c r="W235" t="s">
        <v>23</v>
      </c>
      <c r="X235">
        <v>0</v>
      </c>
      <c r="Y235">
        <v>1</v>
      </c>
      <c r="AA235" t="s">
        <v>655</v>
      </c>
      <c r="AD235">
        <v>72.599999999999994</v>
      </c>
      <c r="AE235" t="b">
        <v>0</v>
      </c>
    </row>
    <row r="236" spans="1:31" x14ac:dyDescent="0.3">
      <c r="A236" t="s">
        <v>1043</v>
      </c>
      <c r="B236" t="s">
        <v>1044</v>
      </c>
      <c r="C236" t="b">
        <v>1</v>
      </c>
      <c r="D236" t="s">
        <v>248</v>
      </c>
      <c r="E236" t="s">
        <v>251</v>
      </c>
      <c r="F236" t="s">
        <v>252</v>
      </c>
      <c r="G236" t="s">
        <v>1174</v>
      </c>
      <c r="H236" t="s">
        <v>252</v>
      </c>
      <c r="I236">
        <v>48</v>
      </c>
      <c r="J236" t="s">
        <v>6</v>
      </c>
      <c r="K236">
        <v>0</v>
      </c>
      <c r="L236" s="5" t="s">
        <v>654</v>
      </c>
      <c r="M236">
        <v>15800</v>
      </c>
      <c r="N236" t="s">
        <v>20</v>
      </c>
      <c r="O236" t="str">
        <f t="shared" si="25"/>
        <v>ng*h/mL</v>
      </c>
      <c r="T236" t="s">
        <v>262</v>
      </c>
      <c r="U236">
        <v>100</v>
      </c>
      <c r="V236" t="s">
        <v>22</v>
      </c>
      <c r="W236" t="s">
        <v>23</v>
      </c>
      <c r="X236">
        <v>0</v>
      </c>
      <c r="Y236">
        <v>1</v>
      </c>
      <c r="AA236" t="s">
        <v>655</v>
      </c>
      <c r="AD236">
        <v>76.8</v>
      </c>
      <c r="AE236" t="b">
        <v>0</v>
      </c>
    </row>
    <row r="237" spans="1:31" x14ac:dyDescent="0.3">
      <c r="A237" t="s">
        <v>1043</v>
      </c>
      <c r="B237" t="s">
        <v>1044</v>
      </c>
      <c r="C237" t="b">
        <v>1</v>
      </c>
      <c r="D237" t="s">
        <v>248</v>
      </c>
      <c r="E237" t="s">
        <v>251</v>
      </c>
      <c r="F237" t="s">
        <v>252</v>
      </c>
      <c r="G237" t="s">
        <v>1174</v>
      </c>
      <c r="H237" t="s">
        <v>252</v>
      </c>
      <c r="I237">
        <v>48</v>
      </c>
      <c r="J237" t="s">
        <v>7</v>
      </c>
      <c r="K237">
        <v>0</v>
      </c>
      <c r="L237" s="5">
        <v>48</v>
      </c>
      <c r="M237">
        <v>7249.88</v>
      </c>
      <c r="N237" t="s">
        <v>21</v>
      </c>
      <c r="O237" t="str">
        <f t="shared" si="25"/>
        <v>nM</v>
      </c>
      <c r="R237">
        <v>3</v>
      </c>
      <c r="S237" t="s">
        <v>660</v>
      </c>
      <c r="T237" t="s">
        <v>263</v>
      </c>
      <c r="U237">
        <v>100</v>
      </c>
      <c r="V237" t="s">
        <v>22</v>
      </c>
      <c r="W237" t="s">
        <v>23</v>
      </c>
      <c r="X237">
        <v>0</v>
      </c>
      <c r="Y237">
        <v>1</v>
      </c>
      <c r="AA237" t="s">
        <v>655</v>
      </c>
      <c r="AD237">
        <v>76.8</v>
      </c>
      <c r="AE237" t="b">
        <v>0</v>
      </c>
    </row>
    <row r="238" spans="1:31" x14ac:dyDescent="0.3">
      <c r="A238" t="s">
        <v>1043</v>
      </c>
      <c r="B238" t="s">
        <v>1044</v>
      </c>
      <c r="C238" t="b">
        <v>1</v>
      </c>
      <c r="D238" t="s">
        <v>248</v>
      </c>
      <c r="E238" t="s">
        <v>251</v>
      </c>
      <c r="F238" t="s">
        <v>252</v>
      </c>
      <c r="G238" t="s">
        <v>1174</v>
      </c>
      <c r="H238" t="s">
        <v>252</v>
      </c>
      <c r="I238">
        <v>48</v>
      </c>
      <c r="J238" t="s">
        <v>828</v>
      </c>
      <c r="K238">
        <v>24</v>
      </c>
      <c r="L238" s="5">
        <v>24</v>
      </c>
      <c r="M238">
        <v>217.5</v>
      </c>
      <c r="N238" t="s">
        <v>21</v>
      </c>
      <c r="O238" t="str">
        <f t="shared" si="25"/>
        <v>nM</v>
      </c>
      <c r="R238">
        <v>0.09</v>
      </c>
      <c r="S238" t="s">
        <v>660</v>
      </c>
      <c r="T238" t="s">
        <v>853</v>
      </c>
      <c r="U238">
        <v>100</v>
      </c>
      <c r="V238" t="s">
        <v>22</v>
      </c>
      <c r="W238" t="s">
        <v>23</v>
      </c>
      <c r="X238">
        <v>0</v>
      </c>
      <c r="Y238">
        <v>1</v>
      </c>
      <c r="AA238" t="s">
        <v>655</v>
      </c>
      <c r="AD238">
        <v>76.8</v>
      </c>
      <c r="AE238" t="b">
        <v>0</v>
      </c>
    </row>
    <row r="239" spans="1:31" x14ac:dyDescent="0.3">
      <c r="A239" t="s">
        <v>605</v>
      </c>
      <c r="B239" t="s">
        <v>723</v>
      </c>
      <c r="C239" t="b">
        <v>1</v>
      </c>
      <c r="D239" t="s">
        <v>248</v>
      </c>
      <c r="E239" t="s">
        <v>251</v>
      </c>
      <c r="F239" t="s">
        <v>252</v>
      </c>
      <c r="G239" t="s">
        <v>1174</v>
      </c>
      <c r="H239" t="s">
        <v>252</v>
      </c>
      <c r="I239">
        <v>48</v>
      </c>
      <c r="J239" t="s">
        <v>6</v>
      </c>
      <c r="K239">
        <v>0</v>
      </c>
      <c r="L239" s="5" t="s">
        <v>654</v>
      </c>
      <c r="M239">
        <v>7100</v>
      </c>
      <c r="N239" t="s">
        <v>20</v>
      </c>
      <c r="O239" t="str">
        <f t="shared" si="25"/>
        <v>ng*h/mL</v>
      </c>
      <c r="T239" t="s">
        <v>249</v>
      </c>
      <c r="U239">
        <v>200</v>
      </c>
      <c r="V239" t="s">
        <v>22</v>
      </c>
      <c r="W239" t="s">
        <v>23</v>
      </c>
      <c r="X239">
        <v>0</v>
      </c>
      <c r="Y239">
        <v>1</v>
      </c>
      <c r="AA239" t="s">
        <v>655</v>
      </c>
      <c r="AD239">
        <v>77.7</v>
      </c>
      <c r="AE239" t="b">
        <v>0</v>
      </c>
    </row>
    <row r="240" spans="1:31" x14ac:dyDescent="0.3">
      <c r="A240" t="s">
        <v>605</v>
      </c>
      <c r="B240" t="s">
        <v>723</v>
      </c>
      <c r="C240" t="b">
        <v>1</v>
      </c>
      <c r="D240" t="s">
        <v>248</v>
      </c>
      <c r="E240" t="s">
        <v>251</v>
      </c>
      <c r="F240" t="s">
        <v>252</v>
      </c>
      <c r="G240" t="s">
        <v>1174</v>
      </c>
      <c r="H240" t="s">
        <v>252</v>
      </c>
      <c r="I240">
        <v>48</v>
      </c>
      <c r="J240" t="s">
        <v>7</v>
      </c>
      <c r="K240">
        <v>0</v>
      </c>
      <c r="L240" s="5">
        <v>48</v>
      </c>
      <c r="M240">
        <v>1691.64</v>
      </c>
      <c r="N240" t="s">
        <v>21</v>
      </c>
      <c r="O240" t="str">
        <f t="shared" si="25"/>
        <v>nM</v>
      </c>
      <c r="R240">
        <v>0.7</v>
      </c>
      <c r="S240" t="s">
        <v>660</v>
      </c>
      <c r="T240" t="s">
        <v>250</v>
      </c>
      <c r="U240">
        <v>200</v>
      </c>
      <c r="V240" t="s">
        <v>22</v>
      </c>
      <c r="W240" t="s">
        <v>23</v>
      </c>
      <c r="X240">
        <v>0</v>
      </c>
      <c r="Y240">
        <v>1</v>
      </c>
      <c r="AA240" t="s">
        <v>655</v>
      </c>
      <c r="AD240">
        <v>77.7</v>
      </c>
      <c r="AE240" t="b">
        <v>0</v>
      </c>
    </row>
    <row r="241" spans="1:31" x14ac:dyDescent="0.3">
      <c r="A241" t="s">
        <v>605</v>
      </c>
      <c r="B241" t="s">
        <v>723</v>
      </c>
      <c r="C241" t="b">
        <v>1</v>
      </c>
      <c r="D241" t="s">
        <v>248</v>
      </c>
      <c r="E241" t="s">
        <v>251</v>
      </c>
      <c r="F241" t="s">
        <v>252</v>
      </c>
      <c r="G241" t="s">
        <v>1174</v>
      </c>
      <c r="H241" t="s">
        <v>252</v>
      </c>
      <c r="I241">
        <v>48</v>
      </c>
      <c r="J241" t="s">
        <v>828</v>
      </c>
      <c r="K241">
        <v>24</v>
      </c>
      <c r="L241" s="5">
        <v>24</v>
      </c>
      <c r="M241">
        <v>169.1</v>
      </c>
      <c r="N241" t="s">
        <v>21</v>
      </c>
      <c r="O241" t="str">
        <f t="shared" si="25"/>
        <v>nM</v>
      </c>
      <c r="R241">
        <v>7.0000000000000007E-2</v>
      </c>
      <c r="S241" t="s">
        <v>660</v>
      </c>
      <c r="T241" t="s">
        <v>854</v>
      </c>
      <c r="U241">
        <v>200</v>
      </c>
      <c r="V241" t="s">
        <v>22</v>
      </c>
      <c r="W241" t="s">
        <v>23</v>
      </c>
      <c r="X241">
        <v>0</v>
      </c>
      <c r="Y241">
        <v>1</v>
      </c>
      <c r="AA241" t="s">
        <v>655</v>
      </c>
      <c r="AD241">
        <v>77.7</v>
      </c>
      <c r="AE241" t="b">
        <v>0</v>
      </c>
    </row>
    <row r="242" spans="1:31" x14ac:dyDescent="0.3">
      <c r="A242" t="s">
        <v>1045</v>
      </c>
      <c r="B242" t="s">
        <v>1046</v>
      </c>
      <c r="C242" t="b">
        <v>1</v>
      </c>
      <c r="D242" t="s">
        <v>248</v>
      </c>
      <c r="E242" t="s">
        <v>251</v>
      </c>
      <c r="F242" t="s">
        <v>252</v>
      </c>
      <c r="G242" t="s">
        <v>1174</v>
      </c>
      <c r="H242" t="s">
        <v>252</v>
      </c>
      <c r="I242">
        <v>48</v>
      </c>
      <c r="J242" t="s">
        <v>6</v>
      </c>
      <c r="K242">
        <v>0</v>
      </c>
      <c r="L242" s="5" t="s">
        <v>654</v>
      </c>
      <c r="M242">
        <v>16800</v>
      </c>
      <c r="N242" t="s">
        <v>20</v>
      </c>
      <c r="O242" t="str">
        <f t="shared" si="25"/>
        <v>ng*h/mL</v>
      </c>
      <c r="T242" t="s">
        <v>264</v>
      </c>
      <c r="U242">
        <v>200</v>
      </c>
      <c r="V242" t="s">
        <v>22</v>
      </c>
      <c r="W242" t="s">
        <v>23</v>
      </c>
      <c r="X242">
        <v>0</v>
      </c>
      <c r="Y242">
        <v>1</v>
      </c>
      <c r="AA242" t="s">
        <v>655</v>
      </c>
      <c r="AD242">
        <v>77.7</v>
      </c>
      <c r="AE242" t="b">
        <v>1</v>
      </c>
    </row>
    <row r="243" spans="1:31" x14ac:dyDescent="0.3">
      <c r="A243" t="s">
        <v>1045</v>
      </c>
      <c r="B243" t="s">
        <v>1046</v>
      </c>
      <c r="C243" t="b">
        <v>1</v>
      </c>
      <c r="D243" t="s">
        <v>248</v>
      </c>
      <c r="E243" t="s">
        <v>251</v>
      </c>
      <c r="F243" t="s">
        <v>252</v>
      </c>
      <c r="G243" t="s">
        <v>1174</v>
      </c>
      <c r="H243" t="s">
        <v>252</v>
      </c>
      <c r="I243">
        <v>48</v>
      </c>
      <c r="J243" t="s">
        <v>7</v>
      </c>
      <c r="K243">
        <v>0</v>
      </c>
      <c r="L243" s="5">
        <v>48</v>
      </c>
      <c r="M243">
        <v>3141.61</v>
      </c>
      <c r="N243" t="s">
        <v>21</v>
      </c>
      <c r="O243" t="str">
        <f t="shared" si="25"/>
        <v>nM</v>
      </c>
      <c r="R243">
        <v>1.3</v>
      </c>
      <c r="S243" t="s">
        <v>660</v>
      </c>
      <c r="T243" t="s">
        <v>253</v>
      </c>
      <c r="U243">
        <v>200</v>
      </c>
      <c r="V243" t="s">
        <v>22</v>
      </c>
      <c r="W243" t="s">
        <v>23</v>
      </c>
      <c r="X243">
        <v>0</v>
      </c>
      <c r="Y243">
        <v>1</v>
      </c>
      <c r="AA243" t="s">
        <v>655</v>
      </c>
      <c r="AD243">
        <v>77.7</v>
      </c>
      <c r="AE243" t="b">
        <v>1</v>
      </c>
    </row>
    <row r="244" spans="1:31" x14ac:dyDescent="0.3">
      <c r="A244" t="s">
        <v>1045</v>
      </c>
      <c r="B244" t="s">
        <v>1046</v>
      </c>
      <c r="C244" t="b">
        <v>1</v>
      </c>
      <c r="D244" t="s">
        <v>248</v>
      </c>
      <c r="E244" t="s">
        <v>251</v>
      </c>
      <c r="F244" t="s">
        <v>252</v>
      </c>
      <c r="G244" t="s">
        <v>1174</v>
      </c>
      <c r="H244" t="s">
        <v>252</v>
      </c>
      <c r="I244">
        <v>48</v>
      </c>
      <c r="J244" t="s">
        <v>828</v>
      </c>
      <c r="K244">
        <v>24</v>
      </c>
      <c r="L244" s="5">
        <v>24</v>
      </c>
      <c r="M244">
        <v>459.16</v>
      </c>
      <c r="N244" t="s">
        <v>21</v>
      </c>
      <c r="O244" t="str">
        <f t="shared" si="25"/>
        <v>nM</v>
      </c>
      <c r="R244">
        <v>0.19</v>
      </c>
      <c r="S244" t="s">
        <v>660</v>
      </c>
      <c r="T244" t="s">
        <v>855</v>
      </c>
      <c r="U244">
        <v>200</v>
      </c>
      <c r="V244" t="s">
        <v>22</v>
      </c>
      <c r="W244" t="s">
        <v>23</v>
      </c>
      <c r="X244">
        <v>0</v>
      </c>
      <c r="Y244">
        <v>1</v>
      </c>
      <c r="AA244" t="s">
        <v>655</v>
      </c>
      <c r="AD244">
        <v>77.7</v>
      </c>
      <c r="AE244" t="b">
        <v>1</v>
      </c>
    </row>
    <row r="245" spans="1:31" x14ac:dyDescent="0.3">
      <c r="A245" t="s">
        <v>606</v>
      </c>
      <c r="B245" t="s">
        <v>724</v>
      </c>
      <c r="C245" t="b">
        <v>1</v>
      </c>
      <c r="D245" t="s">
        <v>248</v>
      </c>
      <c r="E245" t="s">
        <v>251</v>
      </c>
      <c r="F245" t="s">
        <v>252</v>
      </c>
      <c r="G245" t="s">
        <v>1174</v>
      </c>
      <c r="H245" t="s">
        <v>252</v>
      </c>
      <c r="I245">
        <v>48</v>
      </c>
      <c r="J245" t="s">
        <v>6</v>
      </c>
      <c r="K245">
        <v>0</v>
      </c>
      <c r="L245" s="5" t="s">
        <v>654</v>
      </c>
      <c r="M245">
        <v>14700</v>
      </c>
      <c r="N245" t="s">
        <v>20</v>
      </c>
      <c r="O245" t="str">
        <f t="shared" si="25"/>
        <v>ng*h/mL</v>
      </c>
      <c r="T245" t="s">
        <v>256</v>
      </c>
      <c r="U245">
        <v>400</v>
      </c>
      <c r="V245" t="s">
        <v>22</v>
      </c>
      <c r="W245" t="s">
        <v>23</v>
      </c>
      <c r="X245">
        <v>0</v>
      </c>
      <c r="Y245">
        <v>1</v>
      </c>
      <c r="AA245" t="s">
        <v>655</v>
      </c>
      <c r="AD245">
        <v>81.5</v>
      </c>
      <c r="AE245" t="b">
        <v>0</v>
      </c>
    </row>
    <row r="246" spans="1:31" x14ac:dyDescent="0.3">
      <c r="A246" t="s">
        <v>606</v>
      </c>
      <c r="B246" t="s">
        <v>724</v>
      </c>
      <c r="C246" t="b">
        <v>1</v>
      </c>
      <c r="D246" t="s">
        <v>248</v>
      </c>
      <c r="E246" t="s">
        <v>251</v>
      </c>
      <c r="F246" t="s">
        <v>252</v>
      </c>
      <c r="G246" t="s">
        <v>1174</v>
      </c>
      <c r="H246" t="s">
        <v>252</v>
      </c>
      <c r="I246">
        <v>48</v>
      </c>
      <c r="J246" t="s">
        <v>7</v>
      </c>
      <c r="K246">
        <v>0</v>
      </c>
      <c r="L246" s="5">
        <v>48</v>
      </c>
      <c r="M246">
        <v>2658.29</v>
      </c>
      <c r="N246" t="s">
        <v>21</v>
      </c>
      <c r="O246" t="str">
        <f t="shared" si="25"/>
        <v>nM</v>
      </c>
      <c r="R246">
        <v>1.1000000000000001</v>
      </c>
      <c r="S246" t="s">
        <v>660</v>
      </c>
      <c r="T246" t="s">
        <v>257</v>
      </c>
      <c r="U246">
        <v>400</v>
      </c>
      <c r="V246" t="s">
        <v>22</v>
      </c>
      <c r="W246" t="s">
        <v>23</v>
      </c>
      <c r="X246">
        <v>0</v>
      </c>
      <c r="Y246">
        <v>1</v>
      </c>
      <c r="AA246" t="s">
        <v>655</v>
      </c>
      <c r="AD246">
        <v>81.5</v>
      </c>
      <c r="AE246" t="b">
        <v>0</v>
      </c>
    </row>
    <row r="247" spans="1:31" x14ac:dyDescent="0.3">
      <c r="A247" t="s">
        <v>606</v>
      </c>
      <c r="B247" t="s">
        <v>724</v>
      </c>
      <c r="C247" t="b">
        <v>1</v>
      </c>
      <c r="D247" t="s">
        <v>248</v>
      </c>
      <c r="E247" t="s">
        <v>251</v>
      </c>
      <c r="F247" t="s">
        <v>252</v>
      </c>
      <c r="G247" t="s">
        <v>1174</v>
      </c>
      <c r="H247" t="s">
        <v>252</v>
      </c>
      <c r="I247">
        <v>48</v>
      </c>
      <c r="J247" t="s">
        <v>828</v>
      </c>
      <c r="K247">
        <v>24</v>
      </c>
      <c r="L247" s="5">
        <v>24</v>
      </c>
      <c r="M247">
        <v>386.66</v>
      </c>
      <c r="N247" t="s">
        <v>21</v>
      </c>
      <c r="O247" t="str">
        <f t="shared" si="25"/>
        <v>nM</v>
      </c>
      <c r="R247">
        <v>0.16</v>
      </c>
      <c r="S247" t="s">
        <v>660</v>
      </c>
      <c r="T247" t="s">
        <v>856</v>
      </c>
      <c r="U247">
        <v>400</v>
      </c>
      <c r="V247" t="s">
        <v>22</v>
      </c>
      <c r="W247" t="s">
        <v>23</v>
      </c>
      <c r="X247">
        <v>0</v>
      </c>
      <c r="Y247">
        <v>1</v>
      </c>
      <c r="AA247" t="s">
        <v>655</v>
      </c>
      <c r="AD247">
        <v>81.5</v>
      </c>
      <c r="AE247" t="b">
        <v>0</v>
      </c>
    </row>
    <row r="248" spans="1:31" x14ac:dyDescent="0.3">
      <c r="A248" t="s">
        <v>1047</v>
      </c>
      <c r="B248" t="s">
        <v>1048</v>
      </c>
      <c r="C248" t="b">
        <v>1</v>
      </c>
      <c r="D248" t="s">
        <v>248</v>
      </c>
      <c r="E248" t="s">
        <v>251</v>
      </c>
      <c r="F248" t="s">
        <v>252</v>
      </c>
      <c r="G248" t="s">
        <v>1174</v>
      </c>
      <c r="H248" t="s">
        <v>252</v>
      </c>
      <c r="I248">
        <v>48</v>
      </c>
      <c r="J248" t="s">
        <v>6</v>
      </c>
      <c r="K248">
        <v>0</v>
      </c>
      <c r="L248" s="5" t="s">
        <v>654</v>
      </c>
      <c r="M248">
        <v>26500</v>
      </c>
      <c r="N248" t="s">
        <v>20</v>
      </c>
      <c r="O248" t="str">
        <f t="shared" si="25"/>
        <v>ng*h/mL</v>
      </c>
      <c r="T248" t="s">
        <v>265</v>
      </c>
      <c r="U248">
        <v>400</v>
      </c>
      <c r="V248" t="s">
        <v>22</v>
      </c>
      <c r="W248" t="s">
        <v>23</v>
      </c>
      <c r="X248">
        <v>0</v>
      </c>
      <c r="Y248">
        <v>1</v>
      </c>
      <c r="AA248" t="s">
        <v>655</v>
      </c>
      <c r="AD248">
        <v>75.7</v>
      </c>
      <c r="AE248" t="b">
        <v>1</v>
      </c>
    </row>
    <row r="249" spans="1:31" x14ac:dyDescent="0.3">
      <c r="A249" t="s">
        <v>1047</v>
      </c>
      <c r="B249" t="s">
        <v>1048</v>
      </c>
      <c r="C249" t="b">
        <v>1</v>
      </c>
      <c r="D249" t="s">
        <v>248</v>
      </c>
      <c r="E249" t="s">
        <v>251</v>
      </c>
      <c r="F249" t="s">
        <v>252</v>
      </c>
      <c r="G249" t="s">
        <v>1174</v>
      </c>
      <c r="H249" t="s">
        <v>252</v>
      </c>
      <c r="I249">
        <v>48</v>
      </c>
      <c r="J249" t="s">
        <v>7</v>
      </c>
      <c r="K249">
        <v>0</v>
      </c>
      <c r="L249" s="5">
        <v>48</v>
      </c>
      <c r="M249">
        <v>4591.59</v>
      </c>
      <c r="N249" t="s">
        <v>21</v>
      </c>
      <c r="O249" t="str">
        <f t="shared" si="25"/>
        <v>nM</v>
      </c>
      <c r="R249">
        <v>1.9</v>
      </c>
      <c r="S249" t="s">
        <v>660</v>
      </c>
      <c r="T249" t="s">
        <v>258</v>
      </c>
      <c r="U249">
        <v>400</v>
      </c>
      <c r="V249" t="s">
        <v>22</v>
      </c>
      <c r="W249" t="s">
        <v>23</v>
      </c>
      <c r="X249">
        <v>0</v>
      </c>
      <c r="Y249">
        <v>1</v>
      </c>
      <c r="AA249" t="s">
        <v>655</v>
      </c>
      <c r="AD249">
        <v>75.7</v>
      </c>
      <c r="AE249" t="b">
        <v>1</v>
      </c>
    </row>
    <row r="250" spans="1:31" x14ac:dyDescent="0.3">
      <c r="A250" t="s">
        <v>1047</v>
      </c>
      <c r="B250" t="s">
        <v>1048</v>
      </c>
      <c r="C250" t="b">
        <v>1</v>
      </c>
      <c r="D250" t="s">
        <v>248</v>
      </c>
      <c r="E250" t="s">
        <v>251</v>
      </c>
      <c r="F250" t="s">
        <v>252</v>
      </c>
      <c r="G250" t="s">
        <v>1174</v>
      </c>
      <c r="H250" t="s">
        <v>252</v>
      </c>
      <c r="I250">
        <v>48</v>
      </c>
      <c r="J250" t="s">
        <v>828</v>
      </c>
      <c r="K250">
        <v>24</v>
      </c>
      <c r="L250" s="5">
        <v>24</v>
      </c>
      <c r="M250">
        <v>700.82</v>
      </c>
      <c r="N250" t="s">
        <v>21</v>
      </c>
      <c r="O250" t="str">
        <f t="shared" si="25"/>
        <v>nM</v>
      </c>
      <c r="R250">
        <v>0.28999999999999998</v>
      </c>
      <c r="S250" t="s">
        <v>660</v>
      </c>
      <c r="T250" t="s">
        <v>857</v>
      </c>
      <c r="U250">
        <v>400</v>
      </c>
      <c r="V250" t="s">
        <v>22</v>
      </c>
      <c r="W250" t="s">
        <v>23</v>
      </c>
      <c r="X250">
        <v>0</v>
      </c>
      <c r="Y250">
        <v>1</v>
      </c>
      <c r="AA250" t="s">
        <v>655</v>
      </c>
      <c r="AD250">
        <v>75.7</v>
      </c>
      <c r="AE250" t="b">
        <v>1</v>
      </c>
    </row>
    <row r="251" spans="1:31" x14ac:dyDescent="0.3">
      <c r="A251" t="s">
        <v>607</v>
      </c>
      <c r="B251" t="s">
        <v>725</v>
      </c>
      <c r="C251" t="b">
        <v>1</v>
      </c>
      <c r="D251" t="s">
        <v>248</v>
      </c>
      <c r="E251" t="s">
        <v>251</v>
      </c>
      <c r="F251" t="s">
        <v>252</v>
      </c>
      <c r="G251" t="s">
        <v>1174</v>
      </c>
      <c r="H251" t="s">
        <v>252</v>
      </c>
      <c r="I251">
        <v>48</v>
      </c>
      <c r="J251" t="s">
        <v>6</v>
      </c>
      <c r="K251">
        <v>0</v>
      </c>
      <c r="L251" s="5" t="s">
        <v>654</v>
      </c>
      <c r="M251">
        <v>36000</v>
      </c>
      <c r="N251" t="s">
        <v>20</v>
      </c>
      <c r="O251" t="str">
        <f t="shared" si="25"/>
        <v>ng*h/mL</v>
      </c>
      <c r="T251" t="s">
        <v>266</v>
      </c>
      <c r="U251">
        <v>400</v>
      </c>
      <c r="V251" t="s">
        <v>22</v>
      </c>
      <c r="W251" t="s">
        <v>23</v>
      </c>
      <c r="X251">
        <v>0</v>
      </c>
      <c r="Y251">
        <v>1</v>
      </c>
      <c r="AA251" t="s">
        <v>655</v>
      </c>
      <c r="AD251">
        <v>77.3</v>
      </c>
      <c r="AE251" t="b">
        <v>1</v>
      </c>
    </row>
    <row r="252" spans="1:31" x14ac:dyDescent="0.3">
      <c r="A252" t="s">
        <v>607</v>
      </c>
      <c r="B252" t="s">
        <v>725</v>
      </c>
      <c r="C252" t="b">
        <v>1</v>
      </c>
      <c r="D252" t="s">
        <v>248</v>
      </c>
      <c r="E252" t="s">
        <v>251</v>
      </c>
      <c r="F252" t="s">
        <v>252</v>
      </c>
      <c r="G252" t="s">
        <v>1174</v>
      </c>
      <c r="H252" t="s">
        <v>252</v>
      </c>
      <c r="I252">
        <v>48</v>
      </c>
      <c r="J252" t="s">
        <v>7</v>
      </c>
      <c r="K252">
        <v>0</v>
      </c>
      <c r="L252" s="5">
        <v>48</v>
      </c>
      <c r="M252">
        <v>5799.9</v>
      </c>
      <c r="N252" t="s">
        <v>21</v>
      </c>
      <c r="O252" t="str">
        <f t="shared" si="25"/>
        <v>nM</v>
      </c>
      <c r="R252">
        <v>2.4</v>
      </c>
      <c r="S252" t="s">
        <v>660</v>
      </c>
      <c r="T252" t="s">
        <v>260</v>
      </c>
      <c r="U252">
        <v>400</v>
      </c>
      <c r="V252" t="s">
        <v>22</v>
      </c>
      <c r="W252" t="s">
        <v>23</v>
      </c>
      <c r="X252">
        <v>0</v>
      </c>
      <c r="Y252">
        <v>1</v>
      </c>
      <c r="AA252" t="s">
        <v>655</v>
      </c>
      <c r="AD252">
        <v>77.3</v>
      </c>
      <c r="AE252" t="b">
        <v>1</v>
      </c>
    </row>
    <row r="253" spans="1:31" x14ac:dyDescent="0.3">
      <c r="A253" t="s">
        <v>607</v>
      </c>
      <c r="B253" t="s">
        <v>725</v>
      </c>
      <c r="C253" t="b">
        <v>1</v>
      </c>
      <c r="D253" t="s">
        <v>248</v>
      </c>
      <c r="E253" t="s">
        <v>251</v>
      </c>
      <c r="F253" t="s">
        <v>252</v>
      </c>
      <c r="G253" t="s">
        <v>1174</v>
      </c>
      <c r="H253" t="s">
        <v>252</v>
      </c>
      <c r="I253">
        <v>48</v>
      </c>
      <c r="J253" t="s">
        <v>828</v>
      </c>
      <c r="K253">
        <v>24</v>
      </c>
      <c r="L253" s="5">
        <v>24</v>
      </c>
      <c r="M253">
        <v>869.99</v>
      </c>
      <c r="N253" t="s">
        <v>21</v>
      </c>
      <c r="O253" t="str">
        <f t="shared" si="25"/>
        <v>nM</v>
      </c>
      <c r="R253">
        <v>0.36</v>
      </c>
      <c r="S253" t="s">
        <v>660</v>
      </c>
      <c r="T253" t="s">
        <v>858</v>
      </c>
      <c r="U253">
        <v>400</v>
      </c>
      <c r="V253" t="s">
        <v>22</v>
      </c>
      <c r="W253" t="s">
        <v>23</v>
      </c>
      <c r="X253">
        <v>0</v>
      </c>
      <c r="Y253">
        <v>1</v>
      </c>
      <c r="AA253" t="s">
        <v>655</v>
      </c>
      <c r="AD253">
        <v>77.3</v>
      </c>
      <c r="AE253" t="b">
        <v>1</v>
      </c>
    </row>
    <row r="254" spans="1:31" x14ac:dyDescent="0.3">
      <c r="A254" t="s">
        <v>1049</v>
      </c>
      <c r="B254" t="s">
        <v>1050</v>
      </c>
      <c r="C254" t="b">
        <v>1</v>
      </c>
      <c r="D254" t="s">
        <v>248</v>
      </c>
      <c r="E254" t="s">
        <v>251</v>
      </c>
      <c r="F254" t="s">
        <v>252</v>
      </c>
      <c r="G254" t="s">
        <v>1174</v>
      </c>
      <c r="H254" t="s">
        <v>252</v>
      </c>
      <c r="I254">
        <f>12</f>
        <v>12</v>
      </c>
      <c r="J254" t="s">
        <v>7</v>
      </c>
      <c r="K254">
        <v>0</v>
      </c>
      <c r="L254" s="5">
        <v>12</v>
      </c>
      <c r="M254">
        <v>4833.25</v>
      </c>
      <c r="N254" t="s">
        <v>21</v>
      </c>
      <c r="O254" t="str">
        <f t="shared" si="25"/>
        <v>nM</v>
      </c>
      <c r="R254">
        <v>2</v>
      </c>
      <c r="S254" t="s">
        <v>660</v>
      </c>
      <c r="T254" t="s">
        <v>259</v>
      </c>
      <c r="U254">
        <v>400</v>
      </c>
      <c r="V254" t="s">
        <v>22</v>
      </c>
      <c r="W254" t="s">
        <v>23</v>
      </c>
      <c r="X254">
        <v>0</v>
      </c>
      <c r="Y254">
        <v>14</v>
      </c>
      <c r="Z254">
        <v>12</v>
      </c>
      <c r="AA254" t="s">
        <v>655</v>
      </c>
      <c r="AD254">
        <v>80.400000000000006</v>
      </c>
      <c r="AE254" t="b">
        <v>1</v>
      </c>
    </row>
    <row r="255" spans="1:31" x14ac:dyDescent="0.3">
      <c r="A255" t="s">
        <v>608</v>
      </c>
      <c r="B255" t="s">
        <v>726</v>
      </c>
      <c r="C255" t="b">
        <v>1</v>
      </c>
      <c r="D255" t="s">
        <v>248</v>
      </c>
      <c r="E255" t="s">
        <v>251</v>
      </c>
      <c r="F255" t="s">
        <v>252</v>
      </c>
      <c r="G255" t="s">
        <v>1174</v>
      </c>
      <c r="H255" t="s">
        <v>252</v>
      </c>
      <c r="I255">
        <f>6*24+12+48</f>
        <v>204</v>
      </c>
      <c r="J255" t="s">
        <v>6</v>
      </c>
      <c r="K255">
        <f>6*24+12</f>
        <v>156</v>
      </c>
      <c r="L255" s="5">
        <v>204</v>
      </c>
      <c r="M255">
        <v>35200</v>
      </c>
      <c r="N255" t="s">
        <v>20</v>
      </c>
      <c r="O255" t="str">
        <f t="shared" si="25"/>
        <v>ng*h/mL</v>
      </c>
      <c r="T255" t="s">
        <v>861</v>
      </c>
      <c r="U255">
        <v>400</v>
      </c>
      <c r="V255" t="s">
        <v>22</v>
      </c>
      <c r="W255" t="s">
        <v>23</v>
      </c>
      <c r="X255">
        <v>0</v>
      </c>
      <c r="Y255">
        <v>14</v>
      </c>
      <c r="Z255">
        <v>12</v>
      </c>
      <c r="AA255" t="s">
        <v>655</v>
      </c>
      <c r="AD255">
        <v>80.400000000000006</v>
      </c>
      <c r="AE255" t="b">
        <v>1</v>
      </c>
    </row>
    <row r="256" spans="1:31" x14ac:dyDescent="0.3">
      <c r="A256" t="s">
        <v>608</v>
      </c>
      <c r="B256" t="s">
        <v>726</v>
      </c>
      <c r="C256" t="b">
        <v>1</v>
      </c>
      <c r="D256" t="s">
        <v>248</v>
      </c>
      <c r="E256" t="s">
        <v>251</v>
      </c>
      <c r="F256" t="s">
        <v>252</v>
      </c>
      <c r="G256" t="s">
        <v>1174</v>
      </c>
      <c r="H256" t="s">
        <v>252</v>
      </c>
      <c r="I256">
        <f>6*24+12+48</f>
        <v>204</v>
      </c>
      <c r="J256" t="s">
        <v>7</v>
      </c>
      <c r="K256">
        <f>6*24+12</f>
        <v>156</v>
      </c>
      <c r="L256" s="5">
        <f>6*24+12+48</f>
        <v>204</v>
      </c>
      <c r="M256">
        <v>9666.51</v>
      </c>
      <c r="N256" t="s">
        <v>21</v>
      </c>
      <c r="O256" t="str">
        <f t="shared" si="25"/>
        <v>nM</v>
      </c>
      <c r="R256">
        <v>4</v>
      </c>
      <c r="S256" t="s">
        <v>660</v>
      </c>
      <c r="T256" t="s">
        <v>261</v>
      </c>
      <c r="U256">
        <v>400</v>
      </c>
      <c r="V256" t="s">
        <v>22</v>
      </c>
      <c r="W256" t="s">
        <v>23</v>
      </c>
      <c r="X256">
        <v>0</v>
      </c>
      <c r="Y256">
        <v>14</v>
      </c>
      <c r="Z256">
        <v>12</v>
      </c>
      <c r="AA256" t="s">
        <v>655</v>
      </c>
      <c r="AD256">
        <v>80.400000000000006</v>
      </c>
      <c r="AE256" t="b">
        <v>1</v>
      </c>
    </row>
    <row r="257" spans="1:31" x14ac:dyDescent="0.3">
      <c r="A257" t="s">
        <v>609</v>
      </c>
      <c r="B257" t="s">
        <v>727</v>
      </c>
      <c r="C257" t="b">
        <v>1</v>
      </c>
      <c r="D257" t="s">
        <v>248</v>
      </c>
      <c r="E257" t="s">
        <v>251</v>
      </c>
      <c r="F257" t="s">
        <v>252</v>
      </c>
      <c r="G257" t="s">
        <v>1174</v>
      </c>
      <c r="H257" t="s">
        <v>252</v>
      </c>
      <c r="I257">
        <v>48</v>
      </c>
      <c r="J257" t="s">
        <v>6</v>
      </c>
      <c r="K257">
        <v>0</v>
      </c>
      <c r="L257" s="5" t="s">
        <v>654</v>
      </c>
      <c r="M257">
        <v>47200</v>
      </c>
      <c r="N257" t="s">
        <v>20</v>
      </c>
      <c r="O257" t="str">
        <f t="shared" si="25"/>
        <v>ng*h/mL</v>
      </c>
      <c r="T257" t="s">
        <v>267</v>
      </c>
      <c r="U257">
        <v>800</v>
      </c>
      <c r="V257" t="s">
        <v>22</v>
      </c>
      <c r="W257" t="s">
        <v>23</v>
      </c>
      <c r="X257">
        <v>0</v>
      </c>
      <c r="Y257">
        <v>1</v>
      </c>
      <c r="AA257" t="s">
        <v>655</v>
      </c>
      <c r="AD257">
        <v>86.2</v>
      </c>
      <c r="AE257" t="b">
        <v>1</v>
      </c>
    </row>
    <row r="258" spans="1:31" x14ac:dyDescent="0.3">
      <c r="A258" t="s">
        <v>609</v>
      </c>
      <c r="B258" t="s">
        <v>727</v>
      </c>
      <c r="C258" t="b">
        <v>1</v>
      </c>
      <c r="D258" t="s">
        <v>248</v>
      </c>
      <c r="E258" t="s">
        <v>251</v>
      </c>
      <c r="F258" t="s">
        <v>252</v>
      </c>
      <c r="G258" t="s">
        <v>1174</v>
      </c>
      <c r="H258" t="s">
        <v>252</v>
      </c>
      <c r="I258">
        <v>48</v>
      </c>
      <c r="J258" t="s">
        <v>7</v>
      </c>
      <c r="K258">
        <v>0</v>
      </c>
      <c r="L258" s="5">
        <v>48</v>
      </c>
      <c r="M258">
        <v>7249.88</v>
      </c>
      <c r="N258" t="s">
        <v>21</v>
      </c>
      <c r="O258" t="str">
        <f t="shared" si="25"/>
        <v>nM</v>
      </c>
      <c r="R258">
        <v>3</v>
      </c>
      <c r="S258" t="s">
        <v>660</v>
      </c>
      <c r="T258" t="s">
        <v>268</v>
      </c>
      <c r="U258">
        <v>800</v>
      </c>
      <c r="V258" t="s">
        <v>22</v>
      </c>
      <c r="W258" t="s">
        <v>23</v>
      </c>
      <c r="X258">
        <v>0</v>
      </c>
      <c r="Y258">
        <v>1</v>
      </c>
      <c r="AA258" t="s">
        <v>655</v>
      </c>
      <c r="AD258">
        <v>86.2</v>
      </c>
      <c r="AE258" t="b">
        <v>1</v>
      </c>
    </row>
    <row r="259" spans="1:31" x14ac:dyDescent="0.3">
      <c r="A259" t="s">
        <v>609</v>
      </c>
      <c r="B259" t="s">
        <v>727</v>
      </c>
      <c r="C259" t="b">
        <v>1</v>
      </c>
      <c r="D259" t="s">
        <v>248</v>
      </c>
      <c r="E259" t="s">
        <v>251</v>
      </c>
      <c r="F259" t="s">
        <v>252</v>
      </c>
      <c r="G259" t="s">
        <v>1174</v>
      </c>
      <c r="H259" t="s">
        <v>252</v>
      </c>
      <c r="I259">
        <v>48</v>
      </c>
      <c r="J259" t="s">
        <v>828</v>
      </c>
      <c r="K259">
        <v>24</v>
      </c>
      <c r="L259" s="5">
        <v>24</v>
      </c>
      <c r="M259">
        <v>1304.98</v>
      </c>
      <c r="N259" t="s">
        <v>21</v>
      </c>
      <c r="O259" t="str">
        <f t="shared" ref="O259:O322" si="26">IF(EXACT(N259,"ng.hr.mL-1"),"ng*h/mL",IF(EXACT(N259,"ug.mL-1"),"ug/mL",N259))</f>
        <v>nM</v>
      </c>
      <c r="R259">
        <v>0.54</v>
      </c>
      <c r="S259" t="s">
        <v>660</v>
      </c>
      <c r="T259" t="s">
        <v>859</v>
      </c>
      <c r="U259">
        <v>800</v>
      </c>
      <c r="V259" t="s">
        <v>22</v>
      </c>
      <c r="W259" t="s">
        <v>23</v>
      </c>
      <c r="X259">
        <v>0</v>
      </c>
      <c r="Y259">
        <v>1</v>
      </c>
      <c r="AA259" t="s">
        <v>655</v>
      </c>
      <c r="AD259">
        <v>86.2</v>
      </c>
      <c r="AE259" t="b">
        <v>1</v>
      </c>
    </row>
    <row r="260" spans="1:31" x14ac:dyDescent="0.3">
      <c r="A260" t="s">
        <v>1051</v>
      </c>
      <c r="B260" t="s">
        <v>1052</v>
      </c>
      <c r="C260" t="b">
        <v>1</v>
      </c>
      <c r="D260" t="s">
        <v>248</v>
      </c>
      <c r="E260" t="s">
        <v>251</v>
      </c>
      <c r="F260" t="s">
        <v>252</v>
      </c>
      <c r="G260" t="s">
        <v>1174</v>
      </c>
      <c r="H260" t="s">
        <v>252</v>
      </c>
      <c r="I260">
        <v>24</v>
      </c>
      <c r="J260" t="s">
        <v>6</v>
      </c>
      <c r="K260">
        <v>0</v>
      </c>
      <c r="L260" s="5" t="s">
        <v>654</v>
      </c>
      <c r="M260">
        <v>68000</v>
      </c>
      <c r="N260" t="s">
        <v>20</v>
      </c>
      <c r="O260" t="str">
        <f t="shared" si="26"/>
        <v>ng*h/mL</v>
      </c>
      <c r="T260" t="s">
        <v>271</v>
      </c>
      <c r="U260">
        <v>800</v>
      </c>
      <c r="V260" t="s">
        <v>22</v>
      </c>
      <c r="W260" t="s">
        <v>23</v>
      </c>
      <c r="X260">
        <v>0</v>
      </c>
      <c r="Y260">
        <v>7</v>
      </c>
      <c r="Z260">
        <v>24</v>
      </c>
      <c r="AA260" t="s">
        <v>655</v>
      </c>
      <c r="AD260">
        <v>73.3</v>
      </c>
      <c r="AE260" t="b">
        <v>1</v>
      </c>
    </row>
    <row r="261" spans="1:31" x14ac:dyDescent="0.3">
      <c r="A261" t="s">
        <v>1051</v>
      </c>
      <c r="B261" t="s">
        <v>1052</v>
      </c>
      <c r="C261" t="b">
        <v>1</v>
      </c>
      <c r="D261" t="s">
        <v>248</v>
      </c>
      <c r="E261" t="s">
        <v>251</v>
      </c>
      <c r="F261" t="s">
        <v>252</v>
      </c>
      <c r="G261" t="s">
        <v>1174</v>
      </c>
      <c r="H261" t="s">
        <v>252</v>
      </c>
      <c r="I261">
        <v>24</v>
      </c>
      <c r="J261" t="s">
        <v>7</v>
      </c>
      <c r="K261">
        <v>0</v>
      </c>
      <c r="L261" s="5">
        <v>24</v>
      </c>
      <c r="M261">
        <v>11841.47</v>
      </c>
      <c r="N261" t="s">
        <v>21</v>
      </c>
      <c r="O261" t="str">
        <f t="shared" si="26"/>
        <v>nM</v>
      </c>
      <c r="R261">
        <v>4.9000000000000004</v>
      </c>
      <c r="S261" t="s">
        <v>660</v>
      </c>
      <c r="T261" t="s">
        <v>270</v>
      </c>
      <c r="U261">
        <v>800</v>
      </c>
      <c r="V261" t="s">
        <v>22</v>
      </c>
      <c r="W261" t="s">
        <v>23</v>
      </c>
      <c r="X261">
        <v>0</v>
      </c>
      <c r="Y261">
        <v>7</v>
      </c>
      <c r="Z261">
        <v>24</v>
      </c>
      <c r="AA261" t="s">
        <v>655</v>
      </c>
      <c r="AD261">
        <v>73.3</v>
      </c>
      <c r="AE261" t="b">
        <v>1</v>
      </c>
    </row>
    <row r="262" spans="1:31" x14ac:dyDescent="0.3">
      <c r="A262" t="s">
        <v>1053</v>
      </c>
      <c r="B262" t="s">
        <v>1054</v>
      </c>
      <c r="C262" t="b">
        <v>1</v>
      </c>
      <c r="D262" t="s">
        <v>248</v>
      </c>
      <c r="E262" t="s">
        <v>251</v>
      </c>
      <c r="F262" t="s">
        <v>252</v>
      </c>
      <c r="G262" t="s">
        <v>1174</v>
      </c>
      <c r="H262" t="s">
        <v>252</v>
      </c>
      <c r="I262">
        <f t="shared" ref="I262:I263" si="27">6*24+48</f>
        <v>192</v>
      </c>
      <c r="J262" t="s">
        <v>6</v>
      </c>
      <c r="K262">
        <f>6*24</f>
        <v>144</v>
      </c>
      <c r="L262" s="5">
        <v>192</v>
      </c>
      <c r="M262">
        <v>54600</v>
      </c>
      <c r="N262" t="s">
        <v>20</v>
      </c>
      <c r="O262" t="str">
        <f t="shared" si="26"/>
        <v>ng*h/mL</v>
      </c>
      <c r="T262" t="s">
        <v>862</v>
      </c>
      <c r="U262">
        <v>800</v>
      </c>
      <c r="V262" t="s">
        <v>22</v>
      </c>
      <c r="W262" t="s">
        <v>23</v>
      </c>
      <c r="X262">
        <v>0</v>
      </c>
      <c r="Y262">
        <v>7</v>
      </c>
      <c r="Z262">
        <v>24</v>
      </c>
      <c r="AA262" t="s">
        <v>655</v>
      </c>
      <c r="AD262">
        <v>73.3</v>
      </c>
      <c r="AE262" t="b">
        <v>1</v>
      </c>
    </row>
    <row r="263" spans="1:31" x14ac:dyDescent="0.3">
      <c r="A263" t="s">
        <v>1053</v>
      </c>
      <c r="B263" t="s">
        <v>1054</v>
      </c>
      <c r="C263" t="b">
        <v>1</v>
      </c>
      <c r="D263" t="s">
        <v>248</v>
      </c>
      <c r="E263" t="s">
        <v>251</v>
      </c>
      <c r="F263" t="s">
        <v>252</v>
      </c>
      <c r="G263" t="s">
        <v>1174</v>
      </c>
      <c r="H263" t="s">
        <v>252</v>
      </c>
      <c r="I263">
        <f t="shared" si="27"/>
        <v>192</v>
      </c>
      <c r="J263" t="s">
        <v>7</v>
      </c>
      <c r="K263">
        <f>6*24</f>
        <v>144</v>
      </c>
      <c r="L263" s="5">
        <f>6*24+48</f>
        <v>192</v>
      </c>
      <c r="M263">
        <v>11116.48</v>
      </c>
      <c r="N263" t="s">
        <v>21</v>
      </c>
      <c r="O263" t="str">
        <f t="shared" si="26"/>
        <v>nM</v>
      </c>
      <c r="R263">
        <v>4.5999999999999996</v>
      </c>
      <c r="S263" t="s">
        <v>660</v>
      </c>
      <c r="T263" t="s">
        <v>269</v>
      </c>
      <c r="U263">
        <v>800</v>
      </c>
      <c r="V263" t="s">
        <v>22</v>
      </c>
      <c r="W263" t="s">
        <v>23</v>
      </c>
      <c r="X263">
        <v>0</v>
      </c>
      <c r="Y263">
        <v>7</v>
      </c>
      <c r="Z263">
        <v>24</v>
      </c>
      <c r="AA263" t="s">
        <v>655</v>
      </c>
      <c r="AD263">
        <v>73.3</v>
      </c>
      <c r="AE263" t="b">
        <v>1</v>
      </c>
    </row>
    <row r="264" spans="1:31" x14ac:dyDescent="0.3">
      <c r="A264" t="s">
        <v>610</v>
      </c>
      <c r="B264" t="s">
        <v>728</v>
      </c>
      <c r="C264" t="b">
        <v>1</v>
      </c>
      <c r="D264" t="s">
        <v>248</v>
      </c>
      <c r="E264" t="s">
        <v>251</v>
      </c>
      <c r="F264" t="s">
        <v>252</v>
      </c>
      <c r="G264" t="s">
        <v>1174</v>
      </c>
      <c r="H264" t="s">
        <v>252</v>
      </c>
      <c r="I264">
        <v>48</v>
      </c>
      <c r="J264" t="s">
        <v>6</v>
      </c>
      <c r="K264">
        <v>0</v>
      </c>
      <c r="L264" s="5" t="s">
        <v>654</v>
      </c>
      <c r="M264">
        <v>106400</v>
      </c>
      <c r="N264" t="s">
        <v>20</v>
      </c>
      <c r="O264" t="str">
        <f t="shared" si="26"/>
        <v>ng*h/mL</v>
      </c>
      <c r="T264" t="s">
        <v>272</v>
      </c>
      <c r="U264">
        <v>1200</v>
      </c>
      <c r="V264" t="s">
        <v>22</v>
      </c>
      <c r="W264" t="s">
        <v>23</v>
      </c>
      <c r="X264">
        <v>0</v>
      </c>
      <c r="Y264">
        <v>1</v>
      </c>
      <c r="AA264" t="s">
        <v>655</v>
      </c>
      <c r="AD264">
        <v>69.400000000000006</v>
      </c>
      <c r="AE264" t="b">
        <v>1</v>
      </c>
    </row>
    <row r="265" spans="1:31" x14ac:dyDescent="0.3">
      <c r="A265" t="s">
        <v>610</v>
      </c>
      <c r="B265" t="s">
        <v>728</v>
      </c>
      <c r="C265" t="b">
        <v>1</v>
      </c>
      <c r="D265" t="s">
        <v>248</v>
      </c>
      <c r="E265" t="s">
        <v>251</v>
      </c>
      <c r="F265" t="s">
        <v>252</v>
      </c>
      <c r="G265" t="s">
        <v>1174</v>
      </c>
      <c r="H265" t="s">
        <v>252</v>
      </c>
      <c r="I265">
        <v>48</v>
      </c>
      <c r="J265" t="s">
        <v>7</v>
      </c>
      <c r="K265">
        <v>0</v>
      </c>
      <c r="L265" s="5">
        <v>48</v>
      </c>
      <c r="M265">
        <v>13533.11</v>
      </c>
      <c r="N265" t="s">
        <v>21</v>
      </c>
      <c r="O265" t="str">
        <f t="shared" si="26"/>
        <v>nM</v>
      </c>
      <c r="R265">
        <v>5.6</v>
      </c>
      <c r="S265" t="s">
        <v>660</v>
      </c>
      <c r="T265" t="s">
        <v>273</v>
      </c>
      <c r="U265">
        <v>1200</v>
      </c>
      <c r="V265" t="s">
        <v>22</v>
      </c>
      <c r="W265" t="s">
        <v>23</v>
      </c>
      <c r="X265">
        <v>0</v>
      </c>
      <c r="Y265">
        <v>1</v>
      </c>
      <c r="AA265" t="s">
        <v>655</v>
      </c>
      <c r="AD265">
        <v>69.400000000000006</v>
      </c>
      <c r="AE265" t="b">
        <v>1</v>
      </c>
    </row>
    <row r="266" spans="1:31" x14ac:dyDescent="0.3">
      <c r="A266" t="s">
        <v>610</v>
      </c>
      <c r="B266" t="s">
        <v>728</v>
      </c>
      <c r="C266" t="b">
        <v>1</v>
      </c>
      <c r="D266" t="s">
        <v>248</v>
      </c>
      <c r="E266" t="s">
        <v>251</v>
      </c>
      <c r="F266" t="s">
        <v>252</v>
      </c>
      <c r="G266" t="s">
        <v>1174</v>
      </c>
      <c r="H266" t="s">
        <v>252</v>
      </c>
      <c r="I266">
        <v>48</v>
      </c>
      <c r="J266" t="s">
        <v>828</v>
      </c>
      <c r="K266">
        <v>24</v>
      </c>
      <c r="L266" s="5">
        <v>24</v>
      </c>
      <c r="M266">
        <v>4881.58</v>
      </c>
      <c r="N266" t="s">
        <v>21</v>
      </c>
      <c r="O266" t="str">
        <f t="shared" si="26"/>
        <v>nM</v>
      </c>
      <c r="R266">
        <v>2.02</v>
      </c>
      <c r="S266" t="s">
        <v>660</v>
      </c>
      <c r="T266" t="s">
        <v>860</v>
      </c>
      <c r="U266">
        <v>1200</v>
      </c>
      <c r="V266" t="s">
        <v>22</v>
      </c>
      <c r="W266" t="s">
        <v>23</v>
      </c>
      <c r="X266">
        <v>0</v>
      </c>
      <c r="Y266">
        <v>1</v>
      </c>
      <c r="AA266" t="s">
        <v>655</v>
      </c>
      <c r="AD266">
        <v>69.400000000000006</v>
      </c>
      <c r="AE266" t="b">
        <v>1</v>
      </c>
    </row>
    <row r="267" spans="1:31" x14ac:dyDescent="0.3">
      <c r="A267" t="s">
        <v>611</v>
      </c>
      <c r="B267" t="s">
        <v>729</v>
      </c>
      <c r="C267" t="b">
        <v>1</v>
      </c>
      <c r="D267" t="s">
        <v>184</v>
      </c>
      <c r="E267" t="s">
        <v>276</v>
      </c>
      <c r="F267" t="s">
        <v>188</v>
      </c>
      <c r="G267" t="s">
        <v>189</v>
      </c>
      <c r="H267" t="s">
        <v>188</v>
      </c>
      <c r="I267">
        <v>96</v>
      </c>
      <c r="J267" t="s">
        <v>6</v>
      </c>
      <c r="K267">
        <v>0</v>
      </c>
      <c r="L267" s="5" t="s">
        <v>654</v>
      </c>
      <c r="M267">
        <v>9155.0499999999993</v>
      </c>
      <c r="N267" t="s">
        <v>20</v>
      </c>
      <c r="O267" t="str">
        <f t="shared" si="26"/>
        <v>ng*h/mL</v>
      </c>
      <c r="R267">
        <v>20.6</v>
      </c>
      <c r="S267" t="s">
        <v>789</v>
      </c>
      <c r="T267" t="s">
        <v>274</v>
      </c>
      <c r="U267">
        <v>400</v>
      </c>
      <c r="V267" t="s">
        <v>22</v>
      </c>
      <c r="W267" t="s">
        <v>23</v>
      </c>
      <c r="X267">
        <v>0</v>
      </c>
      <c r="Y267">
        <v>1</v>
      </c>
      <c r="AA267" t="s">
        <v>655</v>
      </c>
      <c r="AD267">
        <v>72.099999999999994</v>
      </c>
      <c r="AE267" t="b">
        <v>0</v>
      </c>
    </row>
    <row r="268" spans="1:31" x14ac:dyDescent="0.3">
      <c r="A268" t="s">
        <v>611</v>
      </c>
      <c r="B268" t="s">
        <v>729</v>
      </c>
      <c r="C268" t="b">
        <v>1</v>
      </c>
      <c r="D268" t="s">
        <v>184</v>
      </c>
      <c r="E268" t="s">
        <v>276</v>
      </c>
      <c r="F268" t="s">
        <v>188</v>
      </c>
      <c r="G268" t="s">
        <v>189</v>
      </c>
      <c r="H268" t="s">
        <v>188</v>
      </c>
      <c r="I268">
        <v>96</v>
      </c>
      <c r="J268" t="s">
        <v>7</v>
      </c>
      <c r="K268">
        <v>0</v>
      </c>
      <c r="L268" s="5">
        <v>96</v>
      </c>
      <c r="M268">
        <v>6990</v>
      </c>
      <c r="N268" t="s">
        <v>21</v>
      </c>
      <c r="O268" t="str">
        <f t="shared" si="26"/>
        <v>nM</v>
      </c>
      <c r="R268">
        <v>6.99</v>
      </c>
      <c r="S268" t="s">
        <v>863</v>
      </c>
      <c r="T268" t="s">
        <v>275</v>
      </c>
      <c r="U268">
        <v>400</v>
      </c>
      <c r="V268" t="s">
        <v>22</v>
      </c>
      <c r="W268" t="s">
        <v>23</v>
      </c>
      <c r="X268">
        <v>0</v>
      </c>
      <c r="Y268">
        <v>1</v>
      </c>
      <c r="AA268" t="s">
        <v>655</v>
      </c>
      <c r="AD268">
        <v>72.099999999999994</v>
      </c>
      <c r="AE268" t="b">
        <v>0</v>
      </c>
    </row>
    <row r="269" spans="1:31" x14ac:dyDescent="0.3">
      <c r="A269" t="s">
        <v>611</v>
      </c>
      <c r="B269" t="s">
        <v>729</v>
      </c>
      <c r="C269" t="b">
        <v>1</v>
      </c>
      <c r="D269" t="s">
        <v>184</v>
      </c>
      <c r="E269" t="s">
        <v>276</v>
      </c>
      <c r="F269" t="s">
        <v>188</v>
      </c>
      <c r="G269" t="s">
        <v>189</v>
      </c>
      <c r="H269" t="s">
        <v>188</v>
      </c>
      <c r="I269">
        <v>96</v>
      </c>
      <c r="J269" t="s">
        <v>828</v>
      </c>
      <c r="K269">
        <v>12</v>
      </c>
      <c r="L269" s="5">
        <v>12</v>
      </c>
      <c r="M269">
        <v>113.8</v>
      </c>
      <c r="N269" t="s">
        <v>21</v>
      </c>
      <c r="O269" t="str">
        <f t="shared" si="26"/>
        <v>nM</v>
      </c>
      <c r="R269">
        <v>113.8</v>
      </c>
      <c r="S269" t="s">
        <v>21</v>
      </c>
      <c r="T269" t="s">
        <v>864</v>
      </c>
      <c r="U269">
        <v>400</v>
      </c>
      <c r="V269" t="s">
        <v>22</v>
      </c>
      <c r="W269" t="s">
        <v>23</v>
      </c>
      <c r="X269">
        <v>0</v>
      </c>
      <c r="Y269">
        <v>1</v>
      </c>
      <c r="AA269" t="s">
        <v>655</v>
      </c>
      <c r="AD269">
        <v>72.099999999999994</v>
      </c>
      <c r="AE269" t="b">
        <v>0</v>
      </c>
    </row>
    <row r="270" spans="1:31" x14ac:dyDescent="0.3">
      <c r="A270" t="s">
        <v>1055</v>
      </c>
      <c r="B270" t="s">
        <v>1056</v>
      </c>
      <c r="C270" t="b">
        <v>1</v>
      </c>
      <c r="D270" t="s">
        <v>184</v>
      </c>
      <c r="E270" t="s">
        <v>276</v>
      </c>
      <c r="F270" t="s">
        <v>188</v>
      </c>
      <c r="G270" t="s">
        <v>189</v>
      </c>
      <c r="H270" t="s">
        <v>188</v>
      </c>
      <c r="I270">
        <v>72</v>
      </c>
      <c r="J270" t="s">
        <v>6</v>
      </c>
      <c r="K270">
        <v>0</v>
      </c>
      <c r="L270" s="5" t="s">
        <v>654</v>
      </c>
      <c r="M270">
        <v>8755.07</v>
      </c>
      <c r="N270" t="s">
        <v>20</v>
      </c>
      <c r="O270" t="str">
        <f t="shared" si="26"/>
        <v>ng*h/mL</v>
      </c>
      <c r="R270">
        <v>19.7</v>
      </c>
      <c r="S270" t="s">
        <v>789</v>
      </c>
      <c r="T270" t="s">
        <v>274</v>
      </c>
      <c r="U270">
        <v>400</v>
      </c>
      <c r="V270" t="s">
        <v>22</v>
      </c>
      <c r="W270" t="s">
        <v>23</v>
      </c>
      <c r="X270">
        <v>0</v>
      </c>
      <c r="Y270">
        <v>1</v>
      </c>
      <c r="AA270" t="s">
        <v>655</v>
      </c>
      <c r="AD270">
        <v>80.8</v>
      </c>
      <c r="AE270" t="b">
        <v>0</v>
      </c>
    </row>
    <row r="271" spans="1:31" x14ac:dyDescent="0.3">
      <c r="A271" t="s">
        <v>1055</v>
      </c>
      <c r="B271" t="s">
        <v>1056</v>
      </c>
      <c r="C271" t="b">
        <v>1</v>
      </c>
      <c r="D271" t="s">
        <v>184</v>
      </c>
      <c r="E271" t="s">
        <v>276</v>
      </c>
      <c r="F271" t="s">
        <v>188</v>
      </c>
      <c r="G271" t="s">
        <v>189</v>
      </c>
      <c r="H271" t="s">
        <v>188</v>
      </c>
      <c r="I271">
        <v>72</v>
      </c>
      <c r="J271" t="s">
        <v>7</v>
      </c>
      <c r="K271">
        <v>0</v>
      </c>
      <c r="L271" s="5">
        <v>72</v>
      </c>
      <c r="M271">
        <v>5680</v>
      </c>
      <c r="N271" t="s">
        <v>21</v>
      </c>
      <c r="O271" t="str">
        <f t="shared" si="26"/>
        <v>nM</v>
      </c>
      <c r="R271">
        <v>5.68</v>
      </c>
      <c r="S271" t="s">
        <v>863</v>
      </c>
      <c r="T271" t="s">
        <v>275</v>
      </c>
      <c r="U271">
        <v>400</v>
      </c>
      <c r="V271" t="s">
        <v>22</v>
      </c>
      <c r="W271" t="s">
        <v>23</v>
      </c>
      <c r="X271">
        <v>0</v>
      </c>
      <c r="Y271">
        <v>1</v>
      </c>
      <c r="AA271" t="s">
        <v>655</v>
      </c>
      <c r="AD271">
        <v>80.8</v>
      </c>
      <c r="AE271" t="b">
        <v>0</v>
      </c>
    </row>
    <row r="272" spans="1:31" x14ac:dyDescent="0.3">
      <c r="A272" t="s">
        <v>1055</v>
      </c>
      <c r="B272" t="s">
        <v>1056</v>
      </c>
      <c r="C272" t="b">
        <v>1</v>
      </c>
      <c r="D272" t="s">
        <v>184</v>
      </c>
      <c r="E272" t="s">
        <v>276</v>
      </c>
      <c r="F272" t="s">
        <v>188</v>
      </c>
      <c r="G272" t="s">
        <v>189</v>
      </c>
      <c r="H272" t="s">
        <v>188</v>
      </c>
      <c r="I272">
        <v>72</v>
      </c>
      <c r="J272" t="s">
        <v>828</v>
      </c>
      <c r="K272">
        <v>12</v>
      </c>
      <c r="L272" s="5">
        <v>12</v>
      </c>
      <c r="M272">
        <v>113.8</v>
      </c>
      <c r="N272" t="s">
        <v>21</v>
      </c>
      <c r="O272" t="str">
        <f t="shared" si="26"/>
        <v>nM</v>
      </c>
      <c r="R272">
        <v>105.5</v>
      </c>
      <c r="S272" t="s">
        <v>21</v>
      </c>
      <c r="T272" t="s">
        <v>864</v>
      </c>
      <c r="U272">
        <v>400</v>
      </c>
      <c r="V272" t="s">
        <v>22</v>
      </c>
      <c r="W272" t="s">
        <v>23</v>
      </c>
      <c r="X272">
        <v>0</v>
      </c>
      <c r="Y272">
        <v>1</v>
      </c>
      <c r="AA272" t="s">
        <v>655</v>
      </c>
      <c r="AD272">
        <v>80.8</v>
      </c>
      <c r="AE272" t="b">
        <v>0</v>
      </c>
    </row>
    <row r="273" spans="1:31" x14ac:dyDescent="0.3">
      <c r="A273" t="s">
        <v>1057</v>
      </c>
      <c r="B273" t="s">
        <v>1058</v>
      </c>
      <c r="C273" t="b">
        <v>1</v>
      </c>
      <c r="D273" t="s">
        <v>277</v>
      </c>
      <c r="E273" t="s">
        <v>280</v>
      </c>
      <c r="F273" t="s">
        <v>281</v>
      </c>
      <c r="G273" t="s">
        <v>282</v>
      </c>
      <c r="H273" t="s">
        <v>281</v>
      </c>
      <c r="I273">
        <v>312</v>
      </c>
      <c r="J273" t="s">
        <v>6</v>
      </c>
      <c r="K273">
        <v>0</v>
      </c>
      <c r="L273" s="5">
        <v>312</v>
      </c>
      <c r="M273">
        <v>25325.35</v>
      </c>
      <c r="N273" t="s">
        <v>20</v>
      </c>
      <c r="O273" t="str">
        <f t="shared" si="26"/>
        <v>ng*h/mL</v>
      </c>
      <c r="R273">
        <v>75400</v>
      </c>
      <c r="S273" t="s">
        <v>865</v>
      </c>
      <c r="T273" t="s">
        <v>278</v>
      </c>
      <c r="U273">
        <v>400</v>
      </c>
      <c r="V273" t="s">
        <v>22</v>
      </c>
      <c r="W273" t="s">
        <v>23</v>
      </c>
      <c r="X273">
        <v>0</v>
      </c>
      <c r="Y273">
        <v>1</v>
      </c>
      <c r="AA273" t="s">
        <v>655</v>
      </c>
      <c r="AD273">
        <v>76.2</v>
      </c>
      <c r="AE273" t="b">
        <v>0</v>
      </c>
    </row>
    <row r="274" spans="1:31" x14ac:dyDescent="0.3">
      <c r="A274" t="s">
        <v>1057</v>
      </c>
      <c r="B274" t="s">
        <v>1058</v>
      </c>
      <c r="C274" t="b">
        <v>1</v>
      </c>
      <c r="D274" t="s">
        <v>277</v>
      </c>
      <c r="E274" t="s">
        <v>280</v>
      </c>
      <c r="F274" t="s">
        <v>281</v>
      </c>
      <c r="G274" t="s">
        <v>282</v>
      </c>
      <c r="H274" t="s">
        <v>281</v>
      </c>
      <c r="I274">
        <v>312</v>
      </c>
      <c r="J274" t="s">
        <v>7</v>
      </c>
      <c r="K274">
        <v>0</v>
      </c>
      <c r="L274" s="5">
        <v>312</v>
      </c>
      <c r="M274">
        <v>1220</v>
      </c>
      <c r="N274" t="s">
        <v>21</v>
      </c>
      <c r="O274" t="str">
        <f t="shared" si="26"/>
        <v>nM</v>
      </c>
      <c r="T274" t="s">
        <v>279</v>
      </c>
      <c r="U274">
        <v>400</v>
      </c>
      <c r="V274" t="s">
        <v>22</v>
      </c>
      <c r="W274" t="s">
        <v>23</v>
      </c>
      <c r="X274">
        <v>0</v>
      </c>
      <c r="Y274">
        <v>1</v>
      </c>
      <c r="AA274" t="s">
        <v>655</v>
      </c>
      <c r="AD274">
        <v>76.2</v>
      </c>
      <c r="AE274" t="b">
        <v>0</v>
      </c>
    </row>
    <row r="275" spans="1:31" x14ac:dyDescent="0.3">
      <c r="A275" t="s">
        <v>1057</v>
      </c>
      <c r="B275" t="s">
        <v>1058</v>
      </c>
      <c r="C275" t="b">
        <v>1</v>
      </c>
      <c r="D275" t="s">
        <v>277</v>
      </c>
      <c r="E275" t="s">
        <v>280</v>
      </c>
      <c r="F275" t="s">
        <v>281</v>
      </c>
      <c r="G275" t="s">
        <v>282</v>
      </c>
      <c r="H275" t="s">
        <v>281</v>
      </c>
      <c r="I275">
        <v>312</v>
      </c>
      <c r="J275" t="s">
        <v>6</v>
      </c>
      <c r="K275">
        <v>0</v>
      </c>
      <c r="L275" s="5" t="s">
        <v>654</v>
      </c>
      <c r="M275">
        <v>34360.519999999997</v>
      </c>
      <c r="N275" t="s">
        <v>20</v>
      </c>
      <c r="O275" t="str">
        <f t="shared" si="26"/>
        <v>ng*h/mL</v>
      </c>
      <c r="R275">
        <v>102300</v>
      </c>
      <c r="S275" t="s">
        <v>865</v>
      </c>
      <c r="T275" t="s">
        <v>283</v>
      </c>
      <c r="U275">
        <v>400</v>
      </c>
      <c r="V275" t="s">
        <v>22</v>
      </c>
      <c r="W275" t="s">
        <v>23</v>
      </c>
      <c r="X275">
        <v>0</v>
      </c>
      <c r="Y275">
        <v>1</v>
      </c>
      <c r="AA275" t="s">
        <v>655</v>
      </c>
      <c r="AD275">
        <v>76.2</v>
      </c>
      <c r="AE275" t="b">
        <v>0</v>
      </c>
    </row>
    <row r="276" spans="1:31" x14ac:dyDescent="0.3">
      <c r="A276" t="s">
        <v>1059</v>
      </c>
      <c r="B276" t="s">
        <v>1060</v>
      </c>
      <c r="C276" t="b">
        <v>1</v>
      </c>
      <c r="D276" t="s">
        <v>284</v>
      </c>
      <c r="E276" t="s">
        <v>287</v>
      </c>
      <c r="F276" t="s">
        <v>288</v>
      </c>
      <c r="G276" t="s">
        <v>289</v>
      </c>
      <c r="H276" t="s">
        <v>288</v>
      </c>
      <c r="I276">
        <v>24</v>
      </c>
      <c r="J276" t="s">
        <v>6</v>
      </c>
      <c r="K276">
        <v>0</v>
      </c>
      <c r="L276" s="5" t="s">
        <v>654</v>
      </c>
      <c r="M276">
        <v>8940</v>
      </c>
      <c r="N276" t="s">
        <v>20</v>
      </c>
      <c r="O276" t="str">
        <f t="shared" si="26"/>
        <v>ng*h/mL</v>
      </c>
      <c r="T276" t="s">
        <v>285</v>
      </c>
      <c r="U276">
        <v>500</v>
      </c>
      <c r="V276" t="s">
        <v>22</v>
      </c>
      <c r="W276" t="s">
        <v>23</v>
      </c>
      <c r="X276">
        <v>0</v>
      </c>
      <c r="Y276">
        <v>1</v>
      </c>
      <c r="AA276" t="s">
        <v>655</v>
      </c>
      <c r="AD276">
        <v>75.599999999999994</v>
      </c>
      <c r="AE276" t="b">
        <v>0</v>
      </c>
    </row>
    <row r="277" spans="1:31" x14ac:dyDescent="0.3">
      <c r="A277" t="s">
        <v>1059</v>
      </c>
      <c r="B277" t="s">
        <v>1060</v>
      </c>
      <c r="C277" t="b">
        <v>1</v>
      </c>
      <c r="D277" t="s">
        <v>284</v>
      </c>
      <c r="E277" t="s">
        <v>287</v>
      </c>
      <c r="F277" t="s">
        <v>288</v>
      </c>
      <c r="G277" t="s">
        <v>289</v>
      </c>
      <c r="H277" t="s">
        <v>288</v>
      </c>
      <c r="I277">
        <v>24</v>
      </c>
      <c r="J277" t="s">
        <v>7</v>
      </c>
      <c r="K277">
        <v>0</v>
      </c>
      <c r="L277" s="5">
        <v>24</v>
      </c>
      <c r="M277">
        <v>10736.29</v>
      </c>
      <c r="N277" t="s">
        <v>21</v>
      </c>
      <c r="O277" t="str">
        <f t="shared" si="26"/>
        <v>nM</v>
      </c>
      <c r="R277">
        <v>3.45</v>
      </c>
      <c r="S277" t="s">
        <v>660</v>
      </c>
      <c r="T277" t="s">
        <v>286</v>
      </c>
      <c r="U277">
        <v>500</v>
      </c>
      <c r="V277" t="s">
        <v>22</v>
      </c>
      <c r="W277" t="s">
        <v>23</v>
      </c>
      <c r="X277">
        <v>0</v>
      </c>
      <c r="Y277">
        <v>1</v>
      </c>
      <c r="AA277" t="s">
        <v>655</v>
      </c>
      <c r="AD277">
        <v>75.599999999999994</v>
      </c>
      <c r="AE277" t="b">
        <v>0</v>
      </c>
    </row>
    <row r="278" spans="1:31" x14ac:dyDescent="0.3">
      <c r="A278" t="s">
        <v>1061</v>
      </c>
      <c r="B278" t="s">
        <v>1062</v>
      </c>
      <c r="C278" t="b">
        <v>1</v>
      </c>
      <c r="D278" t="s">
        <v>294</v>
      </c>
      <c r="E278" t="s">
        <v>291</v>
      </c>
      <c r="F278" t="s">
        <v>295</v>
      </c>
      <c r="G278" t="s">
        <v>296</v>
      </c>
      <c r="H278" t="s">
        <v>295</v>
      </c>
      <c r="I278">
        <v>72</v>
      </c>
      <c r="J278" t="s">
        <v>6</v>
      </c>
      <c r="K278">
        <v>0</v>
      </c>
      <c r="L278" s="5">
        <v>72</v>
      </c>
      <c r="M278">
        <v>3390</v>
      </c>
      <c r="N278" t="s">
        <v>20</v>
      </c>
      <c r="O278" t="str">
        <f t="shared" si="26"/>
        <v>ng*h/mL</v>
      </c>
      <c r="T278" t="s">
        <v>866</v>
      </c>
      <c r="U278">
        <v>500</v>
      </c>
      <c r="V278" t="s">
        <v>22</v>
      </c>
      <c r="W278" t="s">
        <v>23</v>
      </c>
      <c r="X278">
        <v>0</v>
      </c>
      <c r="Y278">
        <v>1</v>
      </c>
      <c r="AA278" t="s">
        <v>655</v>
      </c>
    </row>
    <row r="279" spans="1:31" x14ac:dyDescent="0.3">
      <c r="A279" t="s">
        <v>1061</v>
      </c>
      <c r="B279" t="s">
        <v>1062</v>
      </c>
      <c r="C279" t="b">
        <v>1</v>
      </c>
      <c r="D279" t="s">
        <v>294</v>
      </c>
      <c r="E279" t="s">
        <v>291</v>
      </c>
      <c r="F279" t="s">
        <v>295</v>
      </c>
      <c r="G279" t="s">
        <v>296</v>
      </c>
      <c r="H279" t="s">
        <v>295</v>
      </c>
      <c r="I279">
        <v>72</v>
      </c>
      <c r="J279" t="s">
        <v>7</v>
      </c>
      <c r="K279">
        <v>0</v>
      </c>
      <c r="L279" s="5">
        <v>72</v>
      </c>
      <c r="M279">
        <v>534.04999999999995</v>
      </c>
      <c r="N279" t="s">
        <v>21</v>
      </c>
      <c r="O279" t="str">
        <f t="shared" si="26"/>
        <v>nM</v>
      </c>
      <c r="R279">
        <v>0.4</v>
      </c>
      <c r="S279" t="s">
        <v>660</v>
      </c>
      <c r="T279" t="s">
        <v>286</v>
      </c>
      <c r="U279">
        <v>500</v>
      </c>
      <c r="V279" t="s">
        <v>22</v>
      </c>
      <c r="W279" t="s">
        <v>23</v>
      </c>
      <c r="X279">
        <v>0</v>
      </c>
      <c r="Y279">
        <v>1</v>
      </c>
      <c r="AA279" t="s">
        <v>655</v>
      </c>
    </row>
    <row r="280" spans="1:31" x14ac:dyDescent="0.3">
      <c r="A280" t="s">
        <v>1063</v>
      </c>
      <c r="B280" t="s">
        <v>1064</v>
      </c>
      <c r="C280" t="b">
        <v>1</v>
      </c>
      <c r="D280" t="s">
        <v>297</v>
      </c>
      <c r="E280" t="s">
        <v>291</v>
      </c>
      <c r="F280" t="s">
        <v>298</v>
      </c>
      <c r="G280" t="s">
        <v>299</v>
      </c>
      <c r="H280" t="s">
        <v>298</v>
      </c>
      <c r="I280">
        <v>96</v>
      </c>
      <c r="J280" t="s">
        <v>6</v>
      </c>
      <c r="K280">
        <v>0</v>
      </c>
      <c r="L280" s="5" t="s">
        <v>654</v>
      </c>
      <c r="M280">
        <v>3090</v>
      </c>
      <c r="N280" t="s">
        <v>20</v>
      </c>
      <c r="O280" t="str">
        <f t="shared" si="26"/>
        <v>ng*h/mL</v>
      </c>
      <c r="T280" t="s">
        <v>274</v>
      </c>
      <c r="U280">
        <v>400</v>
      </c>
      <c r="V280" t="s">
        <v>22</v>
      </c>
      <c r="W280" t="s">
        <v>23</v>
      </c>
      <c r="X280">
        <v>0</v>
      </c>
      <c r="Y280">
        <v>1</v>
      </c>
      <c r="AA280" t="s">
        <v>655</v>
      </c>
      <c r="AD280">
        <v>79.2</v>
      </c>
      <c r="AE280" t="b">
        <v>0</v>
      </c>
    </row>
    <row r="281" spans="1:31" x14ac:dyDescent="0.3">
      <c r="A281" t="s">
        <v>1063</v>
      </c>
      <c r="B281" t="s">
        <v>1064</v>
      </c>
      <c r="C281" t="b">
        <v>1</v>
      </c>
      <c r="D281" t="s">
        <v>297</v>
      </c>
      <c r="E281" t="s">
        <v>291</v>
      </c>
      <c r="F281" t="s">
        <v>298</v>
      </c>
      <c r="G281" t="s">
        <v>299</v>
      </c>
      <c r="H281" t="s">
        <v>298</v>
      </c>
      <c r="I281">
        <v>96</v>
      </c>
      <c r="J281" t="s">
        <v>6</v>
      </c>
      <c r="K281">
        <v>0</v>
      </c>
      <c r="L281" s="5">
        <v>24</v>
      </c>
      <c r="M281">
        <v>2570</v>
      </c>
      <c r="N281" t="s">
        <v>20</v>
      </c>
      <c r="O281" t="str">
        <f t="shared" si="26"/>
        <v>ng*h/mL</v>
      </c>
      <c r="T281" t="s">
        <v>867</v>
      </c>
      <c r="U281">
        <v>400</v>
      </c>
      <c r="V281" t="s">
        <v>22</v>
      </c>
      <c r="W281" t="s">
        <v>23</v>
      </c>
      <c r="X281">
        <v>0</v>
      </c>
      <c r="Y281">
        <v>1</v>
      </c>
      <c r="AA281" t="s">
        <v>655</v>
      </c>
      <c r="AD281">
        <v>79.2</v>
      </c>
      <c r="AE281" t="b">
        <v>0</v>
      </c>
    </row>
    <row r="282" spans="1:31" x14ac:dyDescent="0.3">
      <c r="A282" t="s">
        <v>1063</v>
      </c>
      <c r="B282" t="s">
        <v>1064</v>
      </c>
      <c r="C282" t="b">
        <v>1</v>
      </c>
      <c r="D282" t="s">
        <v>297</v>
      </c>
      <c r="E282" t="s">
        <v>291</v>
      </c>
      <c r="F282" t="s">
        <v>298</v>
      </c>
      <c r="G282" t="s">
        <v>299</v>
      </c>
      <c r="H282" t="s">
        <v>298</v>
      </c>
      <c r="I282">
        <v>96</v>
      </c>
      <c r="J282" t="s">
        <v>7</v>
      </c>
      <c r="K282">
        <v>0</v>
      </c>
      <c r="L282" s="5">
        <v>96</v>
      </c>
      <c r="M282">
        <v>985.2</v>
      </c>
      <c r="N282" t="s">
        <v>21</v>
      </c>
      <c r="O282" t="str">
        <f t="shared" si="26"/>
        <v>nM</v>
      </c>
      <c r="R282">
        <v>0.8</v>
      </c>
      <c r="S282" t="s">
        <v>660</v>
      </c>
      <c r="T282" t="s">
        <v>275</v>
      </c>
      <c r="U282">
        <v>400</v>
      </c>
      <c r="V282" t="s">
        <v>22</v>
      </c>
      <c r="W282" t="s">
        <v>23</v>
      </c>
      <c r="X282">
        <v>0</v>
      </c>
      <c r="Y282">
        <v>1</v>
      </c>
      <c r="AA282" t="s">
        <v>655</v>
      </c>
      <c r="AD282">
        <v>79.2</v>
      </c>
      <c r="AE282" t="b">
        <v>0</v>
      </c>
    </row>
    <row r="283" spans="1:31" x14ac:dyDescent="0.3">
      <c r="A283" t="s">
        <v>1063</v>
      </c>
      <c r="B283" t="s">
        <v>1064</v>
      </c>
      <c r="C283" t="b">
        <v>1</v>
      </c>
      <c r="D283" t="s">
        <v>297</v>
      </c>
      <c r="E283" t="s">
        <v>291</v>
      </c>
      <c r="F283" t="s">
        <v>298</v>
      </c>
      <c r="G283" t="s">
        <v>299</v>
      </c>
      <c r="H283" t="s">
        <v>298</v>
      </c>
      <c r="I283">
        <v>96</v>
      </c>
      <c r="J283" t="s">
        <v>828</v>
      </c>
      <c r="K283">
        <v>24</v>
      </c>
      <c r="L283" s="5">
        <v>24</v>
      </c>
      <c r="M283">
        <v>8.5</v>
      </c>
      <c r="N283" t="s">
        <v>21</v>
      </c>
      <c r="O283" t="str">
        <f t="shared" si="26"/>
        <v>nM</v>
      </c>
      <c r="R283">
        <v>6.8999999999999999E-3</v>
      </c>
      <c r="S283" t="s">
        <v>660</v>
      </c>
      <c r="T283" t="s">
        <v>876</v>
      </c>
      <c r="U283">
        <v>400</v>
      </c>
      <c r="V283" t="s">
        <v>22</v>
      </c>
      <c r="W283" t="s">
        <v>23</v>
      </c>
      <c r="X283">
        <v>0</v>
      </c>
      <c r="Y283">
        <v>1</v>
      </c>
      <c r="AA283" t="s">
        <v>655</v>
      </c>
      <c r="AD283">
        <v>79.2</v>
      </c>
      <c r="AE283" t="b">
        <v>0</v>
      </c>
    </row>
    <row r="284" spans="1:31" x14ac:dyDescent="0.3">
      <c r="A284" t="s">
        <v>1065</v>
      </c>
      <c r="B284" t="s">
        <v>1066</v>
      </c>
      <c r="C284" t="b">
        <v>1</v>
      </c>
      <c r="D284" t="s">
        <v>297</v>
      </c>
      <c r="E284" t="s">
        <v>291</v>
      </c>
      <c r="F284" t="s">
        <v>298</v>
      </c>
      <c r="G284" t="s">
        <v>299</v>
      </c>
      <c r="H284" t="s">
        <v>298</v>
      </c>
      <c r="I284">
        <v>96</v>
      </c>
      <c r="J284" t="s">
        <v>6</v>
      </c>
      <c r="K284">
        <v>0</v>
      </c>
      <c r="L284" s="5" t="s">
        <v>654</v>
      </c>
      <c r="M284">
        <v>8960</v>
      </c>
      <c r="N284" t="s">
        <v>20</v>
      </c>
      <c r="O284" t="str">
        <f t="shared" si="26"/>
        <v>ng*h/mL</v>
      </c>
      <c r="T284" t="s">
        <v>868</v>
      </c>
      <c r="U284">
        <v>800</v>
      </c>
      <c r="V284" t="s">
        <v>22</v>
      </c>
      <c r="W284" t="s">
        <v>23</v>
      </c>
      <c r="X284">
        <v>0</v>
      </c>
      <c r="Y284">
        <v>1</v>
      </c>
      <c r="AA284" t="s">
        <v>655</v>
      </c>
      <c r="AD284">
        <v>79.2</v>
      </c>
      <c r="AE284" t="b">
        <v>0</v>
      </c>
    </row>
    <row r="285" spans="1:31" x14ac:dyDescent="0.3">
      <c r="A285" t="s">
        <v>1065</v>
      </c>
      <c r="B285" t="s">
        <v>1066</v>
      </c>
      <c r="C285" t="b">
        <v>1</v>
      </c>
      <c r="D285" t="s">
        <v>297</v>
      </c>
      <c r="E285" t="s">
        <v>291</v>
      </c>
      <c r="F285" t="s">
        <v>298</v>
      </c>
      <c r="G285" t="s">
        <v>299</v>
      </c>
      <c r="H285" t="s">
        <v>298</v>
      </c>
      <c r="I285">
        <v>96</v>
      </c>
      <c r="J285" t="s">
        <v>6</v>
      </c>
      <c r="K285">
        <v>0</v>
      </c>
      <c r="L285" s="5">
        <v>24</v>
      </c>
      <c r="M285">
        <v>8250</v>
      </c>
      <c r="N285" t="s">
        <v>20</v>
      </c>
      <c r="O285" t="str">
        <f t="shared" si="26"/>
        <v>ng*h/mL</v>
      </c>
      <c r="T285" t="s">
        <v>869</v>
      </c>
      <c r="U285">
        <v>800</v>
      </c>
      <c r="V285" t="s">
        <v>22</v>
      </c>
      <c r="W285" t="s">
        <v>23</v>
      </c>
      <c r="X285">
        <v>0</v>
      </c>
      <c r="Y285">
        <v>1</v>
      </c>
      <c r="AA285" t="s">
        <v>655</v>
      </c>
      <c r="AD285">
        <v>79.2</v>
      </c>
      <c r="AE285" t="b">
        <v>0</v>
      </c>
    </row>
    <row r="286" spans="1:31" x14ac:dyDescent="0.3">
      <c r="A286" t="s">
        <v>1065</v>
      </c>
      <c r="B286" t="s">
        <v>1066</v>
      </c>
      <c r="C286" t="b">
        <v>1</v>
      </c>
      <c r="D286" t="s">
        <v>297</v>
      </c>
      <c r="E286" t="s">
        <v>291</v>
      </c>
      <c r="F286" t="s">
        <v>298</v>
      </c>
      <c r="G286" t="s">
        <v>299</v>
      </c>
      <c r="H286" t="s">
        <v>298</v>
      </c>
      <c r="I286">
        <v>96</v>
      </c>
      <c r="J286" t="s">
        <v>7</v>
      </c>
      <c r="K286">
        <v>0</v>
      </c>
      <c r="L286" s="5">
        <v>96</v>
      </c>
      <c r="M286">
        <v>2339.85</v>
      </c>
      <c r="N286" t="s">
        <v>21</v>
      </c>
      <c r="O286" t="str">
        <f t="shared" si="26"/>
        <v>nM</v>
      </c>
      <c r="R286">
        <v>1.9</v>
      </c>
      <c r="S286" t="s">
        <v>660</v>
      </c>
      <c r="T286" t="s">
        <v>870</v>
      </c>
      <c r="U286">
        <v>800</v>
      </c>
      <c r="V286" t="s">
        <v>22</v>
      </c>
      <c r="W286" t="s">
        <v>23</v>
      </c>
      <c r="X286">
        <v>0</v>
      </c>
      <c r="Y286">
        <v>1</v>
      </c>
      <c r="AA286" t="s">
        <v>655</v>
      </c>
      <c r="AD286">
        <v>79.2</v>
      </c>
      <c r="AE286" t="b">
        <v>0</v>
      </c>
    </row>
    <row r="287" spans="1:31" x14ac:dyDescent="0.3">
      <c r="A287" t="s">
        <v>1065</v>
      </c>
      <c r="B287" t="s">
        <v>1066</v>
      </c>
      <c r="C287" t="b">
        <v>1</v>
      </c>
      <c r="D287" t="s">
        <v>297</v>
      </c>
      <c r="E287" t="s">
        <v>291</v>
      </c>
      <c r="F287" t="s">
        <v>298</v>
      </c>
      <c r="G287" t="s">
        <v>299</v>
      </c>
      <c r="H287" t="s">
        <v>298</v>
      </c>
      <c r="I287">
        <v>96</v>
      </c>
      <c r="J287" t="s">
        <v>828</v>
      </c>
      <c r="K287">
        <v>24</v>
      </c>
      <c r="L287" s="5">
        <v>24</v>
      </c>
      <c r="M287">
        <v>36.450000000000003</v>
      </c>
      <c r="N287" t="s">
        <v>21</v>
      </c>
      <c r="O287" t="str">
        <f t="shared" si="26"/>
        <v>nM</v>
      </c>
      <c r="R287">
        <v>2.9600000000000001E-2</v>
      </c>
      <c r="S287" t="s">
        <v>660</v>
      </c>
      <c r="T287" t="s">
        <v>874</v>
      </c>
      <c r="U287">
        <v>800</v>
      </c>
      <c r="V287" t="s">
        <v>22</v>
      </c>
      <c r="W287" t="s">
        <v>23</v>
      </c>
      <c r="X287">
        <v>0</v>
      </c>
      <c r="Y287">
        <v>1</v>
      </c>
      <c r="AA287" t="s">
        <v>655</v>
      </c>
      <c r="AD287">
        <v>79.2</v>
      </c>
      <c r="AE287" t="b">
        <v>0</v>
      </c>
    </row>
    <row r="288" spans="1:31" x14ac:dyDescent="0.3">
      <c r="A288" t="s">
        <v>1067</v>
      </c>
      <c r="B288" t="s">
        <v>1068</v>
      </c>
      <c r="C288" t="b">
        <v>1</v>
      </c>
      <c r="D288" t="s">
        <v>297</v>
      </c>
      <c r="E288" t="s">
        <v>291</v>
      </c>
      <c r="F288" t="s">
        <v>298</v>
      </c>
      <c r="G288" t="s">
        <v>299</v>
      </c>
      <c r="H288" t="s">
        <v>298</v>
      </c>
      <c r="I288">
        <v>96</v>
      </c>
      <c r="J288" t="s">
        <v>6</v>
      </c>
      <c r="K288">
        <v>0</v>
      </c>
      <c r="L288" s="5" t="s">
        <v>654</v>
      </c>
      <c r="M288">
        <v>25400</v>
      </c>
      <c r="N288" t="s">
        <v>20</v>
      </c>
      <c r="O288" t="str">
        <f t="shared" si="26"/>
        <v>ng*h/mL</v>
      </c>
      <c r="T288" t="s">
        <v>871</v>
      </c>
      <c r="U288">
        <v>1600</v>
      </c>
      <c r="V288" t="s">
        <v>22</v>
      </c>
      <c r="W288" t="s">
        <v>23</v>
      </c>
      <c r="X288">
        <v>0</v>
      </c>
      <c r="Y288">
        <v>1</v>
      </c>
      <c r="AA288" t="s">
        <v>655</v>
      </c>
      <c r="AD288">
        <v>79.2</v>
      </c>
      <c r="AE288" t="b">
        <v>0</v>
      </c>
    </row>
    <row r="289" spans="1:32" x14ac:dyDescent="0.3">
      <c r="A289" t="s">
        <v>1067</v>
      </c>
      <c r="B289" t="s">
        <v>1068</v>
      </c>
      <c r="C289" t="b">
        <v>1</v>
      </c>
      <c r="D289" t="s">
        <v>297</v>
      </c>
      <c r="E289" t="s">
        <v>291</v>
      </c>
      <c r="F289" t="s">
        <v>298</v>
      </c>
      <c r="G289" t="s">
        <v>299</v>
      </c>
      <c r="H289" t="s">
        <v>298</v>
      </c>
      <c r="I289">
        <v>96</v>
      </c>
      <c r="J289" t="s">
        <v>6</v>
      </c>
      <c r="K289">
        <v>0</v>
      </c>
      <c r="L289" s="5">
        <v>24</v>
      </c>
      <c r="M289">
        <v>23100</v>
      </c>
      <c r="N289" t="s">
        <v>20</v>
      </c>
      <c r="O289" t="str">
        <f t="shared" si="26"/>
        <v>ng*h/mL</v>
      </c>
      <c r="T289" t="s">
        <v>872</v>
      </c>
      <c r="U289">
        <v>1600</v>
      </c>
      <c r="V289" t="s">
        <v>22</v>
      </c>
      <c r="W289" t="s">
        <v>23</v>
      </c>
      <c r="X289">
        <v>0</v>
      </c>
      <c r="Y289">
        <v>1</v>
      </c>
      <c r="AA289" t="s">
        <v>655</v>
      </c>
      <c r="AD289">
        <v>79.2</v>
      </c>
      <c r="AE289" t="b">
        <v>0</v>
      </c>
    </row>
    <row r="290" spans="1:32" x14ac:dyDescent="0.3">
      <c r="A290" t="s">
        <v>1067</v>
      </c>
      <c r="B290" t="s">
        <v>1068</v>
      </c>
      <c r="C290" t="b">
        <v>1</v>
      </c>
      <c r="D290" t="s">
        <v>297</v>
      </c>
      <c r="E290" t="s">
        <v>291</v>
      </c>
      <c r="F290" t="s">
        <v>298</v>
      </c>
      <c r="G290" t="s">
        <v>299</v>
      </c>
      <c r="H290" t="s">
        <v>298</v>
      </c>
      <c r="I290">
        <v>96</v>
      </c>
      <c r="J290" t="s">
        <v>7</v>
      </c>
      <c r="K290">
        <v>0</v>
      </c>
      <c r="L290" s="5">
        <v>96</v>
      </c>
      <c r="M290">
        <v>5012.2</v>
      </c>
      <c r="N290" t="s">
        <v>21</v>
      </c>
      <c r="O290" t="str">
        <f t="shared" si="26"/>
        <v>nM</v>
      </c>
      <c r="R290">
        <v>4.07</v>
      </c>
      <c r="S290" t="s">
        <v>660</v>
      </c>
      <c r="T290" t="s">
        <v>873</v>
      </c>
      <c r="U290">
        <v>1600</v>
      </c>
      <c r="V290" t="s">
        <v>22</v>
      </c>
      <c r="W290" t="s">
        <v>23</v>
      </c>
      <c r="X290">
        <v>0</v>
      </c>
      <c r="Y290">
        <v>1</v>
      </c>
      <c r="AA290" t="s">
        <v>655</v>
      </c>
      <c r="AD290">
        <v>79.2</v>
      </c>
      <c r="AE290" t="b">
        <v>0</v>
      </c>
    </row>
    <row r="291" spans="1:32" x14ac:dyDescent="0.3">
      <c r="A291" t="s">
        <v>1067</v>
      </c>
      <c r="B291" t="s">
        <v>1068</v>
      </c>
      <c r="C291" t="b">
        <v>1</v>
      </c>
      <c r="D291" t="s">
        <v>297</v>
      </c>
      <c r="E291" t="s">
        <v>291</v>
      </c>
      <c r="F291" t="s">
        <v>298</v>
      </c>
      <c r="G291" t="s">
        <v>299</v>
      </c>
      <c r="H291" t="s">
        <v>298</v>
      </c>
      <c r="I291">
        <v>96</v>
      </c>
      <c r="J291" t="s">
        <v>828</v>
      </c>
      <c r="K291">
        <v>24</v>
      </c>
      <c r="L291" s="5">
        <v>24</v>
      </c>
      <c r="M291">
        <v>126.84</v>
      </c>
      <c r="N291" t="s">
        <v>21</v>
      </c>
      <c r="O291" t="str">
        <f t="shared" si="26"/>
        <v>nM</v>
      </c>
      <c r="R291">
        <v>0.10299999999999999</v>
      </c>
      <c r="S291" t="s">
        <v>660</v>
      </c>
      <c r="T291" t="s">
        <v>875</v>
      </c>
      <c r="U291">
        <v>1600</v>
      </c>
      <c r="V291" t="s">
        <v>22</v>
      </c>
      <c r="W291" t="s">
        <v>23</v>
      </c>
      <c r="X291">
        <v>0</v>
      </c>
      <c r="Y291">
        <v>1</v>
      </c>
      <c r="AA291" t="s">
        <v>655</v>
      </c>
      <c r="AD291">
        <v>79.2</v>
      </c>
      <c r="AE291" t="b">
        <v>0</v>
      </c>
    </row>
    <row r="292" spans="1:32" x14ac:dyDescent="0.3">
      <c r="A292" t="s">
        <v>1069</v>
      </c>
      <c r="B292" t="s">
        <v>1070</v>
      </c>
      <c r="C292" t="b">
        <v>1</v>
      </c>
      <c r="D292" t="s">
        <v>33</v>
      </c>
      <c r="E292" t="s">
        <v>291</v>
      </c>
      <c r="F292" t="s">
        <v>34</v>
      </c>
      <c r="G292" t="s">
        <v>35</v>
      </c>
      <c r="H292" t="s">
        <v>34</v>
      </c>
      <c r="I292">
        <v>24</v>
      </c>
      <c r="J292" t="s">
        <v>6</v>
      </c>
      <c r="K292">
        <v>0</v>
      </c>
      <c r="L292" s="5" t="s">
        <v>654</v>
      </c>
      <c r="M292">
        <v>7520</v>
      </c>
      <c r="N292" t="s">
        <v>20</v>
      </c>
      <c r="O292" t="str">
        <f t="shared" si="26"/>
        <v>ng*h/mL</v>
      </c>
      <c r="T292" t="s">
        <v>274</v>
      </c>
      <c r="U292">
        <v>400</v>
      </c>
      <c r="V292" t="s">
        <v>22</v>
      </c>
      <c r="W292" t="s">
        <v>23</v>
      </c>
      <c r="X292">
        <v>0</v>
      </c>
      <c r="Y292">
        <v>1</v>
      </c>
      <c r="AA292" t="s">
        <v>655</v>
      </c>
      <c r="AD292">
        <v>71.400000000000006</v>
      </c>
      <c r="AE292" t="b">
        <v>0</v>
      </c>
    </row>
    <row r="293" spans="1:32" x14ac:dyDescent="0.3">
      <c r="A293" t="s">
        <v>1069</v>
      </c>
      <c r="B293" t="s">
        <v>1070</v>
      </c>
      <c r="C293" t="b">
        <v>1</v>
      </c>
      <c r="D293" t="s">
        <v>33</v>
      </c>
      <c r="E293" t="s">
        <v>291</v>
      </c>
      <c r="F293" t="s">
        <v>34</v>
      </c>
      <c r="G293" t="s">
        <v>35</v>
      </c>
      <c r="H293" t="s">
        <v>34</v>
      </c>
      <c r="I293">
        <v>24</v>
      </c>
      <c r="J293" t="s">
        <v>7</v>
      </c>
      <c r="K293">
        <v>0</v>
      </c>
      <c r="L293" s="5">
        <v>24</v>
      </c>
      <c r="M293">
        <v>1042.8399999999999</v>
      </c>
      <c r="N293" t="s">
        <v>21</v>
      </c>
      <c r="O293" t="str">
        <f t="shared" si="26"/>
        <v>nM</v>
      </c>
      <c r="R293">
        <v>0.78</v>
      </c>
      <c r="S293" t="s">
        <v>660</v>
      </c>
      <c r="T293" t="s">
        <v>275</v>
      </c>
      <c r="U293">
        <v>400</v>
      </c>
      <c r="V293" t="s">
        <v>22</v>
      </c>
      <c r="W293" t="s">
        <v>23</v>
      </c>
      <c r="X293">
        <v>0</v>
      </c>
      <c r="Y293">
        <v>1</v>
      </c>
      <c r="AA293" t="s">
        <v>655</v>
      </c>
      <c r="AD293">
        <v>71.400000000000006</v>
      </c>
      <c r="AE293" t="b">
        <v>0</v>
      </c>
    </row>
    <row r="294" spans="1:32" x14ac:dyDescent="0.3">
      <c r="A294" t="s">
        <v>1071</v>
      </c>
      <c r="B294" t="s">
        <v>1072</v>
      </c>
      <c r="C294" t="b">
        <v>1</v>
      </c>
      <c r="D294" t="s">
        <v>48</v>
      </c>
      <c r="E294" t="s">
        <v>302</v>
      </c>
      <c r="F294" t="s">
        <v>50</v>
      </c>
      <c r="G294" t="s">
        <v>51</v>
      </c>
      <c r="H294" t="s">
        <v>50</v>
      </c>
      <c r="I294">
        <v>24</v>
      </c>
      <c r="J294" t="s">
        <v>6</v>
      </c>
      <c r="K294">
        <v>0</v>
      </c>
      <c r="L294" s="5" t="s">
        <v>654</v>
      </c>
      <c r="M294">
        <v>529700</v>
      </c>
      <c r="N294" t="s">
        <v>20</v>
      </c>
      <c r="O294" t="str">
        <f t="shared" si="26"/>
        <v>ng*h/mL</v>
      </c>
      <c r="T294" t="s">
        <v>300</v>
      </c>
      <c r="U294">
        <v>4</v>
      </c>
      <c r="V294" t="s">
        <v>115</v>
      </c>
      <c r="W294" t="s">
        <v>663</v>
      </c>
      <c r="X294">
        <v>0</v>
      </c>
      <c r="Y294">
        <v>1</v>
      </c>
      <c r="AA294" t="s">
        <v>655</v>
      </c>
      <c r="AB294">
        <v>30</v>
      </c>
      <c r="AC294" t="s">
        <v>664</v>
      </c>
      <c r="AD294">
        <v>78.5</v>
      </c>
    </row>
    <row r="295" spans="1:32" x14ac:dyDescent="0.3">
      <c r="A295" t="s">
        <v>1071</v>
      </c>
      <c r="B295" t="s">
        <v>1072</v>
      </c>
      <c r="C295" t="b">
        <v>1</v>
      </c>
      <c r="D295" t="s">
        <v>48</v>
      </c>
      <c r="E295" t="s">
        <v>302</v>
      </c>
      <c r="F295" t="s">
        <v>50</v>
      </c>
      <c r="G295" t="s">
        <v>51</v>
      </c>
      <c r="H295" t="s">
        <v>50</v>
      </c>
      <c r="I295">
        <v>24</v>
      </c>
      <c r="J295" t="s">
        <v>6</v>
      </c>
      <c r="K295">
        <v>0</v>
      </c>
      <c r="L295" s="5">
        <v>24</v>
      </c>
      <c r="M295">
        <v>468000</v>
      </c>
      <c r="N295" t="s">
        <v>20</v>
      </c>
      <c r="O295" t="str">
        <f t="shared" si="26"/>
        <v>ng*h/mL</v>
      </c>
      <c r="T295" t="s">
        <v>877</v>
      </c>
      <c r="U295">
        <v>4</v>
      </c>
      <c r="V295" t="s">
        <v>115</v>
      </c>
      <c r="W295" t="s">
        <v>663</v>
      </c>
      <c r="X295">
        <v>0</v>
      </c>
      <c r="Y295">
        <v>1</v>
      </c>
      <c r="AA295" t="s">
        <v>655</v>
      </c>
      <c r="AB295">
        <v>30</v>
      </c>
      <c r="AC295" t="s">
        <v>664</v>
      </c>
      <c r="AD295">
        <v>78.5</v>
      </c>
    </row>
    <row r="296" spans="1:32" x14ac:dyDescent="0.3">
      <c r="A296" t="s">
        <v>1071</v>
      </c>
      <c r="B296" t="s">
        <v>1072</v>
      </c>
      <c r="C296" t="b">
        <v>1</v>
      </c>
      <c r="D296" t="s">
        <v>48</v>
      </c>
      <c r="E296" t="s">
        <v>302</v>
      </c>
      <c r="F296" t="s">
        <v>50</v>
      </c>
      <c r="G296" t="s">
        <v>51</v>
      </c>
      <c r="H296" t="s">
        <v>50</v>
      </c>
      <c r="I296">
        <v>24</v>
      </c>
      <c r="J296" t="s">
        <v>7</v>
      </c>
      <c r="K296">
        <v>0</v>
      </c>
      <c r="L296" s="5">
        <v>24</v>
      </c>
      <c r="M296">
        <v>47819.14</v>
      </c>
      <c r="N296" t="s">
        <v>21</v>
      </c>
      <c r="O296" t="str">
        <f t="shared" si="26"/>
        <v>nM</v>
      </c>
      <c r="R296">
        <v>77.5</v>
      </c>
      <c r="S296" t="s">
        <v>660</v>
      </c>
      <c r="T296" t="s">
        <v>301</v>
      </c>
      <c r="U296">
        <v>4</v>
      </c>
      <c r="V296" t="s">
        <v>115</v>
      </c>
      <c r="W296" t="s">
        <v>663</v>
      </c>
      <c r="X296">
        <v>0</v>
      </c>
      <c r="Y296">
        <v>1</v>
      </c>
      <c r="AA296" t="s">
        <v>655</v>
      </c>
      <c r="AB296">
        <v>30</v>
      </c>
      <c r="AC296" t="s">
        <v>664</v>
      </c>
      <c r="AD296">
        <v>78.5</v>
      </c>
    </row>
    <row r="297" spans="1:32" x14ac:dyDescent="0.3">
      <c r="A297" t="s">
        <v>1073</v>
      </c>
      <c r="B297" t="s">
        <v>1074</v>
      </c>
      <c r="C297" t="b">
        <v>1</v>
      </c>
      <c r="D297" t="s">
        <v>48</v>
      </c>
      <c r="E297" t="s">
        <v>302</v>
      </c>
      <c r="F297" t="s">
        <v>50</v>
      </c>
      <c r="G297" t="s">
        <v>51</v>
      </c>
      <c r="H297" t="s">
        <v>50</v>
      </c>
      <c r="I297">
        <v>24</v>
      </c>
      <c r="J297" t="s">
        <v>6</v>
      </c>
      <c r="K297">
        <v>0</v>
      </c>
      <c r="L297" s="5" t="s">
        <v>654</v>
      </c>
      <c r="M297">
        <v>346000</v>
      </c>
      <c r="N297" t="s">
        <v>20</v>
      </c>
      <c r="O297" t="str">
        <f t="shared" si="26"/>
        <v>ng*h/mL</v>
      </c>
      <c r="T297" t="s">
        <v>306</v>
      </c>
      <c r="U297">
        <v>4</v>
      </c>
      <c r="V297" t="s">
        <v>115</v>
      </c>
      <c r="W297" t="s">
        <v>663</v>
      </c>
      <c r="X297">
        <v>0</v>
      </c>
      <c r="Y297">
        <v>1</v>
      </c>
      <c r="AA297" t="s">
        <v>655</v>
      </c>
      <c r="AB297">
        <v>30</v>
      </c>
      <c r="AC297" t="s">
        <v>664</v>
      </c>
      <c r="AD297">
        <v>58.8</v>
      </c>
    </row>
    <row r="298" spans="1:32" x14ac:dyDescent="0.3">
      <c r="A298" t="s">
        <v>1073</v>
      </c>
      <c r="B298" t="s">
        <v>1074</v>
      </c>
      <c r="C298" t="b">
        <v>1</v>
      </c>
      <c r="D298" t="s">
        <v>48</v>
      </c>
      <c r="E298" t="s">
        <v>302</v>
      </c>
      <c r="F298" t="s">
        <v>50</v>
      </c>
      <c r="G298" t="s">
        <v>51</v>
      </c>
      <c r="H298" t="s">
        <v>50</v>
      </c>
      <c r="I298">
        <v>24</v>
      </c>
      <c r="J298" t="s">
        <v>6</v>
      </c>
      <c r="K298">
        <v>0</v>
      </c>
      <c r="L298" s="5">
        <v>24</v>
      </c>
      <c r="M298">
        <v>307000</v>
      </c>
      <c r="N298" t="s">
        <v>20</v>
      </c>
      <c r="O298" t="str">
        <f t="shared" si="26"/>
        <v>ng*h/mL</v>
      </c>
      <c r="T298" t="s">
        <v>878</v>
      </c>
      <c r="U298">
        <v>4</v>
      </c>
      <c r="V298" t="s">
        <v>115</v>
      </c>
      <c r="W298" t="s">
        <v>663</v>
      </c>
      <c r="X298">
        <v>0</v>
      </c>
      <c r="Y298">
        <v>1</v>
      </c>
      <c r="AA298" t="s">
        <v>655</v>
      </c>
      <c r="AB298">
        <v>30</v>
      </c>
      <c r="AC298" t="s">
        <v>664</v>
      </c>
      <c r="AD298">
        <v>58.8</v>
      </c>
    </row>
    <row r="299" spans="1:32" x14ac:dyDescent="0.3">
      <c r="A299" t="s">
        <v>1073</v>
      </c>
      <c r="B299" t="s">
        <v>1074</v>
      </c>
      <c r="C299" t="b">
        <v>1</v>
      </c>
      <c r="D299" t="s">
        <v>48</v>
      </c>
      <c r="E299" t="s">
        <v>302</v>
      </c>
      <c r="F299" t="s">
        <v>50</v>
      </c>
      <c r="G299" t="s">
        <v>51</v>
      </c>
      <c r="H299" t="s">
        <v>50</v>
      </c>
      <c r="I299">
        <v>24</v>
      </c>
      <c r="J299" t="s">
        <v>7</v>
      </c>
      <c r="K299">
        <v>0</v>
      </c>
      <c r="L299" s="5">
        <v>24</v>
      </c>
      <c r="M299">
        <v>26099.99</v>
      </c>
      <c r="N299" t="s">
        <v>21</v>
      </c>
      <c r="O299" t="str">
        <f t="shared" si="26"/>
        <v>nM</v>
      </c>
      <c r="R299">
        <v>42.3</v>
      </c>
      <c r="S299" t="s">
        <v>660</v>
      </c>
      <c r="T299" t="s">
        <v>303</v>
      </c>
      <c r="U299">
        <v>4</v>
      </c>
      <c r="V299" t="s">
        <v>115</v>
      </c>
      <c r="W299" t="s">
        <v>663</v>
      </c>
      <c r="X299">
        <v>0</v>
      </c>
      <c r="Y299">
        <v>1</v>
      </c>
      <c r="AA299" t="s">
        <v>655</v>
      </c>
      <c r="AB299">
        <v>30</v>
      </c>
      <c r="AC299" t="s">
        <v>664</v>
      </c>
      <c r="AD299">
        <v>58.8</v>
      </c>
    </row>
    <row r="300" spans="1:32" x14ac:dyDescent="0.3">
      <c r="A300" t="s">
        <v>1073</v>
      </c>
      <c r="B300" t="s">
        <v>1074</v>
      </c>
      <c r="C300" t="b">
        <v>1</v>
      </c>
      <c r="D300" t="s">
        <v>48</v>
      </c>
      <c r="E300" t="s">
        <v>302</v>
      </c>
      <c r="F300" t="s">
        <v>50</v>
      </c>
      <c r="G300" t="s">
        <v>51</v>
      </c>
      <c r="H300" t="s">
        <v>50</v>
      </c>
      <c r="I300">
        <v>24</v>
      </c>
      <c r="J300" t="s">
        <v>828</v>
      </c>
      <c r="K300">
        <v>24</v>
      </c>
      <c r="L300" s="5">
        <v>24</v>
      </c>
      <c r="M300">
        <v>2091.6999999999998</v>
      </c>
      <c r="N300" t="s">
        <v>21</v>
      </c>
      <c r="O300" t="str">
        <f t="shared" si="26"/>
        <v>nM</v>
      </c>
      <c r="R300">
        <v>3.39</v>
      </c>
      <c r="S300" t="s">
        <v>660</v>
      </c>
      <c r="T300" t="s">
        <v>303</v>
      </c>
      <c r="U300">
        <v>4</v>
      </c>
      <c r="V300" t="s">
        <v>115</v>
      </c>
      <c r="W300" t="s">
        <v>663</v>
      </c>
      <c r="X300">
        <v>0</v>
      </c>
      <c r="Y300">
        <v>1</v>
      </c>
      <c r="AA300" t="s">
        <v>655</v>
      </c>
      <c r="AB300">
        <v>30</v>
      </c>
      <c r="AC300" t="s">
        <v>664</v>
      </c>
      <c r="AD300">
        <v>58.8</v>
      </c>
    </row>
    <row r="301" spans="1:32" x14ac:dyDescent="0.3">
      <c r="A301" t="s">
        <v>612</v>
      </c>
      <c r="B301" t="s">
        <v>730</v>
      </c>
      <c r="C301" t="b">
        <v>1</v>
      </c>
      <c r="D301" t="s">
        <v>48</v>
      </c>
      <c r="E301" t="s">
        <v>302</v>
      </c>
      <c r="F301" t="s">
        <v>50</v>
      </c>
      <c r="G301" t="s">
        <v>51</v>
      </c>
      <c r="H301" t="s">
        <v>50</v>
      </c>
      <c r="I301">
        <v>24</v>
      </c>
      <c r="J301" t="s">
        <v>6</v>
      </c>
      <c r="K301">
        <v>0</v>
      </c>
      <c r="L301" s="5" t="s">
        <v>654</v>
      </c>
      <c r="M301">
        <v>598000</v>
      </c>
      <c r="N301" t="s">
        <v>20</v>
      </c>
      <c r="O301" t="str">
        <f t="shared" si="26"/>
        <v>ng*h/mL</v>
      </c>
      <c r="T301" t="s">
        <v>312</v>
      </c>
      <c r="U301">
        <v>6</v>
      </c>
      <c r="V301" t="s">
        <v>115</v>
      </c>
      <c r="W301" t="s">
        <v>663</v>
      </c>
      <c r="X301">
        <v>0</v>
      </c>
      <c r="Y301">
        <v>1</v>
      </c>
      <c r="AA301" t="s">
        <v>655</v>
      </c>
      <c r="AB301">
        <v>30</v>
      </c>
      <c r="AC301" t="s">
        <v>664</v>
      </c>
      <c r="AD301">
        <v>70</v>
      </c>
      <c r="AF301" t="s">
        <v>1181</v>
      </c>
    </row>
    <row r="302" spans="1:32" x14ac:dyDescent="0.3">
      <c r="A302" t="s">
        <v>612</v>
      </c>
      <c r="B302" t="s">
        <v>730</v>
      </c>
      <c r="C302" t="b">
        <v>1</v>
      </c>
      <c r="D302" t="s">
        <v>48</v>
      </c>
      <c r="E302" t="s">
        <v>302</v>
      </c>
      <c r="F302" t="s">
        <v>50</v>
      </c>
      <c r="G302" t="s">
        <v>51</v>
      </c>
      <c r="H302" t="s">
        <v>50</v>
      </c>
      <c r="I302">
        <v>24</v>
      </c>
      <c r="J302" t="s">
        <v>7</v>
      </c>
      <c r="K302">
        <v>0</v>
      </c>
      <c r="L302" s="5">
        <v>24</v>
      </c>
      <c r="M302">
        <v>50595.73</v>
      </c>
      <c r="N302" t="s">
        <v>21</v>
      </c>
      <c r="O302" t="str">
        <f t="shared" si="26"/>
        <v>nM</v>
      </c>
      <c r="R302">
        <v>82</v>
      </c>
      <c r="S302" t="s">
        <v>660</v>
      </c>
      <c r="T302" t="s">
        <v>307</v>
      </c>
      <c r="U302">
        <v>6</v>
      </c>
      <c r="V302" t="s">
        <v>115</v>
      </c>
      <c r="W302" t="s">
        <v>663</v>
      </c>
      <c r="X302">
        <v>0</v>
      </c>
      <c r="Y302">
        <v>1</v>
      </c>
      <c r="AA302" t="s">
        <v>655</v>
      </c>
      <c r="AB302">
        <v>30</v>
      </c>
      <c r="AC302" t="s">
        <v>664</v>
      </c>
      <c r="AD302">
        <v>70</v>
      </c>
      <c r="AF302" t="s">
        <v>1181</v>
      </c>
    </row>
    <row r="303" spans="1:32" x14ac:dyDescent="0.3">
      <c r="A303" t="s">
        <v>1075</v>
      </c>
      <c r="B303" t="s">
        <v>1076</v>
      </c>
      <c r="C303" t="b">
        <v>1</v>
      </c>
      <c r="D303" t="s">
        <v>48</v>
      </c>
      <c r="E303" t="s">
        <v>302</v>
      </c>
      <c r="F303" t="s">
        <v>50</v>
      </c>
      <c r="G303" t="s">
        <v>51</v>
      </c>
      <c r="H303" t="s">
        <v>50</v>
      </c>
      <c r="I303">
        <v>24</v>
      </c>
      <c r="J303" t="s">
        <v>6</v>
      </c>
      <c r="K303">
        <v>0</v>
      </c>
      <c r="L303" s="5" t="s">
        <v>654</v>
      </c>
      <c r="M303">
        <v>425000</v>
      </c>
      <c r="N303" t="s">
        <v>20</v>
      </c>
      <c r="O303" t="str">
        <f t="shared" si="26"/>
        <v>ng*h/mL</v>
      </c>
      <c r="T303" t="s">
        <v>313</v>
      </c>
      <c r="U303">
        <v>4</v>
      </c>
      <c r="V303" t="s">
        <v>115</v>
      </c>
      <c r="W303" t="s">
        <v>663</v>
      </c>
      <c r="X303">
        <v>0</v>
      </c>
      <c r="Y303">
        <v>1</v>
      </c>
      <c r="AA303" t="s">
        <v>655</v>
      </c>
      <c r="AB303">
        <v>30</v>
      </c>
      <c r="AC303" t="s">
        <v>664</v>
      </c>
      <c r="AD303">
        <v>69.8</v>
      </c>
    </row>
    <row r="304" spans="1:32" x14ac:dyDescent="0.3">
      <c r="A304" t="s">
        <v>1075</v>
      </c>
      <c r="B304" t="s">
        <v>1076</v>
      </c>
      <c r="C304" t="b">
        <v>1</v>
      </c>
      <c r="D304" t="s">
        <v>48</v>
      </c>
      <c r="E304" t="s">
        <v>302</v>
      </c>
      <c r="F304" t="s">
        <v>50</v>
      </c>
      <c r="G304" t="s">
        <v>51</v>
      </c>
      <c r="H304" t="s">
        <v>50</v>
      </c>
      <c r="I304">
        <v>24</v>
      </c>
      <c r="J304" t="s">
        <v>7</v>
      </c>
      <c r="K304">
        <v>0</v>
      </c>
      <c r="L304" s="5">
        <v>24</v>
      </c>
      <c r="M304">
        <v>33689.35</v>
      </c>
      <c r="N304" t="s">
        <v>21</v>
      </c>
      <c r="O304" t="str">
        <f t="shared" si="26"/>
        <v>nM</v>
      </c>
      <c r="R304">
        <v>54.6</v>
      </c>
      <c r="S304" t="s">
        <v>660</v>
      </c>
      <c r="T304" t="s">
        <v>304</v>
      </c>
      <c r="U304">
        <v>4</v>
      </c>
      <c r="V304" t="s">
        <v>115</v>
      </c>
      <c r="W304" t="s">
        <v>663</v>
      </c>
      <c r="X304">
        <v>0</v>
      </c>
      <c r="Y304">
        <v>1</v>
      </c>
      <c r="AA304" t="s">
        <v>655</v>
      </c>
      <c r="AB304">
        <v>30</v>
      </c>
      <c r="AC304" t="s">
        <v>664</v>
      </c>
      <c r="AD304">
        <v>69.8</v>
      </c>
    </row>
    <row r="305" spans="1:30" x14ac:dyDescent="0.3">
      <c r="A305" t="s">
        <v>1075</v>
      </c>
      <c r="B305" t="s">
        <v>1076</v>
      </c>
      <c r="C305" t="b">
        <v>1</v>
      </c>
      <c r="D305" t="s">
        <v>48</v>
      </c>
      <c r="E305" t="s">
        <v>302</v>
      </c>
      <c r="F305" t="s">
        <v>50</v>
      </c>
      <c r="G305" t="s">
        <v>51</v>
      </c>
      <c r="H305" t="s">
        <v>50</v>
      </c>
      <c r="I305">
        <f>7*24</f>
        <v>168</v>
      </c>
      <c r="J305" t="s">
        <v>6</v>
      </c>
      <c r="K305">
        <f>6*24</f>
        <v>144</v>
      </c>
      <c r="L305" s="5" t="s">
        <v>654</v>
      </c>
      <c r="M305">
        <v>494000</v>
      </c>
      <c r="N305" t="s">
        <v>20</v>
      </c>
      <c r="O305" t="str">
        <f t="shared" si="26"/>
        <v>ng*h/mL</v>
      </c>
      <c r="T305" t="s">
        <v>321</v>
      </c>
      <c r="U305">
        <v>4</v>
      </c>
      <c r="V305" t="s">
        <v>115</v>
      </c>
      <c r="W305" t="s">
        <v>663</v>
      </c>
      <c r="X305">
        <v>0</v>
      </c>
      <c r="Y305">
        <v>1</v>
      </c>
      <c r="AA305" t="s">
        <v>655</v>
      </c>
      <c r="AB305">
        <v>30</v>
      </c>
      <c r="AC305" t="s">
        <v>664</v>
      </c>
      <c r="AD305">
        <v>69.8</v>
      </c>
    </row>
    <row r="306" spans="1:30" x14ac:dyDescent="0.3">
      <c r="A306" t="s">
        <v>1075</v>
      </c>
      <c r="B306" t="s">
        <v>1076</v>
      </c>
      <c r="C306" t="b">
        <v>1</v>
      </c>
      <c r="D306" t="s">
        <v>48</v>
      </c>
      <c r="E306" t="s">
        <v>302</v>
      </c>
      <c r="F306" t="s">
        <v>50</v>
      </c>
      <c r="G306" t="s">
        <v>51</v>
      </c>
      <c r="H306" t="s">
        <v>50</v>
      </c>
      <c r="I306">
        <f>7*24</f>
        <v>168</v>
      </c>
      <c r="J306" t="s">
        <v>7</v>
      </c>
      <c r="K306">
        <v>144</v>
      </c>
      <c r="L306" s="5">
        <v>168</v>
      </c>
      <c r="M306">
        <v>35663.82</v>
      </c>
      <c r="N306" t="s">
        <v>21</v>
      </c>
      <c r="O306" t="str">
        <f t="shared" si="26"/>
        <v>nM</v>
      </c>
      <c r="R306">
        <v>57.8</v>
      </c>
      <c r="S306" t="s">
        <v>660</v>
      </c>
      <c r="T306" t="s">
        <v>305</v>
      </c>
      <c r="U306">
        <v>4</v>
      </c>
      <c r="V306" t="s">
        <v>115</v>
      </c>
      <c r="W306" t="s">
        <v>663</v>
      </c>
      <c r="X306">
        <v>0</v>
      </c>
      <c r="Y306">
        <v>1</v>
      </c>
      <c r="AA306" t="s">
        <v>655</v>
      </c>
      <c r="AB306">
        <v>30</v>
      </c>
      <c r="AC306" t="s">
        <v>664</v>
      </c>
      <c r="AD306">
        <v>69.8</v>
      </c>
    </row>
    <row r="307" spans="1:30" x14ac:dyDescent="0.3">
      <c r="A307" t="s">
        <v>1077</v>
      </c>
      <c r="B307" t="s">
        <v>1078</v>
      </c>
      <c r="C307" t="b">
        <v>1</v>
      </c>
      <c r="D307" t="s">
        <v>48</v>
      </c>
      <c r="E307" t="s">
        <v>302</v>
      </c>
      <c r="F307" t="s">
        <v>50</v>
      </c>
      <c r="G307" t="s">
        <v>51</v>
      </c>
      <c r="H307" t="s">
        <v>50</v>
      </c>
      <c r="I307">
        <v>24</v>
      </c>
      <c r="J307" t="s">
        <v>6</v>
      </c>
      <c r="K307">
        <v>0</v>
      </c>
      <c r="L307" s="5" t="s">
        <v>654</v>
      </c>
      <c r="M307">
        <v>705000</v>
      </c>
      <c r="N307" t="s">
        <v>20</v>
      </c>
      <c r="O307" t="str">
        <f t="shared" si="26"/>
        <v>ng*h/mL</v>
      </c>
      <c r="T307" t="s">
        <v>314</v>
      </c>
      <c r="U307">
        <v>6</v>
      </c>
      <c r="V307" t="s">
        <v>115</v>
      </c>
      <c r="W307" t="s">
        <v>663</v>
      </c>
      <c r="X307">
        <v>0</v>
      </c>
      <c r="Y307">
        <v>1</v>
      </c>
      <c r="AA307" t="s">
        <v>655</v>
      </c>
      <c r="AB307">
        <v>30</v>
      </c>
      <c r="AC307" t="s">
        <v>664</v>
      </c>
      <c r="AD307">
        <v>69.599999999999994</v>
      </c>
    </row>
    <row r="308" spans="1:30" x14ac:dyDescent="0.3">
      <c r="A308" t="s">
        <v>1077</v>
      </c>
      <c r="B308" t="s">
        <v>1078</v>
      </c>
      <c r="C308" t="b">
        <v>1</v>
      </c>
      <c r="D308" t="s">
        <v>48</v>
      </c>
      <c r="E308" t="s">
        <v>302</v>
      </c>
      <c r="F308" t="s">
        <v>50</v>
      </c>
      <c r="G308" t="s">
        <v>51</v>
      </c>
      <c r="H308" t="s">
        <v>50</v>
      </c>
      <c r="I308">
        <v>24</v>
      </c>
      <c r="J308" t="s">
        <v>7</v>
      </c>
      <c r="K308">
        <v>0</v>
      </c>
      <c r="L308" s="5">
        <v>24</v>
      </c>
      <c r="M308">
        <v>53310.63</v>
      </c>
      <c r="N308" t="s">
        <v>21</v>
      </c>
      <c r="O308" t="str">
        <f t="shared" si="26"/>
        <v>nM</v>
      </c>
      <c r="R308">
        <v>86.4</v>
      </c>
      <c r="S308" t="s">
        <v>660</v>
      </c>
      <c r="T308" t="s">
        <v>308</v>
      </c>
      <c r="U308">
        <v>6</v>
      </c>
      <c r="V308" t="s">
        <v>115</v>
      </c>
      <c r="W308" t="s">
        <v>663</v>
      </c>
      <c r="X308">
        <v>0</v>
      </c>
      <c r="Y308">
        <v>1</v>
      </c>
      <c r="AA308" t="s">
        <v>655</v>
      </c>
      <c r="AB308">
        <v>30</v>
      </c>
      <c r="AC308" t="s">
        <v>664</v>
      </c>
      <c r="AD308">
        <v>69.599999999999994</v>
      </c>
    </row>
    <row r="309" spans="1:30" x14ac:dyDescent="0.3">
      <c r="A309" t="s">
        <v>1079</v>
      </c>
      <c r="B309" t="s">
        <v>1080</v>
      </c>
      <c r="C309" t="b">
        <v>1</v>
      </c>
      <c r="D309" t="s">
        <v>48</v>
      </c>
      <c r="E309" t="s">
        <v>302</v>
      </c>
      <c r="F309" t="s">
        <v>50</v>
      </c>
      <c r="G309" t="s">
        <v>51</v>
      </c>
      <c r="H309" t="s">
        <v>50</v>
      </c>
      <c r="I309">
        <v>168</v>
      </c>
      <c r="J309" t="s">
        <v>6</v>
      </c>
      <c r="K309">
        <v>144</v>
      </c>
      <c r="L309" s="5" t="s">
        <v>654</v>
      </c>
      <c r="M309">
        <v>747000</v>
      </c>
      <c r="N309" t="s">
        <v>20</v>
      </c>
      <c r="O309" t="str">
        <f t="shared" si="26"/>
        <v>ng*h/mL</v>
      </c>
      <c r="T309" t="s">
        <v>322</v>
      </c>
      <c r="U309">
        <v>6</v>
      </c>
      <c r="V309" t="s">
        <v>115</v>
      </c>
      <c r="W309" t="s">
        <v>663</v>
      </c>
      <c r="X309">
        <v>0</v>
      </c>
      <c r="Y309">
        <v>7</v>
      </c>
      <c r="Z309">
        <v>24</v>
      </c>
      <c r="AA309" t="s">
        <v>655</v>
      </c>
      <c r="AB309">
        <v>30</v>
      </c>
      <c r="AC309" t="s">
        <v>664</v>
      </c>
      <c r="AD309">
        <v>69.599999999999994</v>
      </c>
    </row>
    <row r="310" spans="1:30" x14ac:dyDescent="0.3">
      <c r="A310" t="s">
        <v>1079</v>
      </c>
      <c r="B310" t="s">
        <v>1080</v>
      </c>
      <c r="C310" t="b">
        <v>1</v>
      </c>
      <c r="D310" t="s">
        <v>48</v>
      </c>
      <c r="E310" t="s">
        <v>302</v>
      </c>
      <c r="F310" t="s">
        <v>50</v>
      </c>
      <c r="G310" t="s">
        <v>51</v>
      </c>
      <c r="H310" t="s">
        <v>50</v>
      </c>
      <c r="I310">
        <v>168</v>
      </c>
      <c r="J310" t="s">
        <v>7</v>
      </c>
      <c r="K310">
        <v>144</v>
      </c>
      <c r="L310" s="5">
        <v>168</v>
      </c>
      <c r="M310">
        <v>60838.28</v>
      </c>
      <c r="N310" t="s">
        <v>21</v>
      </c>
      <c r="O310" t="str">
        <f t="shared" si="26"/>
        <v>nM</v>
      </c>
      <c r="R310">
        <v>98.6</v>
      </c>
      <c r="S310" t="s">
        <v>660</v>
      </c>
      <c r="T310" t="s">
        <v>309</v>
      </c>
      <c r="U310">
        <v>6</v>
      </c>
      <c r="V310" t="s">
        <v>115</v>
      </c>
      <c r="W310" t="s">
        <v>663</v>
      </c>
      <c r="X310">
        <v>0</v>
      </c>
      <c r="Y310">
        <v>7</v>
      </c>
      <c r="Z310">
        <v>24</v>
      </c>
      <c r="AA310" t="s">
        <v>655</v>
      </c>
      <c r="AB310">
        <v>30</v>
      </c>
      <c r="AC310" t="s">
        <v>664</v>
      </c>
      <c r="AD310">
        <v>69.599999999999994</v>
      </c>
    </row>
    <row r="311" spans="1:30" x14ac:dyDescent="0.3">
      <c r="A311" t="s">
        <v>613</v>
      </c>
      <c r="B311" t="s">
        <v>731</v>
      </c>
      <c r="C311" t="b">
        <v>1</v>
      </c>
      <c r="D311" t="s">
        <v>48</v>
      </c>
      <c r="E311" t="s">
        <v>302</v>
      </c>
      <c r="F311" t="s">
        <v>50</v>
      </c>
      <c r="G311" t="s">
        <v>51</v>
      </c>
      <c r="H311" t="s">
        <v>50</v>
      </c>
      <c r="I311">
        <v>24</v>
      </c>
      <c r="J311" t="s">
        <v>6</v>
      </c>
      <c r="K311">
        <v>0</v>
      </c>
      <c r="L311" s="5" t="s">
        <v>654</v>
      </c>
      <c r="M311">
        <v>729800</v>
      </c>
      <c r="N311" t="s">
        <v>20</v>
      </c>
      <c r="O311" t="str">
        <f t="shared" si="26"/>
        <v>ng*h/mL</v>
      </c>
      <c r="T311" t="s">
        <v>325</v>
      </c>
      <c r="U311">
        <v>6</v>
      </c>
      <c r="V311" t="s">
        <v>115</v>
      </c>
      <c r="W311" t="s">
        <v>663</v>
      </c>
      <c r="X311">
        <v>0</v>
      </c>
      <c r="Y311">
        <v>1</v>
      </c>
      <c r="AA311" t="s">
        <v>655</v>
      </c>
      <c r="AB311">
        <v>30</v>
      </c>
      <c r="AC311" t="s">
        <v>664</v>
      </c>
      <c r="AD311">
        <v>67.5</v>
      </c>
    </row>
    <row r="312" spans="1:30" x14ac:dyDescent="0.3">
      <c r="A312" t="s">
        <v>613</v>
      </c>
      <c r="B312" t="s">
        <v>731</v>
      </c>
      <c r="C312" t="b">
        <v>1</v>
      </c>
      <c r="D312" t="s">
        <v>48</v>
      </c>
      <c r="E312" t="s">
        <v>302</v>
      </c>
      <c r="F312" t="s">
        <v>50</v>
      </c>
      <c r="G312" t="s">
        <v>51</v>
      </c>
      <c r="H312" t="s">
        <v>50</v>
      </c>
      <c r="I312">
        <v>24</v>
      </c>
      <c r="J312" t="s">
        <v>7</v>
      </c>
      <c r="K312">
        <v>0</v>
      </c>
      <c r="L312" s="5">
        <v>24</v>
      </c>
      <c r="M312">
        <v>59048.92</v>
      </c>
      <c r="N312" t="s">
        <v>21</v>
      </c>
      <c r="O312" t="str">
        <f t="shared" si="26"/>
        <v>nM</v>
      </c>
      <c r="R312">
        <v>95.7</v>
      </c>
      <c r="S312" t="s">
        <v>660</v>
      </c>
      <c r="T312" t="s">
        <v>310</v>
      </c>
      <c r="U312">
        <v>6</v>
      </c>
      <c r="V312" t="s">
        <v>115</v>
      </c>
      <c r="W312" t="s">
        <v>663</v>
      </c>
      <c r="X312">
        <v>0</v>
      </c>
      <c r="Y312">
        <v>1</v>
      </c>
      <c r="AA312" t="s">
        <v>655</v>
      </c>
      <c r="AB312">
        <v>30</v>
      </c>
      <c r="AC312" t="s">
        <v>664</v>
      </c>
      <c r="AD312">
        <v>67.5</v>
      </c>
    </row>
    <row r="313" spans="1:30" x14ac:dyDescent="0.3">
      <c r="A313" t="s">
        <v>614</v>
      </c>
      <c r="B313" t="s">
        <v>732</v>
      </c>
      <c r="C313" t="b">
        <v>1</v>
      </c>
      <c r="D313" t="s">
        <v>48</v>
      </c>
      <c r="E313" t="s">
        <v>302</v>
      </c>
      <c r="F313" t="s">
        <v>50</v>
      </c>
      <c r="G313" t="s">
        <v>51</v>
      </c>
      <c r="H313" t="s">
        <v>50</v>
      </c>
      <c r="I313">
        <f>4*24</f>
        <v>96</v>
      </c>
      <c r="J313" t="s">
        <v>6</v>
      </c>
      <c r="K313">
        <f>3*24</f>
        <v>72</v>
      </c>
      <c r="L313" s="5">
        <v>96</v>
      </c>
      <c r="M313">
        <v>631800</v>
      </c>
      <c r="N313" t="s">
        <v>20</v>
      </c>
      <c r="O313" t="str">
        <f t="shared" si="26"/>
        <v>ng*h/mL</v>
      </c>
      <c r="T313" t="s">
        <v>883</v>
      </c>
      <c r="U313">
        <v>6</v>
      </c>
      <c r="V313" t="s">
        <v>115</v>
      </c>
      <c r="W313" t="s">
        <v>663</v>
      </c>
      <c r="X313">
        <v>0</v>
      </c>
      <c r="Y313">
        <v>4</v>
      </c>
      <c r="Z313">
        <v>24</v>
      </c>
      <c r="AA313" t="s">
        <v>655</v>
      </c>
      <c r="AB313">
        <v>30</v>
      </c>
      <c r="AC313" t="s">
        <v>664</v>
      </c>
      <c r="AD313">
        <v>67.5</v>
      </c>
    </row>
    <row r="314" spans="1:30" x14ac:dyDescent="0.3">
      <c r="A314" t="s">
        <v>614</v>
      </c>
      <c r="B314" t="s">
        <v>732</v>
      </c>
      <c r="C314" t="b">
        <v>1</v>
      </c>
      <c r="D314" t="s">
        <v>48</v>
      </c>
      <c r="E314" t="s">
        <v>302</v>
      </c>
      <c r="F314" t="s">
        <v>50</v>
      </c>
      <c r="G314" t="s">
        <v>51</v>
      </c>
      <c r="H314" t="s">
        <v>50</v>
      </c>
      <c r="I314">
        <f>4*24</f>
        <v>96</v>
      </c>
      <c r="J314" t="s">
        <v>7</v>
      </c>
      <c r="K314">
        <f>3*24</f>
        <v>72</v>
      </c>
      <c r="L314" s="5">
        <f>4*24</f>
        <v>96</v>
      </c>
      <c r="M314">
        <v>57938.29</v>
      </c>
      <c r="N314" t="s">
        <v>21</v>
      </c>
      <c r="O314" t="str">
        <f t="shared" si="26"/>
        <v>nM</v>
      </c>
      <c r="R314">
        <v>93.9</v>
      </c>
      <c r="S314" t="s">
        <v>660</v>
      </c>
      <c r="T314" t="s">
        <v>311</v>
      </c>
      <c r="U314">
        <v>6</v>
      </c>
      <c r="V314" t="s">
        <v>115</v>
      </c>
      <c r="W314" t="s">
        <v>663</v>
      </c>
      <c r="X314">
        <v>0</v>
      </c>
      <c r="Y314">
        <v>4</v>
      </c>
      <c r="Z314">
        <v>24</v>
      </c>
      <c r="AA314" t="s">
        <v>655</v>
      </c>
      <c r="AB314">
        <v>30</v>
      </c>
      <c r="AC314" t="s">
        <v>664</v>
      </c>
      <c r="AD314">
        <v>67.5</v>
      </c>
    </row>
    <row r="315" spans="1:30" x14ac:dyDescent="0.3">
      <c r="A315" t="s">
        <v>1081</v>
      </c>
      <c r="B315" t="s">
        <v>1082</v>
      </c>
      <c r="C315" t="b">
        <v>1</v>
      </c>
      <c r="D315" t="s">
        <v>48</v>
      </c>
      <c r="E315" t="s">
        <v>302</v>
      </c>
      <c r="F315" t="s">
        <v>50</v>
      </c>
      <c r="G315" t="s">
        <v>51</v>
      </c>
      <c r="H315" t="s">
        <v>50</v>
      </c>
      <c r="I315">
        <v>24</v>
      </c>
      <c r="J315" t="s">
        <v>6</v>
      </c>
      <c r="K315">
        <v>0</v>
      </c>
      <c r="L315" s="5" t="s">
        <v>654</v>
      </c>
      <c r="M315">
        <v>1127000</v>
      </c>
      <c r="N315" t="s">
        <v>20</v>
      </c>
      <c r="O315" t="str">
        <f t="shared" si="26"/>
        <v>ng*h/mL</v>
      </c>
      <c r="T315" t="s">
        <v>315</v>
      </c>
      <c r="U315">
        <v>8</v>
      </c>
      <c r="V315" t="s">
        <v>115</v>
      </c>
      <c r="W315" t="s">
        <v>663</v>
      </c>
      <c r="X315">
        <v>0</v>
      </c>
      <c r="Y315">
        <v>1</v>
      </c>
      <c r="AA315" t="s">
        <v>655</v>
      </c>
      <c r="AB315">
        <v>30</v>
      </c>
      <c r="AC315" t="s">
        <v>664</v>
      </c>
      <c r="AD315">
        <v>71.3</v>
      </c>
    </row>
    <row r="316" spans="1:30" x14ac:dyDescent="0.3">
      <c r="A316" t="s">
        <v>1081</v>
      </c>
      <c r="B316" t="s">
        <v>1082</v>
      </c>
      <c r="C316" t="b">
        <v>1</v>
      </c>
      <c r="D316" t="s">
        <v>48</v>
      </c>
      <c r="E316" t="s">
        <v>302</v>
      </c>
      <c r="F316" t="s">
        <v>50</v>
      </c>
      <c r="G316" t="s">
        <v>51</v>
      </c>
      <c r="H316" t="s">
        <v>50</v>
      </c>
      <c r="I316">
        <v>24</v>
      </c>
      <c r="J316" t="s">
        <v>7</v>
      </c>
      <c r="K316">
        <v>0</v>
      </c>
      <c r="L316" s="5">
        <v>24</v>
      </c>
      <c r="M316">
        <v>71759.56</v>
      </c>
      <c r="N316" t="s">
        <v>21</v>
      </c>
      <c r="O316" t="str">
        <f t="shared" si="26"/>
        <v>nM</v>
      </c>
      <c r="R316">
        <v>116.3</v>
      </c>
      <c r="S316" t="s">
        <v>660</v>
      </c>
      <c r="T316" t="s">
        <v>316</v>
      </c>
      <c r="U316">
        <v>8</v>
      </c>
      <c r="V316" t="s">
        <v>115</v>
      </c>
      <c r="W316" t="s">
        <v>663</v>
      </c>
      <c r="X316">
        <v>0</v>
      </c>
      <c r="Y316">
        <v>1</v>
      </c>
      <c r="AA316" t="s">
        <v>655</v>
      </c>
      <c r="AB316">
        <v>30</v>
      </c>
      <c r="AC316" t="s">
        <v>664</v>
      </c>
      <c r="AD316">
        <v>71.3</v>
      </c>
    </row>
    <row r="317" spans="1:30" x14ac:dyDescent="0.3">
      <c r="A317" t="s">
        <v>1083</v>
      </c>
      <c r="B317" t="s">
        <v>1084</v>
      </c>
      <c r="C317" t="b">
        <v>1</v>
      </c>
      <c r="D317" t="s">
        <v>48</v>
      </c>
      <c r="E317" t="s">
        <v>302</v>
      </c>
      <c r="F317" t="s">
        <v>50</v>
      </c>
      <c r="G317" t="s">
        <v>51</v>
      </c>
      <c r="H317" t="s">
        <v>50</v>
      </c>
      <c r="I317">
        <f>7*24</f>
        <v>168</v>
      </c>
      <c r="J317" t="s">
        <v>6</v>
      </c>
      <c r="K317">
        <f>6*24</f>
        <v>144</v>
      </c>
      <c r="L317" s="5" t="s">
        <v>654</v>
      </c>
      <c r="M317">
        <v>1130000</v>
      </c>
      <c r="N317" t="s">
        <v>20</v>
      </c>
      <c r="O317" t="str">
        <f t="shared" si="26"/>
        <v>ng*h/mL</v>
      </c>
      <c r="T317" t="s">
        <v>323</v>
      </c>
      <c r="U317">
        <v>8</v>
      </c>
      <c r="V317" t="s">
        <v>115</v>
      </c>
      <c r="W317" t="s">
        <v>663</v>
      </c>
      <c r="X317">
        <v>0</v>
      </c>
      <c r="Y317">
        <v>7</v>
      </c>
      <c r="Z317">
        <v>24</v>
      </c>
      <c r="AA317" t="s">
        <v>655</v>
      </c>
      <c r="AB317">
        <v>30</v>
      </c>
      <c r="AC317" t="s">
        <v>664</v>
      </c>
      <c r="AD317">
        <v>71.3</v>
      </c>
    </row>
    <row r="318" spans="1:30" x14ac:dyDescent="0.3">
      <c r="A318" t="s">
        <v>1083</v>
      </c>
      <c r="B318" t="s">
        <v>1084</v>
      </c>
      <c r="C318" t="b">
        <v>1</v>
      </c>
      <c r="D318" t="s">
        <v>48</v>
      </c>
      <c r="E318" t="s">
        <v>302</v>
      </c>
      <c r="F318" t="s">
        <v>50</v>
      </c>
      <c r="G318" t="s">
        <v>51</v>
      </c>
      <c r="H318" t="s">
        <v>50</v>
      </c>
      <c r="I318">
        <f>7*24</f>
        <v>168</v>
      </c>
      <c r="J318" t="s">
        <v>7</v>
      </c>
      <c r="K318">
        <f>6*24</f>
        <v>144</v>
      </c>
      <c r="L318" s="5">
        <f>7*24</f>
        <v>168</v>
      </c>
      <c r="M318">
        <v>82063.81</v>
      </c>
      <c r="N318" t="s">
        <v>21</v>
      </c>
      <c r="O318" t="str">
        <f t="shared" si="26"/>
        <v>nM</v>
      </c>
      <c r="R318">
        <v>133</v>
      </c>
      <c r="S318" t="s">
        <v>660</v>
      </c>
      <c r="T318" t="s">
        <v>317</v>
      </c>
      <c r="U318">
        <v>8</v>
      </c>
      <c r="V318" t="s">
        <v>115</v>
      </c>
      <c r="W318" t="s">
        <v>663</v>
      </c>
      <c r="X318">
        <v>0</v>
      </c>
      <c r="Y318">
        <v>7</v>
      </c>
      <c r="Z318">
        <v>24</v>
      </c>
      <c r="AA318" t="s">
        <v>655</v>
      </c>
      <c r="AB318">
        <v>30</v>
      </c>
      <c r="AC318" t="s">
        <v>664</v>
      </c>
      <c r="AD318">
        <v>71.3</v>
      </c>
    </row>
    <row r="319" spans="1:30" x14ac:dyDescent="0.3">
      <c r="A319" t="s">
        <v>1085</v>
      </c>
      <c r="B319" t="s">
        <v>1086</v>
      </c>
      <c r="C319" t="b">
        <v>1</v>
      </c>
      <c r="D319" t="s">
        <v>48</v>
      </c>
      <c r="E319" t="s">
        <v>302</v>
      </c>
      <c r="F319" t="s">
        <v>50</v>
      </c>
      <c r="G319" t="s">
        <v>51</v>
      </c>
      <c r="H319" t="s">
        <v>50</v>
      </c>
      <c r="I319">
        <f>14*24</f>
        <v>336</v>
      </c>
      <c r="J319" t="s">
        <v>6</v>
      </c>
      <c r="K319">
        <f>13*24</f>
        <v>312</v>
      </c>
      <c r="L319" s="5" t="s">
        <v>654</v>
      </c>
      <c r="M319">
        <v>1090000</v>
      </c>
      <c r="N319" t="s">
        <v>20</v>
      </c>
      <c r="O319" t="str">
        <f t="shared" si="26"/>
        <v>ng*h/mL</v>
      </c>
      <c r="T319" t="s">
        <v>324</v>
      </c>
      <c r="U319">
        <v>8</v>
      </c>
      <c r="V319" t="s">
        <v>115</v>
      </c>
      <c r="W319" t="s">
        <v>663</v>
      </c>
      <c r="X319">
        <v>0</v>
      </c>
      <c r="Y319">
        <v>14</v>
      </c>
      <c r="Z319">
        <v>24</v>
      </c>
      <c r="AA319" t="s">
        <v>655</v>
      </c>
      <c r="AB319">
        <v>30</v>
      </c>
      <c r="AC319" t="s">
        <v>664</v>
      </c>
      <c r="AD319">
        <v>71.3</v>
      </c>
    </row>
    <row r="320" spans="1:30" x14ac:dyDescent="0.3">
      <c r="A320" t="s">
        <v>1085</v>
      </c>
      <c r="B320" t="s">
        <v>1086</v>
      </c>
      <c r="C320" t="b">
        <v>1</v>
      </c>
      <c r="D320" t="s">
        <v>48</v>
      </c>
      <c r="E320" t="s">
        <v>302</v>
      </c>
      <c r="F320" t="s">
        <v>50</v>
      </c>
      <c r="G320" t="s">
        <v>51</v>
      </c>
      <c r="H320" t="s">
        <v>50</v>
      </c>
      <c r="I320">
        <f>14*24</f>
        <v>336</v>
      </c>
      <c r="J320" t="s">
        <v>7</v>
      </c>
      <c r="K320">
        <f>13*24</f>
        <v>312</v>
      </c>
      <c r="L320" s="5">
        <f>14*24</f>
        <v>336</v>
      </c>
      <c r="M320">
        <v>79904.240000000005</v>
      </c>
      <c r="N320" t="s">
        <v>21</v>
      </c>
      <c r="O320" t="str">
        <f t="shared" si="26"/>
        <v>nM</v>
      </c>
      <c r="R320">
        <v>129.5</v>
      </c>
      <c r="S320" t="s">
        <v>660</v>
      </c>
      <c r="T320" t="s">
        <v>318</v>
      </c>
      <c r="U320">
        <v>8</v>
      </c>
      <c r="V320" t="s">
        <v>115</v>
      </c>
      <c r="W320" t="s">
        <v>663</v>
      </c>
      <c r="X320">
        <v>0</v>
      </c>
      <c r="Y320">
        <v>14</v>
      </c>
      <c r="Z320">
        <v>24</v>
      </c>
      <c r="AA320" t="s">
        <v>655</v>
      </c>
      <c r="AB320">
        <v>30</v>
      </c>
      <c r="AC320" t="s">
        <v>664</v>
      </c>
      <c r="AD320">
        <v>71.3</v>
      </c>
    </row>
    <row r="321" spans="1:30" x14ac:dyDescent="0.3">
      <c r="A321" t="s">
        <v>1087</v>
      </c>
      <c r="B321" t="s">
        <v>1088</v>
      </c>
      <c r="C321" t="b">
        <v>1</v>
      </c>
      <c r="D321" t="s">
        <v>48</v>
      </c>
      <c r="E321" t="s">
        <v>302</v>
      </c>
      <c r="F321" t="s">
        <v>50</v>
      </c>
      <c r="G321" t="s">
        <v>51</v>
      </c>
      <c r="H321" t="s">
        <v>50</v>
      </c>
      <c r="I321">
        <v>24</v>
      </c>
      <c r="J321" t="s">
        <v>6</v>
      </c>
      <c r="K321">
        <v>0</v>
      </c>
      <c r="L321" s="5" t="s">
        <v>654</v>
      </c>
      <c r="M321">
        <v>773300</v>
      </c>
      <c r="N321" t="s">
        <v>20</v>
      </c>
      <c r="O321" t="str">
        <f t="shared" si="26"/>
        <v>ng*h/mL</v>
      </c>
      <c r="T321" t="s">
        <v>326</v>
      </c>
      <c r="U321">
        <v>8</v>
      </c>
      <c r="V321" t="s">
        <v>115</v>
      </c>
      <c r="W321" t="s">
        <v>663</v>
      </c>
      <c r="X321">
        <v>0</v>
      </c>
      <c r="Y321">
        <v>1</v>
      </c>
      <c r="AA321" t="s">
        <v>655</v>
      </c>
      <c r="AB321">
        <v>30</v>
      </c>
      <c r="AC321" t="s">
        <v>664</v>
      </c>
      <c r="AD321">
        <v>67.5</v>
      </c>
    </row>
    <row r="322" spans="1:30" x14ac:dyDescent="0.3">
      <c r="A322" t="s">
        <v>1087</v>
      </c>
      <c r="B322" t="s">
        <v>1088</v>
      </c>
      <c r="C322" t="b">
        <v>1</v>
      </c>
      <c r="D322" t="s">
        <v>48</v>
      </c>
      <c r="E322" t="s">
        <v>302</v>
      </c>
      <c r="F322" t="s">
        <v>50</v>
      </c>
      <c r="G322" t="s">
        <v>51</v>
      </c>
      <c r="H322" t="s">
        <v>50</v>
      </c>
      <c r="I322">
        <v>24</v>
      </c>
      <c r="J322" t="s">
        <v>7</v>
      </c>
      <c r="K322">
        <v>0</v>
      </c>
      <c r="L322" s="5">
        <v>24</v>
      </c>
      <c r="M322">
        <v>65527.65</v>
      </c>
      <c r="N322" t="s">
        <v>21</v>
      </c>
      <c r="O322" t="str">
        <f t="shared" si="26"/>
        <v>nM</v>
      </c>
      <c r="R322">
        <v>106.2</v>
      </c>
      <c r="S322" t="s">
        <v>660</v>
      </c>
      <c r="T322" t="s">
        <v>319</v>
      </c>
      <c r="U322">
        <v>8</v>
      </c>
      <c r="V322" t="s">
        <v>115</v>
      </c>
      <c r="W322" t="s">
        <v>663</v>
      </c>
      <c r="X322">
        <v>0</v>
      </c>
      <c r="Y322">
        <v>1</v>
      </c>
      <c r="AA322" t="s">
        <v>655</v>
      </c>
      <c r="AB322">
        <v>30</v>
      </c>
      <c r="AC322" t="s">
        <v>664</v>
      </c>
      <c r="AD322">
        <v>67.5</v>
      </c>
    </row>
    <row r="323" spans="1:30" x14ac:dyDescent="0.3">
      <c r="A323" t="s">
        <v>1089</v>
      </c>
      <c r="B323" t="s">
        <v>1090</v>
      </c>
      <c r="C323" t="b">
        <v>1</v>
      </c>
      <c r="D323" t="s">
        <v>48</v>
      </c>
      <c r="E323" t="s">
        <v>302</v>
      </c>
      <c r="F323" t="s">
        <v>50</v>
      </c>
      <c r="G323" t="s">
        <v>51</v>
      </c>
      <c r="H323" t="s">
        <v>50</v>
      </c>
      <c r="I323">
        <f>4*24</f>
        <v>96</v>
      </c>
      <c r="J323" t="s">
        <v>6</v>
      </c>
      <c r="K323">
        <f>3*24</f>
        <v>72</v>
      </c>
      <c r="L323" s="5">
        <v>96</v>
      </c>
      <c r="M323">
        <v>858200</v>
      </c>
      <c r="N323" t="s">
        <v>20</v>
      </c>
      <c r="O323" t="str">
        <f t="shared" ref="O323:O386" si="28">IF(EXACT(N323,"ng.hr.mL-1"),"ng*h/mL",IF(EXACT(N323,"ug.mL-1"),"ug/mL",N323))</f>
        <v>ng*h/mL</v>
      </c>
      <c r="T323" t="s">
        <v>884</v>
      </c>
      <c r="U323">
        <v>8</v>
      </c>
      <c r="V323" t="s">
        <v>115</v>
      </c>
      <c r="W323" t="s">
        <v>663</v>
      </c>
      <c r="X323">
        <v>0</v>
      </c>
      <c r="Y323">
        <v>4</v>
      </c>
      <c r="Z323">
        <v>24</v>
      </c>
      <c r="AA323" t="s">
        <v>655</v>
      </c>
      <c r="AB323">
        <v>30</v>
      </c>
      <c r="AC323" t="s">
        <v>664</v>
      </c>
      <c r="AD323">
        <v>67.5</v>
      </c>
    </row>
    <row r="324" spans="1:30" x14ac:dyDescent="0.3">
      <c r="A324" t="s">
        <v>1089</v>
      </c>
      <c r="B324" t="s">
        <v>1090</v>
      </c>
      <c r="C324" t="b">
        <v>1</v>
      </c>
      <c r="D324" t="s">
        <v>48</v>
      </c>
      <c r="E324" t="s">
        <v>302</v>
      </c>
      <c r="F324" t="s">
        <v>50</v>
      </c>
      <c r="G324" t="s">
        <v>51</v>
      </c>
      <c r="H324" t="s">
        <v>50</v>
      </c>
      <c r="I324">
        <f>4*24</f>
        <v>96</v>
      </c>
      <c r="J324" t="s">
        <v>7</v>
      </c>
      <c r="K324">
        <f>3*24</f>
        <v>72</v>
      </c>
      <c r="L324" s="5">
        <f>4*24</f>
        <v>96</v>
      </c>
      <c r="M324">
        <v>76078.710000000006</v>
      </c>
      <c r="N324" t="s">
        <v>21</v>
      </c>
      <c r="O324" t="str">
        <f t="shared" si="28"/>
        <v>nM</v>
      </c>
      <c r="R324">
        <v>123.3</v>
      </c>
      <c r="S324" t="s">
        <v>660</v>
      </c>
      <c r="T324" t="s">
        <v>320</v>
      </c>
      <c r="U324">
        <v>8</v>
      </c>
      <c r="V324" t="s">
        <v>115</v>
      </c>
      <c r="W324" t="s">
        <v>663</v>
      </c>
      <c r="X324">
        <v>0</v>
      </c>
      <c r="Y324">
        <v>4</v>
      </c>
      <c r="Z324">
        <v>24</v>
      </c>
      <c r="AA324" t="s">
        <v>655</v>
      </c>
      <c r="AB324">
        <v>30</v>
      </c>
      <c r="AC324" t="s">
        <v>664</v>
      </c>
      <c r="AD324">
        <v>67.5</v>
      </c>
    </row>
    <row r="325" spans="1:30" x14ac:dyDescent="0.3">
      <c r="A325" t="s">
        <v>1091</v>
      </c>
      <c r="B325" t="s">
        <v>1092</v>
      </c>
      <c r="C325" t="b">
        <v>1</v>
      </c>
      <c r="D325" t="s">
        <v>48</v>
      </c>
      <c r="E325" t="s">
        <v>302</v>
      </c>
      <c r="F325" t="s">
        <v>50</v>
      </c>
      <c r="G325" t="s">
        <v>51</v>
      </c>
      <c r="H325" t="s">
        <v>50</v>
      </c>
      <c r="I325">
        <v>24</v>
      </c>
      <c r="J325" t="s">
        <v>6</v>
      </c>
      <c r="K325">
        <v>0</v>
      </c>
      <c r="L325" s="5" t="s">
        <v>654</v>
      </c>
      <c r="M325">
        <v>1013500</v>
      </c>
      <c r="N325" t="s">
        <v>20</v>
      </c>
      <c r="O325" t="str">
        <f t="shared" si="28"/>
        <v>ng*h/mL</v>
      </c>
      <c r="T325" t="s">
        <v>327</v>
      </c>
      <c r="U325">
        <v>10</v>
      </c>
      <c r="V325" t="s">
        <v>115</v>
      </c>
      <c r="W325" t="s">
        <v>663</v>
      </c>
      <c r="X325">
        <v>0</v>
      </c>
      <c r="Y325">
        <v>1</v>
      </c>
      <c r="AA325" t="s">
        <v>655</v>
      </c>
      <c r="AB325">
        <v>30</v>
      </c>
      <c r="AC325" t="s">
        <v>664</v>
      </c>
      <c r="AD325">
        <v>67.5</v>
      </c>
    </row>
    <row r="326" spans="1:30" x14ac:dyDescent="0.3">
      <c r="A326" t="s">
        <v>1091</v>
      </c>
      <c r="B326" t="s">
        <v>1092</v>
      </c>
      <c r="C326" t="b">
        <v>1</v>
      </c>
      <c r="D326" t="s">
        <v>48</v>
      </c>
      <c r="E326" t="s">
        <v>302</v>
      </c>
      <c r="F326" t="s">
        <v>50</v>
      </c>
      <c r="G326" t="s">
        <v>51</v>
      </c>
      <c r="H326" t="s">
        <v>50</v>
      </c>
      <c r="I326">
        <v>24</v>
      </c>
      <c r="J326" t="s">
        <v>7</v>
      </c>
      <c r="K326">
        <v>0</v>
      </c>
      <c r="L326" s="5">
        <v>24</v>
      </c>
      <c r="M326">
        <v>80027.64</v>
      </c>
      <c r="N326" t="s">
        <v>21</v>
      </c>
      <c r="O326" t="str">
        <f t="shared" si="28"/>
        <v>nM</v>
      </c>
      <c r="R326">
        <v>129.69999999999999</v>
      </c>
      <c r="S326" t="s">
        <v>660</v>
      </c>
      <c r="T326" t="s">
        <v>328</v>
      </c>
      <c r="U326">
        <v>10</v>
      </c>
      <c r="V326" t="s">
        <v>115</v>
      </c>
      <c r="W326" t="s">
        <v>663</v>
      </c>
      <c r="X326">
        <v>0</v>
      </c>
      <c r="Y326">
        <v>1</v>
      </c>
      <c r="AA326" t="s">
        <v>655</v>
      </c>
      <c r="AB326">
        <v>30</v>
      </c>
      <c r="AC326" t="s">
        <v>664</v>
      </c>
      <c r="AD326">
        <v>67.5</v>
      </c>
    </row>
    <row r="327" spans="1:30" x14ac:dyDescent="0.3">
      <c r="A327" t="s">
        <v>1093</v>
      </c>
      <c r="B327" t="s">
        <v>1094</v>
      </c>
      <c r="C327" t="b">
        <v>1</v>
      </c>
      <c r="D327" t="s">
        <v>48</v>
      </c>
      <c r="E327" t="s">
        <v>302</v>
      </c>
      <c r="F327" t="s">
        <v>50</v>
      </c>
      <c r="G327" t="s">
        <v>51</v>
      </c>
      <c r="H327" t="s">
        <v>50</v>
      </c>
      <c r="I327">
        <f>4*24</f>
        <v>96</v>
      </c>
      <c r="J327" t="s">
        <v>6</v>
      </c>
      <c r="K327">
        <f>3*24</f>
        <v>72</v>
      </c>
      <c r="L327" s="5">
        <v>96</v>
      </c>
      <c r="M327">
        <v>1038800</v>
      </c>
      <c r="N327" t="s">
        <v>20</v>
      </c>
      <c r="O327" t="str">
        <f t="shared" si="28"/>
        <v>ng*h/mL</v>
      </c>
      <c r="T327" t="s">
        <v>879</v>
      </c>
      <c r="U327">
        <v>10</v>
      </c>
      <c r="V327" t="s">
        <v>115</v>
      </c>
      <c r="W327" t="s">
        <v>663</v>
      </c>
      <c r="X327">
        <v>0</v>
      </c>
      <c r="Y327">
        <v>4</v>
      </c>
      <c r="Z327">
        <v>24</v>
      </c>
      <c r="AA327" t="s">
        <v>655</v>
      </c>
      <c r="AB327">
        <v>30</v>
      </c>
      <c r="AC327" t="s">
        <v>664</v>
      </c>
      <c r="AD327">
        <v>67.5</v>
      </c>
    </row>
    <row r="328" spans="1:30" x14ac:dyDescent="0.3">
      <c r="A328" t="s">
        <v>1093</v>
      </c>
      <c r="B328" t="s">
        <v>1094</v>
      </c>
      <c r="C328" t="b">
        <v>1</v>
      </c>
      <c r="D328" t="s">
        <v>48</v>
      </c>
      <c r="E328" t="s">
        <v>302</v>
      </c>
      <c r="F328" t="s">
        <v>50</v>
      </c>
      <c r="G328" t="s">
        <v>51</v>
      </c>
      <c r="H328" t="s">
        <v>50</v>
      </c>
      <c r="I328">
        <f>4*24</f>
        <v>96</v>
      </c>
      <c r="J328" t="s">
        <v>7</v>
      </c>
      <c r="K328">
        <f>3*24</f>
        <v>72</v>
      </c>
      <c r="L328" s="5">
        <f>4*24</f>
        <v>96</v>
      </c>
      <c r="M328">
        <v>87061.68</v>
      </c>
      <c r="N328" t="s">
        <v>21</v>
      </c>
      <c r="O328" t="str">
        <f t="shared" si="28"/>
        <v>nM</v>
      </c>
      <c r="R328">
        <v>141.1</v>
      </c>
      <c r="S328" t="s">
        <v>660</v>
      </c>
      <c r="T328" t="s">
        <v>329</v>
      </c>
      <c r="U328">
        <v>10</v>
      </c>
      <c r="V328" t="s">
        <v>115</v>
      </c>
      <c r="W328" t="s">
        <v>663</v>
      </c>
      <c r="X328">
        <v>0</v>
      </c>
      <c r="Y328">
        <v>4</v>
      </c>
      <c r="Z328">
        <v>24</v>
      </c>
      <c r="AA328" t="s">
        <v>655</v>
      </c>
      <c r="AB328">
        <v>30</v>
      </c>
      <c r="AC328" t="s">
        <v>664</v>
      </c>
      <c r="AD328">
        <v>67.5</v>
      </c>
    </row>
    <row r="329" spans="1:30" x14ac:dyDescent="0.3">
      <c r="A329" t="s">
        <v>1095</v>
      </c>
      <c r="B329" t="s">
        <v>1096</v>
      </c>
      <c r="C329" t="b">
        <v>1</v>
      </c>
      <c r="D329" t="s">
        <v>48</v>
      </c>
      <c r="E329" t="s">
        <v>302</v>
      </c>
      <c r="F329" t="s">
        <v>50</v>
      </c>
      <c r="G329" t="s">
        <v>51</v>
      </c>
      <c r="H329" t="s">
        <v>50</v>
      </c>
      <c r="I329">
        <f>14*24</f>
        <v>336</v>
      </c>
      <c r="J329" t="s">
        <v>6</v>
      </c>
      <c r="K329">
        <f>13*24</f>
        <v>312</v>
      </c>
      <c r="L329" s="5">
        <v>336</v>
      </c>
      <c r="M329">
        <v>1082100</v>
      </c>
      <c r="N329" t="s">
        <v>20</v>
      </c>
      <c r="O329" t="str">
        <f t="shared" si="28"/>
        <v>ng*h/mL</v>
      </c>
      <c r="T329" t="s">
        <v>880</v>
      </c>
      <c r="U329">
        <v>10</v>
      </c>
      <c r="V329" t="s">
        <v>115</v>
      </c>
      <c r="W329" t="s">
        <v>663</v>
      </c>
      <c r="X329">
        <v>0</v>
      </c>
      <c r="Y329">
        <v>14</v>
      </c>
      <c r="Z329">
        <v>24</v>
      </c>
      <c r="AA329" t="s">
        <v>655</v>
      </c>
      <c r="AB329">
        <v>30</v>
      </c>
      <c r="AC329" t="s">
        <v>664</v>
      </c>
      <c r="AD329">
        <v>67.5</v>
      </c>
    </row>
    <row r="330" spans="1:30" x14ac:dyDescent="0.3">
      <c r="A330" t="s">
        <v>1095</v>
      </c>
      <c r="B330" t="s">
        <v>1096</v>
      </c>
      <c r="C330" t="b">
        <v>1</v>
      </c>
      <c r="D330" t="s">
        <v>48</v>
      </c>
      <c r="E330" t="s">
        <v>302</v>
      </c>
      <c r="F330" t="s">
        <v>50</v>
      </c>
      <c r="G330" t="s">
        <v>51</v>
      </c>
      <c r="H330" t="s">
        <v>50</v>
      </c>
      <c r="I330">
        <f>14*24</f>
        <v>336</v>
      </c>
      <c r="J330" t="s">
        <v>7</v>
      </c>
      <c r="K330">
        <f>13*24</f>
        <v>312</v>
      </c>
      <c r="L330" s="5">
        <f>14*24</f>
        <v>336</v>
      </c>
      <c r="M330">
        <v>85951.05</v>
      </c>
      <c r="N330" t="s">
        <v>21</v>
      </c>
      <c r="O330" t="str">
        <f t="shared" si="28"/>
        <v>nM</v>
      </c>
      <c r="R330">
        <v>139.9</v>
      </c>
      <c r="S330" t="s">
        <v>660</v>
      </c>
      <c r="T330" t="s">
        <v>330</v>
      </c>
      <c r="U330">
        <v>10</v>
      </c>
      <c r="V330" t="s">
        <v>115</v>
      </c>
      <c r="W330" t="s">
        <v>663</v>
      </c>
      <c r="X330">
        <v>0</v>
      </c>
      <c r="Y330">
        <v>14</v>
      </c>
      <c r="Z330">
        <v>24</v>
      </c>
      <c r="AA330" t="s">
        <v>655</v>
      </c>
      <c r="AB330">
        <v>30</v>
      </c>
      <c r="AC330" t="s">
        <v>664</v>
      </c>
      <c r="AD330">
        <v>67.5</v>
      </c>
    </row>
    <row r="331" spans="1:30" x14ac:dyDescent="0.3">
      <c r="A331" t="s">
        <v>615</v>
      </c>
      <c r="B331" t="s">
        <v>733</v>
      </c>
      <c r="C331" t="b">
        <v>1</v>
      </c>
      <c r="D331" t="s">
        <v>48</v>
      </c>
      <c r="E331" t="s">
        <v>302</v>
      </c>
      <c r="F331" t="s">
        <v>50</v>
      </c>
      <c r="G331" t="s">
        <v>51</v>
      </c>
      <c r="H331" t="s">
        <v>50</v>
      </c>
      <c r="I331">
        <v>24</v>
      </c>
      <c r="J331" t="s">
        <v>6</v>
      </c>
      <c r="K331">
        <v>0</v>
      </c>
      <c r="L331" s="5" t="s">
        <v>654</v>
      </c>
      <c r="M331">
        <v>1269200</v>
      </c>
      <c r="N331" t="s">
        <v>20</v>
      </c>
      <c r="O331" t="str">
        <f t="shared" si="28"/>
        <v>ng*h/mL</v>
      </c>
      <c r="T331" t="s">
        <v>331</v>
      </c>
      <c r="U331">
        <v>12</v>
      </c>
      <c r="V331" t="s">
        <v>115</v>
      </c>
      <c r="W331" t="s">
        <v>663</v>
      </c>
      <c r="X331">
        <v>0</v>
      </c>
      <c r="Y331">
        <v>1</v>
      </c>
      <c r="AA331" t="s">
        <v>655</v>
      </c>
      <c r="AB331">
        <v>30</v>
      </c>
      <c r="AC331" t="s">
        <v>664</v>
      </c>
      <c r="AD331">
        <v>67.5</v>
      </c>
    </row>
    <row r="332" spans="1:30" x14ac:dyDescent="0.3">
      <c r="A332" t="s">
        <v>615</v>
      </c>
      <c r="B332" t="s">
        <v>733</v>
      </c>
      <c r="C332" t="b">
        <v>1</v>
      </c>
      <c r="D332" t="s">
        <v>48</v>
      </c>
      <c r="E332" t="s">
        <v>302</v>
      </c>
      <c r="F332" t="s">
        <v>50</v>
      </c>
      <c r="G332" t="s">
        <v>51</v>
      </c>
      <c r="H332" t="s">
        <v>50</v>
      </c>
      <c r="I332">
        <v>24</v>
      </c>
      <c r="J332" t="s">
        <v>7</v>
      </c>
      <c r="K332">
        <v>0</v>
      </c>
      <c r="L332" s="5">
        <v>24</v>
      </c>
      <c r="M332">
        <v>101685.08</v>
      </c>
      <c r="N332" t="s">
        <v>21</v>
      </c>
      <c r="O332" t="str">
        <f t="shared" si="28"/>
        <v>nM</v>
      </c>
      <c r="R332">
        <v>164.8</v>
      </c>
      <c r="S332" t="s">
        <v>660</v>
      </c>
      <c r="T332" t="s">
        <v>332</v>
      </c>
      <c r="U332">
        <v>12</v>
      </c>
      <c r="V332" t="s">
        <v>115</v>
      </c>
      <c r="W332" t="s">
        <v>663</v>
      </c>
      <c r="X332">
        <v>0</v>
      </c>
      <c r="Y332">
        <v>1</v>
      </c>
      <c r="AA332" t="s">
        <v>655</v>
      </c>
      <c r="AB332">
        <v>30</v>
      </c>
      <c r="AC332" t="s">
        <v>664</v>
      </c>
      <c r="AD332">
        <v>67.5</v>
      </c>
    </row>
    <row r="333" spans="1:30" x14ac:dyDescent="0.3">
      <c r="A333" t="s">
        <v>616</v>
      </c>
      <c r="B333" t="s">
        <v>734</v>
      </c>
      <c r="C333" t="b">
        <v>1</v>
      </c>
      <c r="D333" t="s">
        <v>48</v>
      </c>
      <c r="E333" t="s">
        <v>302</v>
      </c>
      <c r="F333" t="s">
        <v>50</v>
      </c>
      <c r="G333" t="s">
        <v>51</v>
      </c>
      <c r="H333" t="s">
        <v>50</v>
      </c>
      <c r="I333">
        <f>4*24</f>
        <v>96</v>
      </c>
      <c r="J333" t="s">
        <v>6</v>
      </c>
      <c r="K333">
        <f>3*24</f>
        <v>72</v>
      </c>
      <c r="L333" s="5">
        <v>96</v>
      </c>
      <c r="M333">
        <v>1277400</v>
      </c>
      <c r="N333" t="s">
        <v>20</v>
      </c>
      <c r="O333" t="str">
        <f t="shared" si="28"/>
        <v>ng*h/mL</v>
      </c>
      <c r="T333" t="s">
        <v>881</v>
      </c>
      <c r="U333">
        <v>12</v>
      </c>
      <c r="V333" t="s">
        <v>115</v>
      </c>
      <c r="W333" t="s">
        <v>663</v>
      </c>
      <c r="X333">
        <v>0</v>
      </c>
      <c r="Y333">
        <v>4</v>
      </c>
      <c r="Z333">
        <v>24</v>
      </c>
      <c r="AA333" t="s">
        <v>655</v>
      </c>
      <c r="AB333">
        <v>30</v>
      </c>
      <c r="AC333" t="s">
        <v>664</v>
      </c>
      <c r="AD333">
        <v>67.5</v>
      </c>
    </row>
    <row r="334" spans="1:30" x14ac:dyDescent="0.3">
      <c r="A334" t="s">
        <v>616</v>
      </c>
      <c r="B334" t="s">
        <v>734</v>
      </c>
      <c r="C334" t="b">
        <v>1</v>
      </c>
      <c r="D334" t="s">
        <v>48</v>
      </c>
      <c r="E334" t="s">
        <v>302</v>
      </c>
      <c r="F334" t="s">
        <v>50</v>
      </c>
      <c r="G334" t="s">
        <v>51</v>
      </c>
      <c r="H334" t="s">
        <v>50</v>
      </c>
      <c r="I334">
        <f>4*24</f>
        <v>96</v>
      </c>
      <c r="J334" t="s">
        <v>7</v>
      </c>
      <c r="K334">
        <f>3*24</f>
        <v>72</v>
      </c>
      <c r="L334" s="5">
        <f>4*24</f>
        <v>96</v>
      </c>
      <c r="M334">
        <v>113346.78</v>
      </c>
      <c r="N334" t="s">
        <v>21</v>
      </c>
      <c r="O334" t="str">
        <f t="shared" si="28"/>
        <v>nM</v>
      </c>
      <c r="R334">
        <v>183.7</v>
      </c>
      <c r="S334" t="s">
        <v>660</v>
      </c>
      <c r="T334" t="s">
        <v>333</v>
      </c>
      <c r="U334">
        <v>12</v>
      </c>
      <c r="V334" t="s">
        <v>115</v>
      </c>
      <c r="W334" t="s">
        <v>663</v>
      </c>
      <c r="X334">
        <v>0</v>
      </c>
      <c r="Y334">
        <v>4</v>
      </c>
      <c r="Z334">
        <v>24</v>
      </c>
      <c r="AA334" t="s">
        <v>655</v>
      </c>
      <c r="AB334">
        <v>30</v>
      </c>
      <c r="AC334" t="s">
        <v>664</v>
      </c>
      <c r="AD334">
        <v>67.5</v>
      </c>
    </row>
    <row r="335" spans="1:30" x14ac:dyDescent="0.3">
      <c r="A335" t="s">
        <v>617</v>
      </c>
      <c r="B335" t="s">
        <v>735</v>
      </c>
      <c r="C335" t="b">
        <v>1</v>
      </c>
      <c r="D335" t="s">
        <v>48</v>
      </c>
      <c r="E335" t="s">
        <v>302</v>
      </c>
      <c r="F335" t="s">
        <v>50</v>
      </c>
      <c r="G335" t="s">
        <v>51</v>
      </c>
      <c r="H335" t="s">
        <v>50</v>
      </c>
      <c r="I335">
        <f>14*24</f>
        <v>336</v>
      </c>
      <c r="J335" t="s">
        <v>6</v>
      </c>
      <c r="K335">
        <f>13*24</f>
        <v>312</v>
      </c>
      <c r="L335" s="5">
        <v>336</v>
      </c>
      <c r="M335">
        <v>1290500</v>
      </c>
      <c r="N335" t="s">
        <v>20</v>
      </c>
      <c r="O335" t="str">
        <f t="shared" si="28"/>
        <v>ng*h/mL</v>
      </c>
      <c r="T335" t="s">
        <v>882</v>
      </c>
      <c r="U335">
        <v>12</v>
      </c>
      <c r="V335" t="s">
        <v>115</v>
      </c>
      <c r="W335" t="s">
        <v>663</v>
      </c>
      <c r="X335">
        <v>0</v>
      </c>
      <c r="Y335">
        <v>14</v>
      </c>
      <c r="Z335">
        <v>24</v>
      </c>
      <c r="AA335" t="s">
        <v>655</v>
      </c>
      <c r="AB335">
        <v>30</v>
      </c>
      <c r="AC335" t="s">
        <v>664</v>
      </c>
      <c r="AD335">
        <v>67.5</v>
      </c>
    </row>
    <row r="336" spans="1:30" x14ac:dyDescent="0.3">
      <c r="A336" t="s">
        <v>617</v>
      </c>
      <c r="B336" t="s">
        <v>735</v>
      </c>
      <c r="C336" t="b">
        <v>1</v>
      </c>
      <c r="D336" t="s">
        <v>48</v>
      </c>
      <c r="E336" t="s">
        <v>302</v>
      </c>
      <c r="F336" t="s">
        <v>50</v>
      </c>
      <c r="G336" t="s">
        <v>51</v>
      </c>
      <c r="H336" t="s">
        <v>50</v>
      </c>
      <c r="I336">
        <f>14*24</f>
        <v>336</v>
      </c>
      <c r="J336" t="s">
        <v>7</v>
      </c>
      <c r="K336">
        <f>13*24</f>
        <v>312</v>
      </c>
      <c r="L336" s="5">
        <f>14*24</f>
        <v>336</v>
      </c>
      <c r="M336">
        <v>112112.74</v>
      </c>
      <c r="N336" t="s">
        <v>21</v>
      </c>
      <c r="O336" t="str">
        <f t="shared" si="28"/>
        <v>nM</v>
      </c>
      <c r="R336">
        <v>181.7</v>
      </c>
      <c r="S336" t="s">
        <v>660</v>
      </c>
      <c r="T336" t="s">
        <v>334</v>
      </c>
      <c r="U336">
        <v>12</v>
      </c>
      <c r="V336" t="s">
        <v>115</v>
      </c>
      <c r="W336" t="s">
        <v>663</v>
      </c>
      <c r="X336">
        <v>0</v>
      </c>
      <c r="Y336">
        <v>14</v>
      </c>
      <c r="Z336">
        <v>24</v>
      </c>
      <c r="AA336" t="s">
        <v>655</v>
      </c>
      <c r="AB336">
        <v>30</v>
      </c>
      <c r="AC336" t="s">
        <v>664</v>
      </c>
      <c r="AD336">
        <v>67.5</v>
      </c>
    </row>
    <row r="337" spans="1:32" ht="13.8" customHeight="1" x14ac:dyDescent="0.3">
      <c r="A337" t="s">
        <v>618</v>
      </c>
      <c r="B337" t="s">
        <v>736</v>
      </c>
      <c r="C337" t="b">
        <v>1</v>
      </c>
      <c r="D337" t="s">
        <v>335</v>
      </c>
      <c r="E337" t="s">
        <v>338</v>
      </c>
      <c r="F337" t="s">
        <v>339</v>
      </c>
      <c r="G337" t="s">
        <v>340</v>
      </c>
      <c r="H337" t="s">
        <v>339</v>
      </c>
      <c r="I337">
        <v>120</v>
      </c>
      <c r="J337" t="s">
        <v>6</v>
      </c>
      <c r="K337">
        <v>0</v>
      </c>
      <c r="L337" s="5" t="s">
        <v>654</v>
      </c>
      <c r="M337">
        <v>10866</v>
      </c>
      <c r="N337" t="s">
        <v>20</v>
      </c>
      <c r="O337" t="str">
        <f t="shared" si="28"/>
        <v>ng*h/mL</v>
      </c>
      <c r="T337" t="s">
        <v>341</v>
      </c>
      <c r="U337">
        <v>400</v>
      </c>
      <c r="V337" t="s">
        <v>22</v>
      </c>
      <c r="W337" t="s">
        <v>23</v>
      </c>
      <c r="X337">
        <v>0</v>
      </c>
      <c r="Y337">
        <v>1</v>
      </c>
      <c r="AA337" t="s">
        <v>655</v>
      </c>
      <c r="AD337">
        <f>(73.54+68.89)/2</f>
        <v>71.215000000000003</v>
      </c>
      <c r="AE337" t="b">
        <v>1</v>
      </c>
    </row>
    <row r="338" spans="1:32" x14ac:dyDescent="0.3">
      <c r="A338" t="s">
        <v>618</v>
      </c>
      <c r="B338" t="s">
        <v>736</v>
      </c>
      <c r="C338" t="b">
        <v>1</v>
      </c>
      <c r="D338" t="s">
        <v>335</v>
      </c>
      <c r="E338" t="s">
        <v>338</v>
      </c>
      <c r="F338" t="s">
        <v>339</v>
      </c>
      <c r="G338" t="s">
        <v>340</v>
      </c>
      <c r="H338" t="s">
        <v>339</v>
      </c>
      <c r="I338">
        <v>120</v>
      </c>
      <c r="J338" t="s">
        <v>6</v>
      </c>
      <c r="K338">
        <v>0</v>
      </c>
      <c r="L338" s="5">
        <v>120</v>
      </c>
      <c r="M338">
        <v>10441</v>
      </c>
      <c r="N338" t="s">
        <v>20</v>
      </c>
      <c r="O338" t="str">
        <f t="shared" si="28"/>
        <v>ng*h/mL</v>
      </c>
      <c r="T338" t="s">
        <v>336</v>
      </c>
      <c r="U338">
        <v>400</v>
      </c>
      <c r="V338" t="s">
        <v>22</v>
      </c>
      <c r="W338" t="s">
        <v>23</v>
      </c>
      <c r="X338">
        <v>0</v>
      </c>
      <c r="Y338">
        <v>1</v>
      </c>
      <c r="AA338" t="s">
        <v>655</v>
      </c>
      <c r="AD338">
        <f t="shared" ref="AD338:AD339" si="29">(73.54+68.89)/2</f>
        <v>71.215000000000003</v>
      </c>
      <c r="AE338" t="b">
        <v>1</v>
      </c>
    </row>
    <row r="339" spans="1:32" x14ac:dyDescent="0.3">
      <c r="A339" t="s">
        <v>618</v>
      </c>
      <c r="B339" t="s">
        <v>736</v>
      </c>
      <c r="C339" t="b">
        <v>1</v>
      </c>
      <c r="D339" t="s">
        <v>335</v>
      </c>
      <c r="E339" t="s">
        <v>338</v>
      </c>
      <c r="F339" t="s">
        <v>339</v>
      </c>
      <c r="G339" t="s">
        <v>340</v>
      </c>
      <c r="H339" t="s">
        <v>339</v>
      </c>
      <c r="I339">
        <v>120</v>
      </c>
      <c r="J339" t="s">
        <v>7</v>
      </c>
      <c r="K339">
        <v>0</v>
      </c>
      <c r="L339" s="5">
        <v>120</v>
      </c>
      <c r="M339">
        <v>462.34</v>
      </c>
      <c r="N339" t="s">
        <v>21</v>
      </c>
      <c r="O339" t="str">
        <f t="shared" si="28"/>
        <v>nM</v>
      </c>
      <c r="R339">
        <v>324</v>
      </c>
      <c r="S339" t="s">
        <v>661</v>
      </c>
      <c r="T339" t="s">
        <v>337</v>
      </c>
      <c r="U339">
        <v>400</v>
      </c>
      <c r="V339" t="s">
        <v>22</v>
      </c>
      <c r="W339" t="s">
        <v>23</v>
      </c>
      <c r="X339">
        <v>0</v>
      </c>
      <c r="Y339">
        <v>1</v>
      </c>
      <c r="AA339" t="s">
        <v>655</v>
      </c>
      <c r="AD339">
        <f t="shared" si="29"/>
        <v>71.215000000000003</v>
      </c>
      <c r="AE339" t="b">
        <v>1</v>
      </c>
    </row>
    <row r="340" spans="1:32" x14ac:dyDescent="0.3">
      <c r="A340" t="s">
        <v>619</v>
      </c>
      <c r="B340" t="s">
        <v>737</v>
      </c>
      <c r="C340" t="b">
        <v>1</v>
      </c>
      <c r="D340" t="s">
        <v>184</v>
      </c>
      <c r="E340" t="s">
        <v>344</v>
      </c>
      <c r="F340" t="s">
        <v>188</v>
      </c>
      <c r="G340" t="s">
        <v>189</v>
      </c>
      <c r="H340" t="s">
        <v>188</v>
      </c>
      <c r="I340">
        <v>48</v>
      </c>
      <c r="J340" t="s">
        <v>6</v>
      </c>
      <c r="K340">
        <v>0</v>
      </c>
      <c r="L340" s="5" t="s">
        <v>654</v>
      </c>
      <c r="M340">
        <v>12252.66</v>
      </c>
      <c r="N340" t="s">
        <v>20</v>
      </c>
      <c r="O340" t="str">
        <f t="shared" si="28"/>
        <v>ng*h/mL</v>
      </c>
      <c r="R340">
        <v>27.57</v>
      </c>
      <c r="S340" t="s">
        <v>789</v>
      </c>
      <c r="T340" t="s">
        <v>342</v>
      </c>
      <c r="U340">
        <v>400</v>
      </c>
      <c r="V340" t="s">
        <v>115</v>
      </c>
      <c r="W340" t="s">
        <v>23</v>
      </c>
      <c r="X340">
        <v>0</v>
      </c>
      <c r="Y340">
        <v>1</v>
      </c>
      <c r="AA340" t="s">
        <v>655</v>
      </c>
      <c r="AD340">
        <v>79.099999999999994</v>
      </c>
      <c r="AE340" t="b">
        <v>0</v>
      </c>
    </row>
    <row r="341" spans="1:32" x14ac:dyDescent="0.3">
      <c r="A341" t="s">
        <v>619</v>
      </c>
      <c r="B341" t="s">
        <v>737</v>
      </c>
      <c r="C341" t="b">
        <v>1</v>
      </c>
      <c r="D341" t="s">
        <v>184</v>
      </c>
      <c r="E341" t="s">
        <v>344</v>
      </c>
      <c r="F341" t="s">
        <v>188</v>
      </c>
      <c r="G341" t="s">
        <v>189</v>
      </c>
      <c r="H341" t="s">
        <v>188</v>
      </c>
      <c r="I341">
        <v>48</v>
      </c>
      <c r="J341" t="s">
        <v>7</v>
      </c>
      <c r="K341">
        <v>0</v>
      </c>
      <c r="L341" s="5">
        <v>48</v>
      </c>
      <c r="M341">
        <v>8610</v>
      </c>
      <c r="N341" t="s">
        <v>21</v>
      </c>
      <c r="O341" t="str">
        <f t="shared" si="28"/>
        <v>nM</v>
      </c>
      <c r="T341" t="s">
        <v>343</v>
      </c>
      <c r="U341">
        <v>400</v>
      </c>
      <c r="V341" t="s">
        <v>115</v>
      </c>
      <c r="W341" t="s">
        <v>23</v>
      </c>
      <c r="X341">
        <v>0</v>
      </c>
      <c r="Y341">
        <v>1</v>
      </c>
      <c r="AA341" t="s">
        <v>655</v>
      </c>
      <c r="AD341">
        <v>79.099999999999994</v>
      </c>
      <c r="AE341" t="b">
        <v>0</v>
      </c>
    </row>
    <row r="342" spans="1:32" x14ac:dyDescent="0.3">
      <c r="A342" t="s">
        <v>619</v>
      </c>
      <c r="B342" t="s">
        <v>737</v>
      </c>
      <c r="C342" t="b">
        <v>1</v>
      </c>
      <c r="D342" t="s">
        <v>184</v>
      </c>
      <c r="E342" t="s">
        <v>344</v>
      </c>
      <c r="F342" t="s">
        <v>188</v>
      </c>
      <c r="G342" t="s">
        <v>189</v>
      </c>
      <c r="H342" t="s">
        <v>188</v>
      </c>
      <c r="I342">
        <v>12</v>
      </c>
      <c r="J342" t="s">
        <v>828</v>
      </c>
      <c r="K342">
        <v>12</v>
      </c>
      <c r="L342" s="5">
        <v>12</v>
      </c>
      <c r="M342">
        <v>92.1</v>
      </c>
      <c r="N342" t="s">
        <v>21</v>
      </c>
      <c r="O342" t="str">
        <f t="shared" si="28"/>
        <v>nM</v>
      </c>
      <c r="T342" t="s">
        <v>885</v>
      </c>
      <c r="U342">
        <v>400</v>
      </c>
      <c r="V342" t="s">
        <v>115</v>
      </c>
      <c r="W342" t="s">
        <v>23</v>
      </c>
      <c r="X342">
        <v>0</v>
      </c>
      <c r="Y342">
        <v>1</v>
      </c>
      <c r="AA342" t="s">
        <v>655</v>
      </c>
      <c r="AD342">
        <v>79.099999999999994</v>
      </c>
      <c r="AE342" t="b">
        <v>0</v>
      </c>
    </row>
    <row r="343" spans="1:32" x14ac:dyDescent="0.3">
      <c r="A343" t="s">
        <v>620</v>
      </c>
      <c r="B343" t="s">
        <v>738</v>
      </c>
      <c r="C343" t="b">
        <v>1</v>
      </c>
      <c r="D343" t="s">
        <v>184</v>
      </c>
      <c r="E343" t="s">
        <v>344</v>
      </c>
      <c r="F343" t="s">
        <v>188</v>
      </c>
      <c r="G343" t="s">
        <v>189</v>
      </c>
      <c r="H343" t="s">
        <v>188</v>
      </c>
      <c r="I343">
        <f>3*24+12</f>
        <v>84</v>
      </c>
      <c r="J343" t="s">
        <v>6</v>
      </c>
      <c r="K343">
        <f>3*24</f>
        <v>72</v>
      </c>
      <c r="L343" s="5">
        <f>3*24+12</f>
        <v>84</v>
      </c>
      <c r="M343">
        <v>2048.7800000000002</v>
      </c>
      <c r="N343" t="s">
        <v>20</v>
      </c>
      <c r="O343" t="str">
        <f t="shared" si="28"/>
        <v>ng*h/mL</v>
      </c>
      <c r="R343">
        <v>4.6100000000000003</v>
      </c>
      <c r="S343" t="s">
        <v>789</v>
      </c>
      <c r="T343" t="s">
        <v>887</v>
      </c>
      <c r="U343">
        <v>400</v>
      </c>
      <c r="V343" t="s">
        <v>115</v>
      </c>
      <c r="W343" t="s">
        <v>23</v>
      </c>
      <c r="X343">
        <v>0</v>
      </c>
      <c r="Y343">
        <v>9</v>
      </c>
      <c r="Z343">
        <v>12</v>
      </c>
      <c r="AA343" t="s">
        <v>655</v>
      </c>
      <c r="AD343">
        <v>79.099999999999994</v>
      </c>
      <c r="AE343" t="b">
        <v>0</v>
      </c>
    </row>
    <row r="344" spans="1:32" x14ac:dyDescent="0.3">
      <c r="A344" t="s">
        <v>620</v>
      </c>
      <c r="B344" t="s">
        <v>738</v>
      </c>
      <c r="C344" t="b">
        <v>1</v>
      </c>
      <c r="D344" t="s">
        <v>184</v>
      </c>
      <c r="E344" t="s">
        <v>344</v>
      </c>
      <c r="F344" t="s">
        <v>188</v>
      </c>
      <c r="G344" t="s">
        <v>189</v>
      </c>
      <c r="H344" t="s">
        <v>188</v>
      </c>
      <c r="I344">
        <f>3*24+12</f>
        <v>84</v>
      </c>
      <c r="J344" t="s">
        <v>7</v>
      </c>
      <c r="K344">
        <f>3*24</f>
        <v>72</v>
      </c>
      <c r="L344" s="5">
        <f>3*24+12</f>
        <v>84</v>
      </c>
      <c r="M344">
        <v>1210</v>
      </c>
      <c r="N344" t="s">
        <v>21</v>
      </c>
      <c r="O344" t="str">
        <f t="shared" si="28"/>
        <v>nM</v>
      </c>
      <c r="T344" t="s">
        <v>345</v>
      </c>
      <c r="U344">
        <v>400</v>
      </c>
      <c r="V344" t="s">
        <v>115</v>
      </c>
      <c r="W344" t="s">
        <v>23</v>
      </c>
      <c r="X344">
        <v>0</v>
      </c>
      <c r="Y344">
        <v>9</v>
      </c>
      <c r="Z344">
        <v>12</v>
      </c>
      <c r="AA344" t="s">
        <v>655</v>
      </c>
      <c r="AD344">
        <v>79.099999999999994</v>
      </c>
      <c r="AE344" t="b">
        <v>0</v>
      </c>
    </row>
    <row r="345" spans="1:32" x14ac:dyDescent="0.3">
      <c r="A345" t="s">
        <v>620</v>
      </c>
      <c r="B345" t="s">
        <v>738</v>
      </c>
      <c r="C345" t="b">
        <v>1</v>
      </c>
      <c r="D345" t="s">
        <v>184</v>
      </c>
      <c r="E345" t="s">
        <v>344</v>
      </c>
      <c r="F345" t="s">
        <v>188</v>
      </c>
      <c r="G345" t="s">
        <v>189</v>
      </c>
      <c r="H345" t="s">
        <v>188</v>
      </c>
      <c r="I345">
        <f>3*24+12</f>
        <v>84</v>
      </c>
      <c r="J345" t="s">
        <v>886</v>
      </c>
      <c r="K345">
        <v>84</v>
      </c>
      <c r="L345" s="5">
        <f>3*24+12</f>
        <v>84</v>
      </c>
      <c r="M345">
        <v>92.47</v>
      </c>
      <c r="N345" t="s">
        <v>21</v>
      </c>
      <c r="O345" t="str">
        <f t="shared" si="28"/>
        <v>nM</v>
      </c>
      <c r="T345" t="s">
        <v>345</v>
      </c>
      <c r="U345">
        <v>400</v>
      </c>
      <c r="V345" t="s">
        <v>115</v>
      </c>
      <c r="W345" t="s">
        <v>23</v>
      </c>
      <c r="X345">
        <v>0</v>
      </c>
      <c r="Y345">
        <v>9</v>
      </c>
      <c r="Z345">
        <v>12</v>
      </c>
      <c r="AA345" t="s">
        <v>655</v>
      </c>
      <c r="AD345">
        <v>79.099999999999994</v>
      </c>
      <c r="AE345" t="b">
        <v>0</v>
      </c>
    </row>
    <row r="346" spans="1:32" x14ac:dyDescent="0.3">
      <c r="A346" t="s">
        <v>621</v>
      </c>
      <c r="B346" t="s">
        <v>739</v>
      </c>
      <c r="C346" t="b">
        <v>1</v>
      </c>
      <c r="D346" t="s">
        <v>346</v>
      </c>
      <c r="E346" t="s">
        <v>349</v>
      </c>
      <c r="F346" t="s">
        <v>350</v>
      </c>
      <c r="G346" t="s">
        <v>351</v>
      </c>
      <c r="H346" t="s">
        <v>350</v>
      </c>
      <c r="I346">
        <v>4</v>
      </c>
      <c r="J346" t="s">
        <v>6</v>
      </c>
      <c r="K346">
        <v>0</v>
      </c>
      <c r="L346" s="5" t="s">
        <v>654</v>
      </c>
      <c r="M346">
        <v>9890</v>
      </c>
      <c r="N346" t="s">
        <v>20</v>
      </c>
      <c r="O346" t="str">
        <f t="shared" si="28"/>
        <v>ng*h/mL</v>
      </c>
      <c r="T346" t="s">
        <v>347</v>
      </c>
      <c r="U346">
        <v>1</v>
      </c>
      <c r="V346" t="s">
        <v>352</v>
      </c>
      <c r="W346" t="s">
        <v>663</v>
      </c>
      <c r="X346">
        <v>0</v>
      </c>
      <c r="Y346">
        <v>1</v>
      </c>
      <c r="AA346" t="s">
        <v>655</v>
      </c>
      <c r="AB346">
        <v>5</v>
      </c>
      <c r="AC346" t="s">
        <v>664</v>
      </c>
      <c r="AD346">
        <v>68</v>
      </c>
      <c r="AE346" t="b">
        <v>0</v>
      </c>
    </row>
    <row r="347" spans="1:32" x14ac:dyDescent="0.3">
      <c r="A347" t="s">
        <v>621</v>
      </c>
      <c r="B347" t="s">
        <v>739</v>
      </c>
      <c r="C347" t="b">
        <v>1</v>
      </c>
      <c r="D347" t="s">
        <v>346</v>
      </c>
      <c r="E347" t="s">
        <v>349</v>
      </c>
      <c r="F347" t="s">
        <v>350</v>
      </c>
      <c r="G347" t="s">
        <v>351</v>
      </c>
      <c r="H347" t="s">
        <v>350</v>
      </c>
      <c r="I347">
        <v>4</v>
      </c>
      <c r="J347" t="s">
        <v>7</v>
      </c>
      <c r="K347">
        <v>0</v>
      </c>
      <c r="L347" s="5">
        <v>4</v>
      </c>
      <c r="M347">
        <v>53726.83</v>
      </c>
      <c r="N347" t="s">
        <v>21</v>
      </c>
      <c r="O347" t="str">
        <f t="shared" si="28"/>
        <v>nM</v>
      </c>
      <c r="R347">
        <v>21.3</v>
      </c>
      <c r="S347" t="s">
        <v>666</v>
      </c>
      <c r="T347" t="s">
        <v>348</v>
      </c>
      <c r="U347">
        <v>1</v>
      </c>
      <c r="V347" t="s">
        <v>352</v>
      </c>
      <c r="W347" t="s">
        <v>663</v>
      </c>
      <c r="X347">
        <v>0</v>
      </c>
      <c r="Y347">
        <v>1</v>
      </c>
      <c r="AA347" t="s">
        <v>655</v>
      </c>
      <c r="AB347">
        <v>5</v>
      </c>
      <c r="AC347" t="s">
        <v>664</v>
      </c>
      <c r="AD347">
        <v>68</v>
      </c>
      <c r="AE347" t="b">
        <v>0</v>
      </c>
    </row>
    <row r="348" spans="1:32" x14ac:dyDescent="0.3">
      <c r="A348" t="s">
        <v>622</v>
      </c>
      <c r="B348" t="s">
        <v>740</v>
      </c>
      <c r="C348" t="b">
        <v>1</v>
      </c>
      <c r="D348" t="s">
        <v>353</v>
      </c>
      <c r="E348" t="s">
        <v>355</v>
      </c>
      <c r="F348" t="s">
        <v>356</v>
      </c>
      <c r="G348" t="s">
        <v>357</v>
      </c>
      <c r="H348" t="s">
        <v>358</v>
      </c>
      <c r="I348">
        <v>24</v>
      </c>
      <c r="J348" t="s">
        <v>6</v>
      </c>
      <c r="K348">
        <v>0</v>
      </c>
      <c r="L348" s="5" t="s">
        <v>654</v>
      </c>
      <c r="M348">
        <v>55300</v>
      </c>
      <c r="N348" t="s">
        <v>20</v>
      </c>
      <c r="O348" t="str">
        <f t="shared" si="28"/>
        <v>ng*h/mL</v>
      </c>
      <c r="T348" t="s">
        <v>360</v>
      </c>
      <c r="U348">
        <v>500</v>
      </c>
      <c r="V348" t="s">
        <v>22</v>
      </c>
      <c r="W348" t="s">
        <v>663</v>
      </c>
      <c r="X348">
        <v>0</v>
      </c>
      <c r="Y348">
        <v>1</v>
      </c>
      <c r="AA348" t="s">
        <v>655</v>
      </c>
      <c r="AB348">
        <v>1</v>
      </c>
      <c r="AC348" t="s">
        <v>655</v>
      </c>
      <c r="AD348">
        <v>94.4</v>
      </c>
      <c r="AE348" t="b">
        <v>0</v>
      </c>
      <c r="AF348" t="s">
        <v>889</v>
      </c>
    </row>
    <row r="349" spans="1:32" x14ac:dyDescent="0.3">
      <c r="A349" t="s">
        <v>622</v>
      </c>
      <c r="B349" t="s">
        <v>740</v>
      </c>
      <c r="C349" t="b">
        <v>1</v>
      </c>
      <c r="D349" t="s">
        <v>353</v>
      </c>
      <c r="E349" t="s">
        <v>355</v>
      </c>
      <c r="F349" t="s">
        <v>356</v>
      </c>
      <c r="G349" t="s">
        <v>357</v>
      </c>
      <c r="H349" t="s">
        <v>358</v>
      </c>
      <c r="I349">
        <v>24</v>
      </c>
      <c r="J349" t="s">
        <v>7</v>
      </c>
      <c r="K349">
        <v>0</v>
      </c>
      <c r="L349" s="5">
        <v>24</v>
      </c>
      <c r="M349">
        <v>17562.330000000002</v>
      </c>
      <c r="N349" t="s">
        <v>21</v>
      </c>
      <c r="O349" t="str">
        <f t="shared" si="28"/>
        <v>nM</v>
      </c>
      <c r="R349">
        <v>6.34</v>
      </c>
      <c r="S349" t="s">
        <v>660</v>
      </c>
      <c r="T349" t="s">
        <v>359</v>
      </c>
      <c r="U349">
        <v>500</v>
      </c>
      <c r="V349" t="s">
        <v>22</v>
      </c>
      <c r="W349" t="s">
        <v>663</v>
      </c>
      <c r="X349">
        <v>0</v>
      </c>
      <c r="Y349">
        <v>1</v>
      </c>
      <c r="AA349" t="s">
        <v>655</v>
      </c>
      <c r="AB349">
        <v>1</v>
      </c>
      <c r="AC349" t="s">
        <v>655</v>
      </c>
      <c r="AD349">
        <v>94.4</v>
      </c>
      <c r="AE349" t="b">
        <v>0</v>
      </c>
      <c r="AF349" t="s">
        <v>889</v>
      </c>
    </row>
    <row r="350" spans="1:32" x14ac:dyDescent="0.3">
      <c r="A350" t="s">
        <v>623</v>
      </c>
      <c r="B350" t="s">
        <v>741</v>
      </c>
      <c r="C350" t="b">
        <v>1</v>
      </c>
      <c r="D350" t="s">
        <v>353</v>
      </c>
      <c r="E350" t="s">
        <v>355</v>
      </c>
      <c r="F350" t="s">
        <v>356</v>
      </c>
      <c r="G350" t="s">
        <v>357</v>
      </c>
      <c r="H350" t="s">
        <v>358</v>
      </c>
      <c r="I350">
        <f>10*24</f>
        <v>240</v>
      </c>
      <c r="J350" t="s">
        <v>6</v>
      </c>
      <c r="K350">
        <f>9*24</f>
        <v>216</v>
      </c>
      <c r="L350" s="5">
        <f>10*24</f>
        <v>240</v>
      </c>
      <c r="M350">
        <v>54600</v>
      </c>
      <c r="N350" t="s">
        <v>20</v>
      </c>
      <c r="O350" t="str">
        <f t="shared" si="28"/>
        <v>ng*h/mL</v>
      </c>
      <c r="T350" t="s">
        <v>888</v>
      </c>
      <c r="U350">
        <v>500</v>
      </c>
      <c r="V350" t="s">
        <v>22</v>
      </c>
      <c r="W350" t="s">
        <v>663</v>
      </c>
      <c r="X350">
        <v>0</v>
      </c>
      <c r="Y350">
        <v>8</v>
      </c>
      <c r="Z350">
        <v>24</v>
      </c>
      <c r="AA350" t="s">
        <v>655</v>
      </c>
      <c r="AB350">
        <v>1</v>
      </c>
      <c r="AC350" t="s">
        <v>655</v>
      </c>
      <c r="AD350">
        <v>94.4</v>
      </c>
      <c r="AE350" t="b">
        <v>0</v>
      </c>
      <c r="AF350" t="s">
        <v>889</v>
      </c>
    </row>
    <row r="351" spans="1:32" x14ac:dyDescent="0.3">
      <c r="A351" t="s">
        <v>623</v>
      </c>
      <c r="B351" t="s">
        <v>741</v>
      </c>
      <c r="C351" t="b">
        <v>1</v>
      </c>
      <c r="D351" t="s">
        <v>353</v>
      </c>
      <c r="E351" t="s">
        <v>355</v>
      </c>
      <c r="F351" t="s">
        <v>356</v>
      </c>
      <c r="G351" t="s">
        <v>357</v>
      </c>
      <c r="H351" t="s">
        <v>358</v>
      </c>
      <c r="I351">
        <f>10*24</f>
        <v>240</v>
      </c>
      <c r="J351" t="s">
        <v>7</v>
      </c>
      <c r="K351">
        <f>9*24</f>
        <v>216</v>
      </c>
      <c r="L351" s="5">
        <f>10*24</f>
        <v>240</v>
      </c>
      <c r="M351">
        <v>17728.53</v>
      </c>
      <c r="N351" t="s">
        <v>21</v>
      </c>
      <c r="O351" t="str">
        <f t="shared" si="28"/>
        <v>nM</v>
      </c>
      <c r="R351">
        <v>6.4</v>
      </c>
      <c r="S351" t="s">
        <v>660</v>
      </c>
      <c r="T351" t="s">
        <v>354</v>
      </c>
      <c r="U351">
        <v>500</v>
      </c>
      <c r="V351" t="s">
        <v>22</v>
      </c>
      <c r="W351" t="s">
        <v>663</v>
      </c>
      <c r="X351">
        <v>0</v>
      </c>
      <c r="Y351">
        <v>8</v>
      </c>
      <c r="Z351">
        <v>24</v>
      </c>
      <c r="AA351" t="s">
        <v>655</v>
      </c>
      <c r="AB351">
        <v>1</v>
      </c>
      <c r="AC351" t="s">
        <v>655</v>
      </c>
      <c r="AD351">
        <v>94.4</v>
      </c>
      <c r="AE351" t="b">
        <v>0</v>
      </c>
      <c r="AF351" t="s">
        <v>889</v>
      </c>
    </row>
    <row r="352" spans="1:32" x14ac:dyDescent="0.3">
      <c r="A352" t="s">
        <v>624</v>
      </c>
      <c r="B352" t="s">
        <v>742</v>
      </c>
      <c r="C352" t="b">
        <v>1</v>
      </c>
      <c r="D352" t="s">
        <v>353</v>
      </c>
      <c r="E352" t="s">
        <v>355</v>
      </c>
      <c r="F352" t="s">
        <v>356</v>
      </c>
      <c r="G352" t="s">
        <v>357</v>
      </c>
      <c r="H352" t="s">
        <v>358</v>
      </c>
      <c r="I352">
        <v>24</v>
      </c>
      <c r="J352" t="s">
        <v>6</v>
      </c>
      <c r="K352">
        <v>0</v>
      </c>
      <c r="L352" s="5" t="s">
        <v>654</v>
      </c>
      <c r="M352">
        <v>47700</v>
      </c>
      <c r="N352" t="s">
        <v>20</v>
      </c>
      <c r="O352" t="str">
        <f t="shared" si="28"/>
        <v>ng*h/mL</v>
      </c>
      <c r="T352" t="s">
        <v>360</v>
      </c>
      <c r="U352">
        <v>500</v>
      </c>
      <c r="V352" t="s">
        <v>22</v>
      </c>
      <c r="W352" t="s">
        <v>23</v>
      </c>
      <c r="X352">
        <v>0</v>
      </c>
      <c r="Y352">
        <v>1</v>
      </c>
      <c r="AA352" t="s">
        <v>655</v>
      </c>
      <c r="AD352">
        <v>75.5</v>
      </c>
      <c r="AE352" t="b">
        <v>0</v>
      </c>
      <c r="AF352" t="s">
        <v>889</v>
      </c>
    </row>
    <row r="353" spans="1:32" x14ac:dyDescent="0.3">
      <c r="A353" t="s">
        <v>624</v>
      </c>
      <c r="B353" t="s">
        <v>742</v>
      </c>
      <c r="C353" t="b">
        <v>1</v>
      </c>
      <c r="D353" t="s">
        <v>353</v>
      </c>
      <c r="E353" t="s">
        <v>355</v>
      </c>
      <c r="F353" t="s">
        <v>356</v>
      </c>
      <c r="G353" t="s">
        <v>357</v>
      </c>
      <c r="H353" t="s">
        <v>358</v>
      </c>
      <c r="I353">
        <v>24</v>
      </c>
      <c r="J353" t="s">
        <v>7</v>
      </c>
      <c r="K353">
        <v>0</v>
      </c>
      <c r="L353" s="5">
        <v>24</v>
      </c>
      <c r="M353">
        <v>14376.73</v>
      </c>
      <c r="N353" t="s">
        <v>21</v>
      </c>
      <c r="O353" t="str">
        <f t="shared" si="28"/>
        <v>nM</v>
      </c>
      <c r="R353">
        <v>5.19</v>
      </c>
      <c r="S353" t="s">
        <v>660</v>
      </c>
      <c r="T353" t="s">
        <v>359</v>
      </c>
      <c r="U353">
        <v>500</v>
      </c>
      <c r="V353" t="s">
        <v>22</v>
      </c>
      <c r="W353" t="s">
        <v>23</v>
      </c>
      <c r="X353">
        <v>0</v>
      </c>
      <c r="Y353">
        <v>1</v>
      </c>
      <c r="AA353" t="s">
        <v>655</v>
      </c>
      <c r="AD353">
        <v>75.5</v>
      </c>
      <c r="AE353" t="b">
        <v>0</v>
      </c>
      <c r="AF353" t="s">
        <v>889</v>
      </c>
    </row>
    <row r="354" spans="1:32" x14ac:dyDescent="0.3">
      <c r="A354" t="s">
        <v>1097</v>
      </c>
      <c r="B354" t="s">
        <v>1098</v>
      </c>
      <c r="C354" t="b">
        <v>1</v>
      </c>
      <c r="D354" t="s">
        <v>353</v>
      </c>
      <c r="E354" t="s">
        <v>355</v>
      </c>
      <c r="F354" t="s">
        <v>356</v>
      </c>
      <c r="G354" t="s">
        <v>357</v>
      </c>
      <c r="H354" t="s">
        <v>358</v>
      </c>
      <c r="I354">
        <f>10*24</f>
        <v>240</v>
      </c>
      <c r="J354" t="s">
        <v>6</v>
      </c>
      <c r="K354">
        <f>9*24</f>
        <v>216</v>
      </c>
      <c r="L354" s="5">
        <f>10*24</f>
        <v>240</v>
      </c>
      <c r="M354">
        <v>47500</v>
      </c>
      <c r="N354" t="s">
        <v>20</v>
      </c>
      <c r="O354" t="str">
        <f t="shared" si="28"/>
        <v>ng*h/mL</v>
      </c>
      <c r="T354" t="s">
        <v>888</v>
      </c>
      <c r="U354">
        <v>500</v>
      </c>
      <c r="V354" t="s">
        <v>22</v>
      </c>
      <c r="W354" t="s">
        <v>23</v>
      </c>
      <c r="X354">
        <v>0</v>
      </c>
      <c r="Y354">
        <v>8</v>
      </c>
      <c r="Z354">
        <v>24</v>
      </c>
      <c r="AA354" t="s">
        <v>655</v>
      </c>
      <c r="AD354">
        <v>75.5</v>
      </c>
      <c r="AE354" t="b">
        <v>0</v>
      </c>
      <c r="AF354" t="s">
        <v>889</v>
      </c>
    </row>
    <row r="355" spans="1:32" x14ac:dyDescent="0.3">
      <c r="A355" t="s">
        <v>1097</v>
      </c>
      <c r="B355" t="s">
        <v>1098</v>
      </c>
      <c r="C355" t="b">
        <v>1</v>
      </c>
      <c r="D355" t="s">
        <v>353</v>
      </c>
      <c r="E355" t="s">
        <v>355</v>
      </c>
      <c r="F355" t="s">
        <v>356</v>
      </c>
      <c r="G355" t="s">
        <v>357</v>
      </c>
      <c r="H355" t="s">
        <v>358</v>
      </c>
      <c r="I355">
        <f>10*24</f>
        <v>240</v>
      </c>
      <c r="J355" t="s">
        <v>7</v>
      </c>
      <c r="K355">
        <f>9*24</f>
        <v>216</v>
      </c>
      <c r="L355" s="5">
        <f>10*24</f>
        <v>240</v>
      </c>
      <c r="M355">
        <v>15844.88</v>
      </c>
      <c r="N355" t="s">
        <v>21</v>
      </c>
      <c r="O355" t="str">
        <f t="shared" si="28"/>
        <v>nM</v>
      </c>
      <c r="R355">
        <v>5.72</v>
      </c>
      <c r="S355" t="s">
        <v>660</v>
      </c>
      <c r="T355" t="s">
        <v>354</v>
      </c>
      <c r="U355">
        <v>500</v>
      </c>
      <c r="V355" t="s">
        <v>22</v>
      </c>
      <c r="W355" t="s">
        <v>23</v>
      </c>
      <c r="X355">
        <v>0</v>
      </c>
      <c r="Y355">
        <v>8</v>
      </c>
      <c r="Z355">
        <v>24</v>
      </c>
      <c r="AA355" t="s">
        <v>655</v>
      </c>
      <c r="AD355">
        <v>75.5</v>
      </c>
      <c r="AE355" t="b">
        <v>0</v>
      </c>
      <c r="AF355" t="s">
        <v>889</v>
      </c>
    </row>
    <row r="356" spans="1:32" x14ac:dyDescent="0.3">
      <c r="A356" t="s">
        <v>625</v>
      </c>
      <c r="B356" t="s">
        <v>743</v>
      </c>
      <c r="C356" t="b">
        <v>1</v>
      </c>
      <c r="D356" t="s">
        <v>184</v>
      </c>
      <c r="E356" t="s">
        <v>363</v>
      </c>
      <c r="F356" t="s">
        <v>188</v>
      </c>
      <c r="G356" t="s">
        <v>189</v>
      </c>
      <c r="H356" t="s">
        <v>188</v>
      </c>
      <c r="I356">
        <v>48</v>
      </c>
      <c r="J356" t="s">
        <v>6</v>
      </c>
      <c r="K356">
        <v>0</v>
      </c>
      <c r="L356" s="5" t="s">
        <v>654</v>
      </c>
      <c r="M356">
        <v>3544</v>
      </c>
      <c r="N356" t="s">
        <v>20</v>
      </c>
      <c r="O356" t="str">
        <f t="shared" si="28"/>
        <v>ng*h/mL</v>
      </c>
      <c r="T356" t="s">
        <v>361</v>
      </c>
      <c r="U356">
        <v>400</v>
      </c>
      <c r="V356" t="s">
        <v>22</v>
      </c>
      <c r="W356" t="s">
        <v>23</v>
      </c>
      <c r="X356">
        <v>0</v>
      </c>
      <c r="Y356">
        <v>1</v>
      </c>
      <c r="AA356" t="s">
        <v>655</v>
      </c>
      <c r="AD356">
        <v>61.8</v>
      </c>
      <c r="AE356" t="b">
        <v>0</v>
      </c>
    </row>
    <row r="357" spans="1:32" x14ac:dyDescent="0.3">
      <c r="A357" t="s">
        <v>625</v>
      </c>
      <c r="B357" t="s">
        <v>743</v>
      </c>
      <c r="C357" t="b">
        <v>1</v>
      </c>
      <c r="D357" t="s">
        <v>184</v>
      </c>
      <c r="E357" t="s">
        <v>363</v>
      </c>
      <c r="F357" t="s">
        <v>188</v>
      </c>
      <c r="G357" t="s">
        <v>189</v>
      </c>
      <c r="H357" t="s">
        <v>188</v>
      </c>
      <c r="I357">
        <v>48</v>
      </c>
      <c r="J357" t="s">
        <v>6</v>
      </c>
      <c r="K357">
        <v>0</v>
      </c>
      <c r="L357" s="5">
        <v>12</v>
      </c>
      <c r="M357">
        <v>3042</v>
      </c>
      <c r="N357" t="s">
        <v>20</v>
      </c>
      <c r="O357" t="str">
        <f t="shared" si="28"/>
        <v>ng*h/mL</v>
      </c>
      <c r="T357" t="s">
        <v>890</v>
      </c>
      <c r="U357">
        <v>400</v>
      </c>
      <c r="V357" t="s">
        <v>22</v>
      </c>
      <c r="W357" t="s">
        <v>23</v>
      </c>
      <c r="X357">
        <v>0</v>
      </c>
      <c r="Y357">
        <v>1</v>
      </c>
      <c r="AA357" t="s">
        <v>655</v>
      </c>
      <c r="AD357">
        <v>61.8</v>
      </c>
      <c r="AE357" t="b">
        <v>0</v>
      </c>
    </row>
    <row r="358" spans="1:32" x14ac:dyDescent="0.3">
      <c r="A358" t="s">
        <v>625</v>
      </c>
      <c r="B358" t="s">
        <v>743</v>
      </c>
      <c r="C358" t="b">
        <v>1</v>
      </c>
      <c r="D358" t="s">
        <v>184</v>
      </c>
      <c r="E358" t="s">
        <v>363</v>
      </c>
      <c r="F358" t="s">
        <v>188</v>
      </c>
      <c r="G358" t="s">
        <v>189</v>
      </c>
      <c r="H358" t="s">
        <v>188</v>
      </c>
      <c r="I358">
        <v>48</v>
      </c>
      <c r="J358" t="s">
        <v>7</v>
      </c>
      <c r="K358">
        <v>0</v>
      </c>
      <c r="L358" s="5">
        <v>48</v>
      </c>
      <c r="M358">
        <v>2126.37</v>
      </c>
      <c r="N358" t="s">
        <v>21</v>
      </c>
      <c r="O358" t="str">
        <f t="shared" si="28"/>
        <v>nM</v>
      </c>
      <c r="R358">
        <v>945</v>
      </c>
      <c r="S358" t="s">
        <v>661</v>
      </c>
      <c r="T358" t="s">
        <v>362</v>
      </c>
      <c r="U358">
        <v>400</v>
      </c>
      <c r="V358" t="s">
        <v>22</v>
      </c>
      <c r="W358" t="s">
        <v>23</v>
      </c>
      <c r="X358">
        <v>0</v>
      </c>
      <c r="Y358">
        <v>1</v>
      </c>
      <c r="AA358" t="s">
        <v>655</v>
      </c>
      <c r="AD358">
        <v>61.8</v>
      </c>
      <c r="AE358" t="b">
        <v>0</v>
      </c>
    </row>
    <row r="359" spans="1:32" x14ac:dyDescent="0.3">
      <c r="A359" t="s">
        <v>625</v>
      </c>
      <c r="B359" t="s">
        <v>743</v>
      </c>
      <c r="C359" t="b">
        <v>1</v>
      </c>
      <c r="D359" t="s">
        <v>184</v>
      </c>
      <c r="E359" t="s">
        <v>363</v>
      </c>
      <c r="F359" t="s">
        <v>188</v>
      </c>
      <c r="G359" t="s">
        <v>189</v>
      </c>
      <c r="H359" t="s">
        <v>188</v>
      </c>
      <c r="I359">
        <v>48</v>
      </c>
      <c r="J359" t="s">
        <v>828</v>
      </c>
      <c r="K359">
        <v>12</v>
      </c>
      <c r="L359" s="5">
        <v>12</v>
      </c>
      <c r="M359">
        <v>83.25</v>
      </c>
      <c r="N359" t="s">
        <v>21</v>
      </c>
      <c r="O359" t="str">
        <f t="shared" si="28"/>
        <v>nM</v>
      </c>
      <c r="R359">
        <v>37</v>
      </c>
      <c r="S359" t="s">
        <v>661</v>
      </c>
      <c r="T359" t="s">
        <v>891</v>
      </c>
      <c r="U359">
        <v>400</v>
      </c>
      <c r="V359" t="s">
        <v>22</v>
      </c>
      <c r="W359" t="s">
        <v>23</v>
      </c>
      <c r="X359">
        <v>0</v>
      </c>
      <c r="Y359">
        <v>1</v>
      </c>
      <c r="AA359" t="s">
        <v>655</v>
      </c>
      <c r="AD359">
        <v>61.8</v>
      </c>
      <c r="AE359" t="b">
        <v>0</v>
      </c>
    </row>
    <row r="360" spans="1:32" x14ac:dyDescent="0.3">
      <c r="A360" t="s">
        <v>1099</v>
      </c>
      <c r="B360" t="s">
        <v>1100</v>
      </c>
      <c r="C360" t="b">
        <v>1</v>
      </c>
      <c r="D360" t="s">
        <v>364</v>
      </c>
      <c r="E360" t="s">
        <v>367</v>
      </c>
      <c r="F360" t="s">
        <v>368</v>
      </c>
      <c r="G360" t="s">
        <v>369</v>
      </c>
      <c r="H360" t="s">
        <v>368</v>
      </c>
      <c r="I360">
        <v>120</v>
      </c>
      <c r="J360" t="s">
        <v>6</v>
      </c>
      <c r="K360">
        <v>0</v>
      </c>
      <c r="L360" s="5" t="s">
        <v>654</v>
      </c>
      <c r="M360">
        <v>8351</v>
      </c>
      <c r="N360" t="s">
        <v>20</v>
      </c>
      <c r="O360" t="str">
        <f t="shared" si="28"/>
        <v>ng*h/mL</v>
      </c>
      <c r="T360" t="s">
        <v>383</v>
      </c>
      <c r="U360">
        <v>200</v>
      </c>
      <c r="V360" t="s">
        <v>22</v>
      </c>
      <c r="W360" t="s">
        <v>23</v>
      </c>
      <c r="X360">
        <v>0</v>
      </c>
      <c r="Y360">
        <v>1</v>
      </c>
      <c r="AA360" t="s">
        <v>655</v>
      </c>
      <c r="AE360" t="b">
        <v>0</v>
      </c>
    </row>
    <row r="361" spans="1:32" x14ac:dyDescent="0.3">
      <c r="A361" t="s">
        <v>1099</v>
      </c>
      <c r="B361" t="s">
        <v>1100</v>
      </c>
      <c r="C361" t="b">
        <v>1</v>
      </c>
      <c r="D361" t="s">
        <v>364</v>
      </c>
      <c r="E361" t="s">
        <v>367</v>
      </c>
      <c r="F361" t="s">
        <v>368</v>
      </c>
      <c r="G361" t="s">
        <v>369</v>
      </c>
      <c r="H361" t="s">
        <v>368</v>
      </c>
      <c r="I361">
        <v>120</v>
      </c>
      <c r="J361" t="s">
        <v>6</v>
      </c>
      <c r="K361">
        <v>0</v>
      </c>
      <c r="L361" s="5">
        <v>120</v>
      </c>
      <c r="M361">
        <v>8268</v>
      </c>
      <c r="N361" t="s">
        <v>20</v>
      </c>
      <c r="O361" t="str">
        <f t="shared" si="28"/>
        <v>ng*h/mL</v>
      </c>
      <c r="T361" t="s">
        <v>380</v>
      </c>
      <c r="U361">
        <v>200</v>
      </c>
      <c r="V361" t="s">
        <v>22</v>
      </c>
      <c r="W361" t="s">
        <v>23</v>
      </c>
      <c r="X361">
        <v>0</v>
      </c>
      <c r="Y361">
        <v>1</v>
      </c>
      <c r="AA361" t="s">
        <v>655</v>
      </c>
      <c r="AE361" t="b">
        <v>0</v>
      </c>
    </row>
    <row r="362" spans="1:32" x14ac:dyDescent="0.3">
      <c r="A362" t="s">
        <v>1099</v>
      </c>
      <c r="B362" t="s">
        <v>1100</v>
      </c>
      <c r="C362" t="b">
        <v>1</v>
      </c>
      <c r="D362" t="s">
        <v>364</v>
      </c>
      <c r="E362" t="s">
        <v>367</v>
      </c>
      <c r="F362" t="s">
        <v>368</v>
      </c>
      <c r="G362" t="s">
        <v>369</v>
      </c>
      <c r="H362" t="s">
        <v>368</v>
      </c>
      <c r="I362">
        <v>120</v>
      </c>
      <c r="J362" t="s">
        <v>7</v>
      </c>
      <c r="K362">
        <v>0</v>
      </c>
      <c r="L362" s="5">
        <v>120</v>
      </c>
      <c r="M362">
        <v>453.02</v>
      </c>
      <c r="N362" t="s">
        <v>21</v>
      </c>
      <c r="O362" t="str">
        <f t="shared" si="28"/>
        <v>nM</v>
      </c>
      <c r="R362">
        <v>381</v>
      </c>
      <c r="S362" t="s">
        <v>661</v>
      </c>
      <c r="T362" t="s">
        <v>371</v>
      </c>
      <c r="U362">
        <v>200</v>
      </c>
      <c r="V362" t="s">
        <v>22</v>
      </c>
      <c r="W362" t="s">
        <v>23</v>
      </c>
      <c r="X362">
        <v>0</v>
      </c>
      <c r="Y362">
        <v>1</v>
      </c>
      <c r="AA362" t="s">
        <v>655</v>
      </c>
      <c r="AE362" t="b">
        <v>0</v>
      </c>
    </row>
    <row r="363" spans="1:32" x14ac:dyDescent="0.3">
      <c r="A363" t="s">
        <v>626</v>
      </c>
      <c r="B363" t="s">
        <v>744</v>
      </c>
      <c r="C363" t="b">
        <v>1</v>
      </c>
      <c r="D363" t="s">
        <v>364</v>
      </c>
      <c r="E363" t="s">
        <v>367</v>
      </c>
      <c r="F363" t="s">
        <v>368</v>
      </c>
      <c r="G363" t="s">
        <v>369</v>
      </c>
      <c r="H363" t="s">
        <v>368</v>
      </c>
      <c r="I363">
        <v>120</v>
      </c>
      <c r="J363" t="s">
        <v>6</v>
      </c>
      <c r="K363">
        <v>0</v>
      </c>
      <c r="L363" s="5" t="s">
        <v>654</v>
      </c>
      <c r="M363">
        <v>9029</v>
      </c>
      <c r="N363" t="s">
        <v>20</v>
      </c>
      <c r="O363" t="str">
        <f t="shared" si="28"/>
        <v>ng*h/mL</v>
      </c>
      <c r="T363" t="s">
        <v>384</v>
      </c>
      <c r="U363">
        <v>200</v>
      </c>
      <c r="V363" t="s">
        <v>22</v>
      </c>
      <c r="W363" t="s">
        <v>23</v>
      </c>
      <c r="X363">
        <v>0</v>
      </c>
      <c r="Y363">
        <v>1</v>
      </c>
      <c r="AA363" t="s">
        <v>655</v>
      </c>
      <c r="AE363" t="b">
        <v>0</v>
      </c>
    </row>
    <row r="364" spans="1:32" x14ac:dyDescent="0.3">
      <c r="A364" t="s">
        <v>626</v>
      </c>
      <c r="B364" t="s">
        <v>744</v>
      </c>
      <c r="C364" t="b">
        <v>1</v>
      </c>
      <c r="D364" t="s">
        <v>364</v>
      </c>
      <c r="E364" t="s">
        <v>367</v>
      </c>
      <c r="F364" t="s">
        <v>368</v>
      </c>
      <c r="G364" t="s">
        <v>369</v>
      </c>
      <c r="H364" t="s">
        <v>368</v>
      </c>
      <c r="I364">
        <v>120</v>
      </c>
      <c r="J364" t="s">
        <v>6</v>
      </c>
      <c r="K364">
        <v>0</v>
      </c>
      <c r="L364" s="5">
        <v>120</v>
      </c>
      <c r="M364">
        <v>8938</v>
      </c>
      <c r="N364" t="s">
        <v>20</v>
      </c>
      <c r="O364" t="str">
        <f t="shared" si="28"/>
        <v>ng*h/mL</v>
      </c>
      <c r="T364" t="s">
        <v>381</v>
      </c>
      <c r="U364">
        <v>200</v>
      </c>
      <c r="V364" t="s">
        <v>22</v>
      </c>
      <c r="W364" t="s">
        <v>23</v>
      </c>
      <c r="X364">
        <v>0</v>
      </c>
      <c r="Y364">
        <v>1</v>
      </c>
      <c r="AA364" t="s">
        <v>655</v>
      </c>
      <c r="AE364" t="b">
        <v>0</v>
      </c>
    </row>
    <row r="365" spans="1:32" x14ac:dyDescent="0.3">
      <c r="A365" t="s">
        <v>626</v>
      </c>
      <c r="B365" t="s">
        <v>744</v>
      </c>
      <c r="C365" t="b">
        <v>1</v>
      </c>
      <c r="D365" t="s">
        <v>364</v>
      </c>
      <c r="E365" t="s">
        <v>367</v>
      </c>
      <c r="F365" t="s">
        <v>368</v>
      </c>
      <c r="G365" t="s">
        <v>369</v>
      </c>
      <c r="H365" t="s">
        <v>368</v>
      </c>
      <c r="I365">
        <v>120</v>
      </c>
      <c r="J365" t="s">
        <v>7</v>
      </c>
      <c r="K365">
        <v>0</v>
      </c>
      <c r="L365" s="5">
        <v>120</v>
      </c>
      <c r="M365">
        <v>481.56</v>
      </c>
      <c r="N365" t="s">
        <v>21</v>
      </c>
      <c r="O365" t="str">
        <f t="shared" si="28"/>
        <v>nM</v>
      </c>
      <c r="R365">
        <v>405</v>
      </c>
      <c r="S365" t="s">
        <v>661</v>
      </c>
      <c r="T365" t="s">
        <v>370</v>
      </c>
      <c r="U365">
        <v>200</v>
      </c>
      <c r="V365" t="s">
        <v>22</v>
      </c>
      <c r="W365" t="s">
        <v>23</v>
      </c>
      <c r="X365">
        <v>0</v>
      </c>
      <c r="Y365">
        <v>1</v>
      </c>
      <c r="AA365" t="s">
        <v>655</v>
      </c>
      <c r="AE365" t="b">
        <v>0</v>
      </c>
    </row>
    <row r="366" spans="1:32" x14ac:dyDescent="0.3">
      <c r="A366" t="s">
        <v>1101</v>
      </c>
      <c r="B366" t="s">
        <v>1102</v>
      </c>
      <c r="C366" t="b">
        <v>1</v>
      </c>
      <c r="D366" t="s">
        <v>364</v>
      </c>
      <c r="E366" t="s">
        <v>367</v>
      </c>
      <c r="F366" t="s">
        <v>368</v>
      </c>
      <c r="G366" t="s">
        <v>369</v>
      </c>
      <c r="H366" t="s">
        <v>368</v>
      </c>
      <c r="I366">
        <v>120</v>
      </c>
      <c r="J366" t="s">
        <v>6</v>
      </c>
      <c r="K366">
        <v>0</v>
      </c>
      <c r="L366" s="5" t="s">
        <v>654</v>
      </c>
      <c r="M366">
        <v>9038</v>
      </c>
      <c r="N366" t="s">
        <v>20</v>
      </c>
      <c r="O366" t="str">
        <f t="shared" si="28"/>
        <v>ng*h/mL</v>
      </c>
      <c r="T366" t="s">
        <v>385</v>
      </c>
      <c r="U366">
        <v>200</v>
      </c>
      <c r="V366" t="s">
        <v>22</v>
      </c>
      <c r="W366" t="s">
        <v>23</v>
      </c>
      <c r="X366">
        <v>0</v>
      </c>
      <c r="Y366">
        <v>1</v>
      </c>
      <c r="AA366" t="s">
        <v>655</v>
      </c>
      <c r="AE366" t="b">
        <v>1</v>
      </c>
    </row>
    <row r="367" spans="1:32" x14ac:dyDescent="0.3">
      <c r="A367" t="s">
        <v>1101</v>
      </c>
      <c r="B367" t="s">
        <v>1102</v>
      </c>
      <c r="C367" t="b">
        <v>1</v>
      </c>
      <c r="D367" t="s">
        <v>364</v>
      </c>
      <c r="E367" t="s">
        <v>367</v>
      </c>
      <c r="F367" t="s">
        <v>368</v>
      </c>
      <c r="G367" t="s">
        <v>369</v>
      </c>
      <c r="H367" t="s">
        <v>368</v>
      </c>
      <c r="I367">
        <v>120</v>
      </c>
      <c r="J367" t="s">
        <v>6</v>
      </c>
      <c r="K367">
        <v>0</v>
      </c>
      <c r="L367" s="5">
        <v>120</v>
      </c>
      <c r="M367">
        <v>8944</v>
      </c>
      <c r="N367" t="s">
        <v>20</v>
      </c>
      <c r="O367" t="str">
        <f t="shared" si="28"/>
        <v>ng*h/mL</v>
      </c>
      <c r="T367" t="s">
        <v>382</v>
      </c>
      <c r="U367">
        <v>200</v>
      </c>
      <c r="V367" t="s">
        <v>22</v>
      </c>
      <c r="W367" t="s">
        <v>23</v>
      </c>
      <c r="X367">
        <v>0</v>
      </c>
      <c r="Y367">
        <v>1</v>
      </c>
      <c r="AA367" t="s">
        <v>655</v>
      </c>
      <c r="AE367" t="b">
        <v>1</v>
      </c>
    </row>
    <row r="368" spans="1:32" x14ac:dyDescent="0.3">
      <c r="A368" t="s">
        <v>1101</v>
      </c>
      <c r="B368" t="s">
        <v>1102</v>
      </c>
      <c r="C368" t="b">
        <v>1</v>
      </c>
      <c r="D368" t="s">
        <v>364</v>
      </c>
      <c r="E368" t="s">
        <v>367</v>
      </c>
      <c r="F368" t="s">
        <v>368</v>
      </c>
      <c r="G368" t="s">
        <v>369</v>
      </c>
      <c r="H368" t="s">
        <v>368</v>
      </c>
      <c r="I368">
        <v>120</v>
      </c>
      <c r="J368" t="s">
        <v>7</v>
      </c>
      <c r="K368">
        <v>0</v>
      </c>
      <c r="L368" s="5">
        <v>120</v>
      </c>
      <c r="M368">
        <v>468.48</v>
      </c>
      <c r="N368" t="s">
        <v>21</v>
      </c>
      <c r="O368" t="str">
        <f t="shared" si="28"/>
        <v>nM</v>
      </c>
      <c r="R368">
        <v>394</v>
      </c>
      <c r="S368" t="s">
        <v>661</v>
      </c>
      <c r="T368" t="s">
        <v>366</v>
      </c>
      <c r="U368">
        <v>200</v>
      </c>
      <c r="V368" t="s">
        <v>22</v>
      </c>
      <c r="W368" t="s">
        <v>23</v>
      </c>
      <c r="X368">
        <v>0</v>
      </c>
      <c r="Y368">
        <v>1</v>
      </c>
      <c r="AA368" t="s">
        <v>655</v>
      </c>
      <c r="AE368" t="b">
        <v>1</v>
      </c>
    </row>
    <row r="369" spans="1:32" x14ac:dyDescent="0.3">
      <c r="A369" t="s">
        <v>627</v>
      </c>
      <c r="B369" t="s">
        <v>745</v>
      </c>
      <c r="C369" t="b">
        <v>1</v>
      </c>
      <c r="D369" t="s">
        <v>364</v>
      </c>
      <c r="E369" t="s">
        <v>367</v>
      </c>
      <c r="F369" t="s">
        <v>368</v>
      </c>
      <c r="G369" t="s">
        <v>369</v>
      </c>
      <c r="H369" t="s">
        <v>368</v>
      </c>
      <c r="I369">
        <v>24</v>
      </c>
      <c r="J369" t="s">
        <v>6</v>
      </c>
      <c r="K369">
        <v>0</v>
      </c>
      <c r="L369" s="5">
        <v>24</v>
      </c>
      <c r="M369">
        <v>6200</v>
      </c>
      <c r="N369" t="s">
        <v>20</v>
      </c>
      <c r="O369" t="str">
        <f t="shared" si="28"/>
        <v>ng*h/mL</v>
      </c>
      <c r="T369" t="s">
        <v>365</v>
      </c>
      <c r="U369">
        <v>200</v>
      </c>
      <c r="V369" t="s">
        <v>22</v>
      </c>
      <c r="W369" t="s">
        <v>23</v>
      </c>
      <c r="X369">
        <v>0</v>
      </c>
      <c r="Y369">
        <v>1</v>
      </c>
      <c r="AA369" t="s">
        <v>655</v>
      </c>
      <c r="AD369">
        <f xml:space="preserve"> 25.7 * 1.704^2</f>
        <v>74.622931199999996</v>
      </c>
      <c r="AF369" t="s">
        <v>1182</v>
      </c>
    </row>
    <row r="370" spans="1:32" x14ac:dyDescent="0.3">
      <c r="A370" t="s">
        <v>627</v>
      </c>
      <c r="B370" t="s">
        <v>745</v>
      </c>
      <c r="C370" t="b">
        <v>1</v>
      </c>
      <c r="D370" t="s">
        <v>364</v>
      </c>
      <c r="E370" t="s">
        <v>367</v>
      </c>
      <c r="F370" t="s">
        <v>368</v>
      </c>
      <c r="G370" t="s">
        <v>369</v>
      </c>
      <c r="H370" t="s">
        <v>368</v>
      </c>
      <c r="I370">
        <v>24</v>
      </c>
      <c r="J370" t="s">
        <v>7</v>
      </c>
      <c r="K370">
        <v>0</v>
      </c>
      <c r="L370" s="5">
        <v>12</v>
      </c>
      <c r="M370">
        <v>513.66</v>
      </c>
      <c r="N370" t="s">
        <v>21</v>
      </c>
      <c r="O370" t="str">
        <f t="shared" si="28"/>
        <v>nM</v>
      </c>
      <c r="R370">
        <v>432</v>
      </c>
      <c r="S370" t="s">
        <v>661</v>
      </c>
      <c r="T370" t="s">
        <v>372</v>
      </c>
      <c r="U370">
        <v>200</v>
      </c>
      <c r="V370" t="s">
        <v>22</v>
      </c>
      <c r="W370" t="s">
        <v>23</v>
      </c>
      <c r="X370">
        <v>0</v>
      </c>
      <c r="Y370">
        <v>1</v>
      </c>
      <c r="AA370" t="s">
        <v>655</v>
      </c>
      <c r="AD370">
        <f t="shared" ref="AD370:AD373" si="30" xml:space="preserve"> 25.7 * 1.704^2</f>
        <v>74.622931199999996</v>
      </c>
      <c r="AF370" t="s">
        <v>1182</v>
      </c>
    </row>
    <row r="371" spans="1:32" x14ac:dyDescent="0.3">
      <c r="A371" t="s">
        <v>628</v>
      </c>
      <c r="B371" t="s">
        <v>746</v>
      </c>
      <c r="C371" t="b">
        <v>1</v>
      </c>
      <c r="D371" t="s">
        <v>364</v>
      </c>
      <c r="E371" t="s">
        <v>367</v>
      </c>
      <c r="F371" t="s">
        <v>368</v>
      </c>
      <c r="G371" t="s">
        <v>369</v>
      </c>
      <c r="H371" t="s">
        <v>368</v>
      </c>
      <c r="I371">
        <f>2*24+168</f>
        <v>216</v>
      </c>
      <c r="J371" t="s">
        <v>6</v>
      </c>
      <c r="K371">
        <v>48</v>
      </c>
      <c r="L371" s="5" t="s">
        <v>654</v>
      </c>
      <c r="M371">
        <v>16419</v>
      </c>
      <c r="N371" t="s">
        <v>20</v>
      </c>
      <c r="O371" t="str">
        <f t="shared" si="28"/>
        <v>ng*h/mL</v>
      </c>
      <c r="T371" t="s">
        <v>375</v>
      </c>
      <c r="U371">
        <v>200</v>
      </c>
      <c r="V371" t="s">
        <v>22</v>
      </c>
      <c r="W371" t="s">
        <v>23</v>
      </c>
      <c r="X371">
        <v>0</v>
      </c>
      <c r="Y371">
        <v>3</v>
      </c>
      <c r="Z371">
        <v>24</v>
      </c>
      <c r="AA371" t="s">
        <v>655</v>
      </c>
      <c r="AD371">
        <f t="shared" si="30"/>
        <v>74.622931199999996</v>
      </c>
      <c r="AF371" t="s">
        <v>1182</v>
      </c>
    </row>
    <row r="372" spans="1:32" x14ac:dyDescent="0.3">
      <c r="A372" t="s">
        <v>628</v>
      </c>
      <c r="B372" t="s">
        <v>746</v>
      </c>
      <c r="C372" t="b">
        <v>1</v>
      </c>
      <c r="D372" t="s">
        <v>364</v>
      </c>
      <c r="E372" t="s">
        <v>367</v>
      </c>
      <c r="F372" t="s">
        <v>368</v>
      </c>
      <c r="G372" t="s">
        <v>369</v>
      </c>
      <c r="H372" t="s">
        <v>368</v>
      </c>
      <c r="I372">
        <f t="shared" ref="I372:I373" si="31">2*24+168</f>
        <v>216</v>
      </c>
      <c r="J372" t="s">
        <v>6</v>
      </c>
      <c r="K372">
        <v>48</v>
      </c>
      <c r="L372" s="5">
        <v>216</v>
      </c>
      <c r="M372">
        <v>16356</v>
      </c>
      <c r="N372" t="s">
        <v>20</v>
      </c>
      <c r="O372" t="str">
        <f t="shared" si="28"/>
        <v>ng*h/mL</v>
      </c>
      <c r="T372" t="s">
        <v>374</v>
      </c>
      <c r="U372">
        <v>200</v>
      </c>
      <c r="V372" t="s">
        <v>22</v>
      </c>
      <c r="W372" t="s">
        <v>23</v>
      </c>
      <c r="X372">
        <v>0</v>
      </c>
      <c r="Y372">
        <v>3</v>
      </c>
      <c r="Z372">
        <v>24</v>
      </c>
      <c r="AA372" t="s">
        <v>655</v>
      </c>
      <c r="AD372">
        <f t="shared" si="30"/>
        <v>74.622931199999996</v>
      </c>
      <c r="AF372" t="s">
        <v>1182</v>
      </c>
    </row>
    <row r="373" spans="1:32" x14ac:dyDescent="0.3">
      <c r="A373" t="s">
        <v>628</v>
      </c>
      <c r="B373" t="s">
        <v>746</v>
      </c>
      <c r="C373" t="b">
        <v>1</v>
      </c>
      <c r="D373" t="s">
        <v>364</v>
      </c>
      <c r="E373" t="s">
        <v>367</v>
      </c>
      <c r="F373" t="s">
        <v>368</v>
      </c>
      <c r="G373" t="s">
        <v>369</v>
      </c>
      <c r="H373" t="s">
        <v>368</v>
      </c>
      <c r="I373">
        <f t="shared" si="31"/>
        <v>216</v>
      </c>
      <c r="J373" t="s">
        <v>7</v>
      </c>
      <c r="K373">
        <v>48</v>
      </c>
      <c r="L373" s="5">
        <v>216</v>
      </c>
      <c r="M373">
        <v>664.67</v>
      </c>
      <c r="N373" t="s">
        <v>21</v>
      </c>
      <c r="O373" t="str">
        <f t="shared" si="28"/>
        <v>nM</v>
      </c>
      <c r="R373">
        <v>559</v>
      </c>
      <c r="S373" t="s">
        <v>661</v>
      </c>
      <c r="T373" t="s">
        <v>373</v>
      </c>
      <c r="U373">
        <v>200</v>
      </c>
      <c r="V373" t="s">
        <v>22</v>
      </c>
      <c r="W373" t="s">
        <v>23</v>
      </c>
      <c r="X373">
        <v>0</v>
      </c>
      <c r="Y373">
        <v>3</v>
      </c>
      <c r="Z373">
        <v>24</v>
      </c>
      <c r="AA373" t="s">
        <v>655</v>
      </c>
      <c r="AD373">
        <f t="shared" si="30"/>
        <v>74.622931199999996</v>
      </c>
      <c r="AF373" t="s">
        <v>1182</v>
      </c>
    </row>
    <row r="374" spans="1:32" x14ac:dyDescent="0.3">
      <c r="A374" t="s">
        <v>629</v>
      </c>
      <c r="B374" t="s">
        <v>747</v>
      </c>
      <c r="C374" t="b">
        <v>1</v>
      </c>
      <c r="D374" t="s">
        <v>364</v>
      </c>
      <c r="E374" t="s">
        <v>367</v>
      </c>
      <c r="F374" t="s">
        <v>368</v>
      </c>
      <c r="G374" t="s">
        <v>369</v>
      </c>
      <c r="H374" t="s">
        <v>368</v>
      </c>
      <c r="I374">
        <v>24</v>
      </c>
      <c r="J374" t="s">
        <v>6</v>
      </c>
      <c r="K374">
        <v>0</v>
      </c>
      <c r="L374" s="5">
        <v>24</v>
      </c>
      <c r="M374">
        <v>8103</v>
      </c>
      <c r="N374" t="s">
        <v>20</v>
      </c>
      <c r="O374" t="str">
        <f t="shared" si="28"/>
        <v>ng*h/mL</v>
      </c>
      <c r="T374" t="s">
        <v>376</v>
      </c>
      <c r="U374">
        <v>400</v>
      </c>
      <c r="V374" t="s">
        <v>22</v>
      </c>
      <c r="W374" t="s">
        <v>23</v>
      </c>
      <c r="X374">
        <v>0</v>
      </c>
      <c r="Y374">
        <v>1</v>
      </c>
      <c r="AA374" t="s">
        <v>655</v>
      </c>
      <c r="AD374">
        <f xml:space="preserve"> 25.8 * 1.704^2</f>
        <v>74.913292800000008</v>
      </c>
      <c r="AF374" t="s">
        <v>1183</v>
      </c>
    </row>
    <row r="375" spans="1:32" x14ac:dyDescent="0.3">
      <c r="A375" t="s">
        <v>629</v>
      </c>
      <c r="B375" t="s">
        <v>747</v>
      </c>
      <c r="C375" t="b">
        <v>1</v>
      </c>
      <c r="D375" t="s">
        <v>364</v>
      </c>
      <c r="E375" t="s">
        <v>367</v>
      </c>
      <c r="F375" t="s">
        <v>368</v>
      </c>
      <c r="G375" t="s">
        <v>369</v>
      </c>
      <c r="H375" t="s">
        <v>368</v>
      </c>
      <c r="I375">
        <v>24</v>
      </c>
      <c r="J375" t="s">
        <v>7</v>
      </c>
      <c r="K375">
        <v>0</v>
      </c>
      <c r="L375" s="5">
        <v>12</v>
      </c>
      <c r="M375">
        <v>651.59</v>
      </c>
      <c r="N375" t="s">
        <v>21</v>
      </c>
      <c r="O375" t="str">
        <f t="shared" si="28"/>
        <v>nM</v>
      </c>
      <c r="R375">
        <v>548</v>
      </c>
      <c r="S375" t="s">
        <v>661</v>
      </c>
      <c r="T375" t="s">
        <v>377</v>
      </c>
      <c r="U375">
        <v>400</v>
      </c>
      <c r="V375" t="s">
        <v>22</v>
      </c>
      <c r="W375" t="s">
        <v>23</v>
      </c>
      <c r="X375">
        <v>0</v>
      </c>
      <c r="Y375">
        <v>1</v>
      </c>
      <c r="AA375" t="s">
        <v>655</v>
      </c>
      <c r="AD375">
        <f t="shared" ref="AD375:AD378" si="32" xml:space="preserve"> 25.8 * 1.704^2</f>
        <v>74.913292800000008</v>
      </c>
      <c r="AF375" t="s">
        <v>1183</v>
      </c>
    </row>
    <row r="376" spans="1:32" x14ac:dyDescent="0.3">
      <c r="A376" t="s">
        <v>630</v>
      </c>
      <c r="B376" t="s">
        <v>748</v>
      </c>
      <c r="C376" t="b">
        <v>1</v>
      </c>
      <c r="D376" t="s">
        <v>364</v>
      </c>
      <c r="E376" t="s">
        <v>367</v>
      </c>
      <c r="F376" t="s">
        <v>368</v>
      </c>
      <c r="G376" t="s">
        <v>369</v>
      </c>
      <c r="H376" t="s">
        <v>368</v>
      </c>
      <c r="I376">
        <f>2*24+168</f>
        <v>216</v>
      </c>
      <c r="J376" t="s">
        <v>6</v>
      </c>
      <c r="K376">
        <v>48</v>
      </c>
      <c r="L376" s="5" t="s">
        <v>654</v>
      </c>
      <c r="M376">
        <v>15009</v>
      </c>
      <c r="N376" t="s">
        <v>20</v>
      </c>
      <c r="O376" t="str">
        <f t="shared" si="28"/>
        <v>ng*h/mL</v>
      </c>
      <c r="T376" t="s">
        <v>893</v>
      </c>
      <c r="U376">
        <v>200</v>
      </c>
      <c r="V376" t="s">
        <v>22</v>
      </c>
      <c r="W376" t="s">
        <v>23</v>
      </c>
      <c r="X376">
        <v>0</v>
      </c>
      <c r="Y376">
        <v>5</v>
      </c>
      <c r="Z376">
        <v>12</v>
      </c>
      <c r="AD376">
        <f t="shared" si="32"/>
        <v>74.913292800000008</v>
      </c>
      <c r="AF376" t="s">
        <v>1183</v>
      </c>
    </row>
    <row r="377" spans="1:32" x14ac:dyDescent="0.3">
      <c r="A377" t="s">
        <v>630</v>
      </c>
      <c r="B377" t="s">
        <v>748</v>
      </c>
      <c r="C377" t="b">
        <v>1</v>
      </c>
      <c r="D377" t="s">
        <v>364</v>
      </c>
      <c r="E377" t="s">
        <v>367</v>
      </c>
      <c r="F377" t="s">
        <v>368</v>
      </c>
      <c r="G377" t="s">
        <v>369</v>
      </c>
      <c r="H377" t="s">
        <v>368</v>
      </c>
      <c r="I377">
        <f>2*24+168</f>
        <v>216</v>
      </c>
      <c r="J377" t="s">
        <v>6</v>
      </c>
      <c r="K377">
        <v>48</v>
      </c>
      <c r="L377" s="5">
        <v>216</v>
      </c>
      <c r="M377">
        <v>15009</v>
      </c>
      <c r="N377" t="s">
        <v>20</v>
      </c>
      <c r="O377" t="str">
        <f t="shared" si="28"/>
        <v>ng*h/mL</v>
      </c>
      <c r="T377" t="s">
        <v>378</v>
      </c>
      <c r="U377">
        <v>200</v>
      </c>
      <c r="V377" t="s">
        <v>22</v>
      </c>
      <c r="W377" t="s">
        <v>23</v>
      </c>
      <c r="X377">
        <v>0</v>
      </c>
      <c r="Y377">
        <v>5</v>
      </c>
      <c r="Z377">
        <v>12</v>
      </c>
      <c r="AD377">
        <f t="shared" si="32"/>
        <v>74.913292800000008</v>
      </c>
      <c r="AF377" t="s">
        <v>1183</v>
      </c>
    </row>
    <row r="378" spans="1:32" x14ac:dyDescent="0.3">
      <c r="A378" t="s">
        <v>630</v>
      </c>
      <c r="B378" t="s">
        <v>748</v>
      </c>
      <c r="C378" t="b">
        <v>1</v>
      </c>
      <c r="D378" t="s">
        <v>364</v>
      </c>
      <c r="E378" t="s">
        <v>367</v>
      </c>
      <c r="F378" t="s">
        <v>368</v>
      </c>
      <c r="G378" t="s">
        <v>369</v>
      </c>
      <c r="H378" t="s">
        <v>368</v>
      </c>
      <c r="I378">
        <f>2*24+168</f>
        <v>216</v>
      </c>
      <c r="J378" t="s">
        <v>7</v>
      </c>
      <c r="K378">
        <f>2*24</f>
        <v>48</v>
      </c>
      <c r="L378" s="5">
        <v>216</v>
      </c>
      <c r="M378">
        <v>611.16</v>
      </c>
      <c r="N378" t="s">
        <v>21</v>
      </c>
      <c r="O378" t="str">
        <f t="shared" si="28"/>
        <v>nM</v>
      </c>
      <c r="R378">
        <v>514</v>
      </c>
      <c r="S378" t="s">
        <v>661</v>
      </c>
      <c r="T378" t="s">
        <v>379</v>
      </c>
      <c r="U378">
        <v>200</v>
      </c>
      <c r="V378" t="s">
        <v>22</v>
      </c>
      <c r="W378" t="s">
        <v>23</v>
      </c>
      <c r="X378">
        <v>0</v>
      </c>
      <c r="Y378">
        <v>5</v>
      </c>
      <c r="Z378">
        <v>12</v>
      </c>
      <c r="AD378">
        <f t="shared" si="32"/>
        <v>74.913292800000008</v>
      </c>
      <c r="AF378" t="s">
        <v>1183</v>
      </c>
    </row>
    <row r="379" spans="1:32" x14ac:dyDescent="0.3">
      <c r="A379" t="s">
        <v>631</v>
      </c>
      <c r="B379" t="s">
        <v>749</v>
      </c>
      <c r="C379" t="b">
        <v>1</v>
      </c>
      <c r="D379" t="s">
        <v>386</v>
      </c>
      <c r="E379" t="s">
        <v>389</v>
      </c>
      <c r="F379" t="s">
        <v>390</v>
      </c>
      <c r="G379" t="s">
        <v>391</v>
      </c>
      <c r="H379" t="s">
        <v>390</v>
      </c>
      <c r="I379">
        <v>12</v>
      </c>
      <c r="J379" t="s">
        <v>6</v>
      </c>
      <c r="K379">
        <v>0</v>
      </c>
      <c r="L379" s="5" t="s">
        <v>654</v>
      </c>
      <c r="M379">
        <v>32500</v>
      </c>
      <c r="N379" t="s">
        <v>20</v>
      </c>
      <c r="O379" t="str">
        <f t="shared" si="28"/>
        <v>ng*h/mL</v>
      </c>
      <c r="T379" t="s">
        <v>387</v>
      </c>
      <c r="U379">
        <v>500</v>
      </c>
      <c r="V379" t="s">
        <v>22</v>
      </c>
      <c r="W379" t="s">
        <v>663</v>
      </c>
      <c r="X379">
        <v>0</v>
      </c>
      <c r="Y379">
        <v>1</v>
      </c>
      <c r="AA379" t="s">
        <v>655</v>
      </c>
      <c r="AB379">
        <v>1</v>
      </c>
      <c r="AC379" t="s">
        <v>655</v>
      </c>
      <c r="AD379">
        <v>87.6</v>
      </c>
      <c r="AE379" t="b">
        <v>0</v>
      </c>
    </row>
    <row r="380" spans="1:32" x14ac:dyDescent="0.3">
      <c r="A380" t="s">
        <v>631</v>
      </c>
      <c r="B380" t="s">
        <v>749</v>
      </c>
      <c r="C380" t="b">
        <v>1</v>
      </c>
      <c r="D380" t="s">
        <v>386</v>
      </c>
      <c r="E380" t="s">
        <v>389</v>
      </c>
      <c r="F380" t="s">
        <v>390</v>
      </c>
      <c r="G380" t="s">
        <v>391</v>
      </c>
      <c r="H380" t="s">
        <v>390</v>
      </c>
      <c r="I380">
        <v>12</v>
      </c>
      <c r="J380" t="s">
        <v>6</v>
      </c>
      <c r="K380">
        <v>0</v>
      </c>
      <c r="L380" s="5">
        <v>12</v>
      </c>
      <c r="M380">
        <v>32100</v>
      </c>
      <c r="N380" t="s">
        <v>20</v>
      </c>
      <c r="O380" t="str">
        <f t="shared" si="28"/>
        <v>ng*h/mL</v>
      </c>
      <c r="T380" t="s">
        <v>894</v>
      </c>
      <c r="U380">
        <v>500</v>
      </c>
      <c r="V380" t="s">
        <v>22</v>
      </c>
      <c r="W380" t="s">
        <v>663</v>
      </c>
      <c r="X380">
        <v>0</v>
      </c>
      <c r="Y380">
        <v>1</v>
      </c>
      <c r="AA380" t="s">
        <v>655</v>
      </c>
      <c r="AB380">
        <v>1</v>
      </c>
      <c r="AC380" t="s">
        <v>655</v>
      </c>
      <c r="AD380">
        <v>87.6</v>
      </c>
      <c r="AE380" t="b">
        <v>0</v>
      </c>
    </row>
    <row r="381" spans="1:32" x14ac:dyDescent="0.3">
      <c r="A381" t="s">
        <v>631</v>
      </c>
      <c r="B381" t="s">
        <v>749</v>
      </c>
      <c r="C381" t="b">
        <v>1</v>
      </c>
      <c r="D381" t="s">
        <v>386</v>
      </c>
      <c r="E381" t="s">
        <v>389</v>
      </c>
      <c r="F381" t="s">
        <v>390</v>
      </c>
      <c r="G381" t="s">
        <v>391</v>
      </c>
      <c r="H381" t="s">
        <v>390</v>
      </c>
      <c r="I381">
        <v>12</v>
      </c>
      <c r="J381" t="s">
        <v>7</v>
      </c>
      <c r="K381">
        <v>0</v>
      </c>
      <c r="L381" s="5">
        <v>12</v>
      </c>
      <c r="M381">
        <v>42567.360000000001</v>
      </c>
      <c r="N381" t="s">
        <v>21</v>
      </c>
      <c r="O381" t="str">
        <f t="shared" si="28"/>
        <v>nM</v>
      </c>
      <c r="R381">
        <v>17.899999999999999</v>
      </c>
      <c r="S381" t="s">
        <v>660</v>
      </c>
      <c r="T381" t="s">
        <v>388</v>
      </c>
      <c r="U381">
        <v>500</v>
      </c>
      <c r="V381" t="s">
        <v>22</v>
      </c>
      <c r="W381" t="s">
        <v>663</v>
      </c>
      <c r="X381">
        <v>0</v>
      </c>
      <c r="Y381">
        <v>1</v>
      </c>
      <c r="AA381" t="s">
        <v>655</v>
      </c>
      <c r="AB381">
        <v>1</v>
      </c>
      <c r="AC381" t="s">
        <v>655</v>
      </c>
      <c r="AD381">
        <v>87.6</v>
      </c>
      <c r="AE381" t="b">
        <v>0</v>
      </c>
    </row>
    <row r="382" spans="1:32" x14ac:dyDescent="0.3">
      <c r="A382" t="s">
        <v>632</v>
      </c>
      <c r="B382" t="s">
        <v>750</v>
      </c>
      <c r="C382" t="b">
        <v>1</v>
      </c>
      <c r="D382" t="s">
        <v>392</v>
      </c>
      <c r="E382" t="s">
        <v>395</v>
      </c>
      <c r="F382" t="s">
        <v>396</v>
      </c>
      <c r="G382" t="s">
        <v>1175</v>
      </c>
      <c r="H382" t="s">
        <v>397</v>
      </c>
      <c r="I382" s="2">
        <v>24</v>
      </c>
      <c r="J382" t="s">
        <v>6</v>
      </c>
      <c r="K382" s="2">
        <v>0</v>
      </c>
      <c r="L382" s="6" t="s">
        <v>654</v>
      </c>
      <c r="M382">
        <v>4659.5600000000004</v>
      </c>
      <c r="N382" t="s">
        <v>20</v>
      </c>
      <c r="O382" t="str">
        <f t="shared" si="28"/>
        <v>ng*h/mL</v>
      </c>
      <c r="R382">
        <v>19</v>
      </c>
      <c r="S382" t="s">
        <v>789</v>
      </c>
      <c r="T382" t="s">
        <v>393</v>
      </c>
      <c r="U382">
        <v>1</v>
      </c>
      <c r="V382" t="s">
        <v>115</v>
      </c>
      <c r="W382" t="s">
        <v>23</v>
      </c>
      <c r="X382" s="2">
        <v>0</v>
      </c>
      <c r="Y382" s="2">
        <v>1</v>
      </c>
      <c r="AA382" t="s">
        <v>655</v>
      </c>
    </row>
    <row r="383" spans="1:32" x14ac:dyDescent="0.3">
      <c r="A383" t="s">
        <v>632</v>
      </c>
      <c r="B383" t="s">
        <v>750</v>
      </c>
      <c r="C383" t="b">
        <v>1</v>
      </c>
      <c r="D383" t="s">
        <v>392</v>
      </c>
      <c r="E383" t="s">
        <v>395</v>
      </c>
      <c r="F383" t="s">
        <v>396</v>
      </c>
      <c r="G383" t="s">
        <v>1175</v>
      </c>
      <c r="H383" t="s">
        <v>397</v>
      </c>
      <c r="I383" s="2">
        <v>24</v>
      </c>
      <c r="J383" t="s">
        <v>7</v>
      </c>
      <c r="K383" s="2">
        <v>0</v>
      </c>
      <c r="L383" s="6" t="s">
        <v>654</v>
      </c>
      <c r="M383">
        <v>3000</v>
      </c>
      <c r="N383" t="s">
        <v>21</v>
      </c>
      <c r="O383" t="str">
        <f t="shared" si="28"/>
        <v>nM</v>
      </c>
      <c r="T383" t="s">
        <v>394</v>
      </c>
      <c r="U383">
        <v>1</v>
      </c>
      <c r="V383" t="s">
        <v>115</v>
      </c>
      <c r="W383" t="s">
        <v>23</v>
      </c>
      <c r="X383" s="2">
        <v>0</v>
      </c>
      <c r="Y383" s="2">
        <v>1</v>
      </c>
      <c r="AA383" t="s">
        <v>655</v>
      </c>
    </row>
    <row r="384" spans="1:32" x14ac:dyDescent="0.3">
      <c r="A384" t="s">
        <v>633</v>
      </c>
      <c r="B384" t="s">
        <v>751</v>
      </c>
      <c r="C384" t="b">
        <v>1</v>
      </c>
      <c r="D384" t="s">
        <v>398</v>
      </c>
      <c r="E384" t="s">
        <v>401</v>
      </c>
      <c r="F384" t="s">
        <v>402</v>
      </c>
      <c r="G384" t="s">
        <v>403</v>
      </c>
      <c r="H384" t="s">
        <v>402</v>
      </c>
      <c r="I384" s="2">
        <v>24</v>
      </c>
      <c r="J384" t="s">
        <v>6</v>
      </c>
      <c r="K384">
        <v>0</v>
      </c>
      <c r="L384" s="5" t="s">
        <v>654</v>
      </c>
      <c r="M384">
        <v>13758</v>
      </c>
      <c r="N384" t="s">
        <v>20</v>
      </c>
      <c r="O384" t="str">
        <f t="shared" si="28"/>
        <v>ng*h/mL</v>
      </c>
      <c r="T384" t="s">
        <v>399</v>
      </c>
      <c r="U384">
        <v>400</v>
      </c>
      <c r="V384" t="s">
        <v>22</v>
      </c>
      <c r="W384" s="2" t="s">
        <v>23</v>
      </c>
      <c r="X384">
        <v>0</v>
      </c>
      <c r="Y384">
        <v>1</v>
      </c>
      <c r="AA384" t="s">
        <v>655</v>
      </c>
    </row>
    <row r="385" spans="1:31" x14ac:dyDescent="0.3">
      <c r="A385" t="s">
        <v>633</v>
      </c>
      <c r="B385" t="s">
        <v>751</v>
      </c>
      <c r="C385" t="b">
        <v>1</v>
      </c>
      <c r="D385" t="s">
        <v>398</v>
      </c>
      <c r="E385" t="s">
        <v>401</v>
      </c>
      <c r="F385" t="s">
        <v>402</v>
      </c>
      <c r="G385" t="s">
        <v>403</v>
      </c>
      <c r="H385" t="s">
        <v>402</v>
      </c>
      <c r="I385" s="2">
        <v>24</v>
      </c>
      <c r="J385" t="s">
        <v>7</v>
      </c>
      <c r="K385">
        <v>0</v>
      </c>
      <c r="L385" s="5" t="s">
        <v>654</v>
      </c>
      <c r="M385">
        <v>4941.6899999999996</v>
      </c>
      <c r="N385" t="s">
        <v>21</v>
      </c>
      <c r="O385" t="str">
        <f t="shared" si="28"/>
        <v>nM</v>
      </c>
      <c r="R385">
        <v>1890</v>
      </c>
      <c r="S385" t="s">
        <v>661</v>
      </c>
      <c r="T385" t="s">
        <v>400</v>
      </c>
      <c r="U385">
        <v>400</v>
      </c>
      <c r="V385" t="s">
        <v>22</v>
      </c>
      <c r="W385" s="2" t="s">
        <v>23</v>
      </c>
      <c r="X385">
        <v>0</v>
      </c>
      <c r="Y385">
        <v>1</v>
      </c>
      <c r="AA385" t="s">
        <v>655</v>
      </c>
    </row>
    <row r="386" spans="1:31" x14ac:dyDescent="0.3">
      <c r="A386" t="s">
        <v>634</v>
      </c>
      <c r="B386" t="s">
        <v>752</v>
      </c>
      <c r="C386" t="b">
        <v>1</v>
      </c>
      <c r="D386" t="s">
        <v>404</v>
      </c>
      <c r="E386" t="s">
        <v>405</v>
      </c>
      <c r="F386" t="s">
        <v>406</v>
      </c>
      <c r="G386" t="s">
        <v>1177</v>
      </c>
      <c r="H386" t="s">
        <v>407</v>
      </c>
      <c r="I386">
        <v>6</v>
      </c>
      <c r="J386" t="s">
        <v>6</v>
      </c>
      <c r="K386">
        <v>0</v>
      </c>
      <c r="L386" s="5" t="s">
        <v>654</v>
      </c>
      <c r="M386">
        <v>1162</v>
      </c>
      <c r="N386" t="s">
        <v>20</v>
      </c>
      <c r="O386" t="str">
        <f t="shared" si="28"/>
        <v>ng*h/mL</v>
      </c>
      <c r="T386" t="s">
        <v>896</v>
      </c>
      <c r="U386">
        <v>25</v>
      </c>
      <c r="V386" t="s">
        <v>22</v>
      </c>
      <c r="W386" t="s">
        <v>23</v>
      </c>
      <c r="X386">
        <v>0</v>
      </c>
      <c r="Y386">
        <v>1</v>
      </c>
      <c r="AA386" t="s">
        <v>655</v>
      </c>
      <c r="AE386" t="b">
        <v>0</v>
      </c>
    </row>
    <row r="387" spans="1:31" x14ac:dyDescent="0.3">
      <c r="A387" t="s">
        <v>634</v>
      </c>
      <c r="B387" t="s">
        <v>752</v>
      </c>
      <c r="C387" t="b">
        <v>1</v>
      </c>
      <c r="D387" t="s">
        <v>404</v>
      </c>
      <c r="E387" t="s">
        <v>405</v>
      </c>
      <c r="F387" t="s">
        <v>406</v>
      </c>
      <c r="G387" t="s">
        <v>1177</v>
      </c>
      <c r="H387" t="s">
        <v>407</v>
      </c>
      <c r="I387">
        <v>6</v>
      </c>
      <c r="J387" t="s">
        <v>7</v>
      </c>
      <c r="K387">
        <v>0</v>
      </c>
      <c r="L387" s="5" t="s">
        <v>654</v>
      </c>
      <c r="M387">
        <v>1472.44</v>
      </c>
      <c r="N387" t="s">
        <v>21</v>
      </c>
      <c r="O387" t="str">
        <f t="shared" ref="O387:O450" si="33">IF(EXACT(N387,"ng.hr.mL-1"),"ng*h/mL",IF(EXACT(N387,"ug.mL-1"),"ug/mL",N387))</f>
        <v>nM</v>
      </c>
      <c r="R387">
        <v>784</v>
      </c>
      <c r="S387" t="s">
        <v>661</v>
      </c>
      <c r="T387" t="s">
        <v>897</v>
      </c>
      <c r="U387">
        <v>25</v>
      </c>
      <c r="V387" t="s">
        <v>22</v>
      </c>
      <c r="W387" t="s">
        <v>23</v>
      </c>
      <c r="X387">
        <v>0</v>
      </c>
      <c r="Y387">
        <v>1</v>
      </c>
      <c r="AA387" t="s">
        <v>655</v>
      </c>
      <c r="AE387" t="b">
        <v>0</v>
      </c>
    </row>
    <row r="388" spans="1:31" x14ac:dyDescent="0.3">
      <c r="A388" t="s">
        <v>1103</v>
      </c>
      <c r="B388" t="s">
        <v>1104</v>
      </c>
      <c r="C388" t="b">
        <v>1</v>
      </c>
      <c r="D388" t="s">
        <v>404</v>
      </c>
      <c r="E388" t="s">
        <v>405</v>
      </c>
      <c r="F388" t="s">
        <v>406</v>
      </c>
      <c r="G388" t="s">
        <v>1177</v>
      </c>
      <c r="H388" t="s">
        <v>407</v>
      </c>
      <c r="I388">
        <v>8</v>
      </c>
      <c r="J388" t="s">
        <v>6</v>
      </c>
      <c r="K388">
        <v>0</v>
      </c>
      <c r="L388" s="5" t="s">
        <v>654</v>
      </c>
      <c r="M388">
        <v>2151</v>
      </c>
      <c r="N388" t="s">
        <v>20</v>
      </c>
      <c r="O388" t="str">
        <f t="shared" si="33"/>
        <v>ng*h/mL</v>
      </c>
      <c r="T388" t="s">
        <v>898</v>
      </c>
      <c r="U388">
        <v>50</v>
      </c>
      <c r="V388" t="s">
        <v>22</v>
      </c>
      <c r="W388" t="s">
        <v>23</v>
      </c>
      <c r="X388">
        <v>0</v>
      </c>
      <c r="Y388">
        <v>1</v>
      </c>
      <c r="AA388" t="s">
        <v>655</v>
      </c>
      <c r="AE388" t="b">
        <v>0</v>
      </c>
    </row>
    <row r="389" spans="1:31" x14ac:dyDescent="0.3">
      <c r="A389" t="s">
        <v>1103</v>
      </c>
      <c r="B389" t="s">
        <v>1104</v>
      </c>
      <c r="C389" t="b">
        <v>1</v>
      </c>
      <c r="D389" t="s">
        <v>404</v>
      </c>
      <c r="E389" t="s">
        <v>405</v>
      </c>
      <c r="F389" t="s">
        <v>406</v>
      </c>
      <c r="G389" t="s">
        <v>1177</v>
      </c>
      <c r="H389" t="s">
        <v>407</v>
      </c>
      <c r="I389">
        <v>8</v>
      </c>
      <c r="J389" t="s">
        <v>7</v>
      </c>
      <c r="K389">
        <v>0</v>
      </c>
      <c r="L389" s="5" t="s">
        <v>654</v>
      </c>
      <c r="M389">
        <v>2574.89</v>
      </c>
      <c r="N389" t="s">
        <v>21</v>
      </c>
      <c r="O389" t="str">
        <f t="shared" si="33"/>
        <v>nM</v>
      </c>
      <c r="R389">
        <v>1371</v>
      </c>
      <c r="S389" t="s">
        <v>661</v>
      </c>
      <c r="T389" t="s">
        <v>899</v>
      </c>
      <c r="U389">
        <v>50</v>
      </c>
      <c r="V389" t="s">
        <v>22</v>
      </c>
      <c r="W389" t="s">
        <v>23</v>
      </c>
      <c r="X389">
        <v>0</v>
      </c>
      <c r="Y389">
        <v>1</v>
      </c>
      <c r="AA389" t="s">
        <v>655</v>
      </c>
      <c r="AE389" t="b">
        <v>0</v>
      </c>
    </row>
    <row r="390" spans="1:31" x14ac:dyDescent="0.3">
      <c r="A390" t="s">
        <v>635</v>
      </c>
      <c r="B390" t="s">
        <v>753</v>
      </c>
      <c r="C390" t="b">
        <v>1</v>
      </c>
      <c r="D390" t="s">
        <v>404</v>
      </c>
      <c r="E390" t="s">
        <v>405</v>
      </c>
      <c r="F390" t="s">
        <v>406</v>
      </c>
      <c r="G390" t="s">
        <v>1177</v>
      </c>
      <c r="H390" t="s">
        <v>407</v>
      </c>
      <c r="I390">
        <v>12</v>
      </c>
      <c r="J390" t="s">
        <v>6</v>
      </c>
      <c r="K390">
        <v>0</v>
      </c>
      <c r="L390" s="5" t="s">
        <v>654</v>
      </c>
      <c r="M390">
        <v>5727</v>
      </c>
      <c r="N390" t="s">
        <v>20</v>
      </c>
      <c r="O390" t="str">
        <f t="shared" si="33"/>
        <v>ng*h/mL</v>
      </c>
      <c r="T390" t="s">
        <v>900</v>
      </c>
      <c r="U390">
        <v>100</v>
      </c>
      <c r="V390" t="s">
        <v>22</v>
      </c>
      <c r="W390" t="s">
        <v>23</v>
      </c>
      <c r="X390">
        <v>0</v>
      </c>
      <c r="Y390">
        <v>1</v>
      </c>
      <c r="AA390" t="s">
        <v>655</v>
      </c>
      <c r="AE390" t="b">
        <v>0</v>
      </c>
    </row>
    <row r="391" spans="1:31" x14ac:dyDescent="0.3">
      <c r="A391" t="s">
        <v>635</v>
      </c>
      <c r="B391" t="s">
        <v>753</v>
      </c>
      <c r="C391" t="b">
        <v>1</v>
      </c>
      <c r="D391" t="s">
        <v>404</v>
      </c>
      <c r="E391" t="s">
        <v>405</v>
      </c>
      <c r="F391" t="s">
        <v>406</v>
      </c>
      <c r="G391" t="s">
        <v>1177</v>
      </c>
      <c r="H391" t="s">
        <v>407</v>
      </c>
      <c r="I391">
        <v>12</v>
      </c>
      <c r="J391" t="s">
        <v>7</v>
      </c>
      <c r="K391">
        <v>0</v>
      </c>
      <c r="L391" s="5" t="s">
        <v>654</v>
      </c>
      <c r="M391">
        <v>6860.74</v>
      </c>
      <c r="N391" t="s">
        <v>21</v>
      </c>
      <c r="O391" t="str">
        <f t="shared" si="33"/>
        <v>nM</v>
      </c>
      <c r="R391">
        <v>3653</v>
      </c>
      <c r="S391" t="s">
        <v>661</v>
      </c>
      <c r="T391" t="s">
        <v>901</v>
      </c>
      <c r="U391">
        <v>100</v>
      </c>
      <c r="V391" t="s">
        <v>22</v>
      </c>
      <c r="W391" t="s">
        <v>23</v>
      </c>
      <c r="X391">
        <v>0</v>
      </c>
      <c r="Y391">
        <v>1</v>
      </c>
      <c r="AA391" t="s">
        <v>655</v>
      </c>
      <c r="AE391" t="b">
        <v>0</v>
      </c>
    </row>
    <row r="392" spans="1:31" x14ac:dyDescent="0.3">
      <c r="A392" t="s">
        <v>635</v>
      </c>
      <c r="B392" t="s">
        <v>753</v>
      </c>
      <c r="C392" t="b">
        <v>1</v>
      </c>
      <c r="D392" t="s">
        <v>404</v>
      </c>
      <c r="E392" t="s">
        <v>405</v>
      </c>
      <c r="F392" t="s">
        <v>406</v>
      </c>
      <c r="G392" t="s">
        <v>1177</v>
      </c>
      <c r="H392" t="s">
        <v>407</v>
      </c>
      <c r="I392">
        <v>24</v>
      </c>
      <c r="J392" t="s">
        <v>828</v>
      </c>
      <c r="K392">
        <v>12</v>
      </c>
      <c r="L392" s="5">
        <v>12</v>
      </c>
      <c r="M392">
        <v>22.54</v>
      </c>
      <c r="N392" t="s">
        <v>21</v>
      </c>
      <c r="O392" t="str">
        <f t="shared" si="33"/>
        <v>nM</v>
      </c>
      <c r="R392">
        <v>12</v>
      </c>
      <c r="S392" t="s">
        <v>661</v>
      </c>
      <c r="T392" t="s">
        <v>902</v>
      </c>
      <c r="U392">
        <v>100</v>
      </c>
      <c r="V392" t="s">
        <v>22</v>
      </c>
      <c r="W392" t="s">
        <v>23</v>
      </c>
      <c r="X392">
        <v>0</v>
      </c>
      <c r="Y392">
        <v>1</v>
      </c>
      <c r="AA392" t="s">
        <v>655</v>
      </c>
      <c r="AE392" t="b">
        <v>0</v>
      </c>
    </row>
    <row r="393" spans="1:31" x14ac:dyDescent="0.3">
      <c r="A393" t="s">
        <v>1105</v>
      </c>
      <c r="B393" t="s">
        <v>1106</v>
      </c>
      <c r="C393" t="b">
        <v>1</v>
      </c>
      <c r="D393" t="s">
        <v>404</v>
      </c>
      <c r="E393" t="s">
        <v>405</v>
      </c>
      <c r="F393" t="s">
        <v>406</v>
      </c>
      <c r="G393" t="s">
        <v>1177</v>
      </c>
      <c r="H393" t="s">
        <v>407</v>
      </c>
      <c r="I393">
        <v>24</v>
      </c>
      <c r="J393" t="s">
        <v>6</v>
      </c>
      <c r="K393">
        <v>0</v>
      </c>
      <c r="L393" s="5" t="s">
        <v>654</v>
      </c>
      <c r="M393">
        <v>14157</v>
      </c>
      <c r="N393" t="s">
        <v>20</v>
      </c>
      <c r="O393" t="str">
        <f t="shared" si="33"/>
        <v>ng*h/mL</v>
      </c>
      <c r="T393" t="s">
        <v>903</v>
      </c>
      <c r="U393">
        <v>200</v>
      </c>
      <c r="V393" t="s">
        <v>22</v>
      </c>
      <c r="W393" t="s">
        <v>23</v>
      </c>
      <c r="X393">
        <v>0</v>
      </c>
      <c r="Y393">
        <v>1</v>
      </c>
      <c r="AA393" t="s">
        <v>655</v>
      </c>
      <c r="AE393" t="b">
        <v>0</v>
      </c>
    </row>
    <row r="394" spans="1:31" x14ac:dyDescent="0.3">
      <c r="A394" t="s">
        <v>1105</v>
      </c>
      <c r="B394" t="s">
        <v>1106</v>
      </c>
      <c r="C394" t="b">
        <v>1</v>
      </c>
      <c r="D394" t="s">
        <v>404</v>
      </c>
      <c r="E394" t="s">
        <v>405</v>
      </c>
      <c r="F394" t="s">
        <v>406</v>
      </c>
      <c r="G394" t="s">
        <v>1177</v>
      </c>
      <c r="H394" t="s">
        <v>407</v>
      </c>
      <c r="I394">
        <v>24</v>
      </c>
      <c r="J394" t="s">
        <v>7</v>
      </c>
      <c r="K394">
        <v>0</v>
      </c>
      <c r="L394" s="5" t="s">
        <v>654</v>
      </c>
      <c r="M394">
        <v>15811.81</v>
      </c>
      <c r="N394" t="s">
        <v>21</v>
      </c>
      <c r="O394" t="str">
        <f t="shared" si="33"/>
        <v>nM</v>
      </c>
      <c r="R394">
        <v>8419</v>
      </c>
      <c r="S394" t="s">
        <v>661</v>
      </c>
      <c r="T394" t="s">
        <v>904</v>
      </c>
      <c r="U394">
        <v>200</v>
      </c>
      <c r="V394" t="s">
        <v>22</v>
      </c>
      <c r="W394" t="s">
        <v>23</v>
      </c>
      <c r="X394">
        <v>0</v>
      </c>
      <c r="Y394">
        <v>1</v>
      </c>
      <c r="AA394" t="s">
        <v>655</v>
      </c>
      <c r="AE394" t="b">
        <v>0</v>
      </c>
    </row>
    <row r="395" spans="1:31" x14ac:dyDescent="0.3">
      <c r="A395" t="s">
        <v>1105</v>
      </c>
      <c r="B395" t="s">
        <v>1106</v>
      </c>
      <c r="C395" t="b">
        <v>1</v>
      </c>
      <c r="D395" t="s">
        <v>404</v>
      </c>
      <c r="E395" t="s">
        <v>405</v>
      </c>
      <c r="F395" t="s">
        <v>406</v>
      </c>
      <c r="G395" t="s">
        <v>1177</v>
      </c>
      <c r="H395" t="s">
        <v>407</v>
      </c>
      <c r="I395">
        <v>24</v>
      </c>
      <c r="J395" t="s">
        <v>828</v>
      </c>
      <c r="K395">
        <v>12</v>
      </c>
      <c r="L395" s="5">
        <v>12</v>
      </c>
      <c r="M395">
        <v>61.98</v>
      </c>
      <c r="N395" t="s">
        <v>21</v>
      </c>
      <c r="O395" t="str">
        <f t="shared" si="33"/>
        <v>nM</v>
      </c>
      <c r="R395">
        <v>33</v>
      </c>
      <c r="S395" t="s">
        <v>661</v>
      </c>
      <c r="T395" t="s">
        <v>905</v>
      </c>
      <c r="U395">
        <v>200</v>
      </c>
      <c r="V395" t="s">
        <v>22</v>
      </c>
      <c r="W395" t="s">
        <v>23</v>
      </c>
      <c r="X395">
        <v>0</v>
      </c>
      <c r="Y395">
        <v>1</v>
      </c>
      <c r="AA395" t="s">
        <v>655</v>
      </c>
      <c r="AE395" t="b">
        <v>0</v>
      </c>
    </row>
    <row r="396" spans="1:31" x14ac:dyDescent="0.3">
      <c r="A396" t="s">
        <v>636</v>
      </c>
      <c r="B396" t="s">
        <v>754</v>
      </c>
      <c r="C396" t="b">
        <v>1</v>
      </c>
      <c r="D396" t="s">
        <v>404</v>
      </c>
      <c r="E396" t="s">
        <v>405</v>
      </c>
      <c r="F396" t="s">
        <v>406</v>
      </c>
      <c r="G396" t="s">
        <v>1177</v>
      </c>
      <c r="H396" t="s">
        <v>407</v>
      </c>
      <c r="I396">
        <v>24</v>
      </c>
      <c r="J396" t="s">
        <v>6</v>
      </c>
      <c r="K396">
        <v>0</v>
      </c>
      <c r="L396" s="5" t="s">
        <v>654</v>
      </c>
      <c r="M396">
        <v>26168</v>
      </c>
      <c r="N396" t="s">
        <v>20</v>
      </c>
      <c r="O396" t="str">
        <f t="shared" si="33"/>
        <v>ng*h/mL</v>
      </c>
      <c r="T396" t="s">
        <v>906</v>
      </c>
      <c r="U396">
        <v>400</v>
      </c>
      <c r="V396" t="s">
        <v>22</v>
      </c>
      <c r="W396" t="s">
        <v>23</v>
      </c>
      <c r="X396">
        <v>0</v>
      </c>
      <c r="Y396">
        <v>1</v>
      </c>
      <c r="AA396" t="s">
        <v>655</v>
      </c>
      <c r="AE396" t="b">
        <v>0</v>
      </c>
    </row>
    <row r="397" spans="1:31" x14ac:dyDescent="0.3">
      <c r="A397" t="s">
        <v>636</v>
      </c>
      <c r="B397" t="s">
        <v>754</v>
      </c>
      <c r="C397" t="b">
        <v>1</v>
      </c>
      <c r="D397" t="s">
        <v>404</v>
      </c>
      <c r="E397" t="s">
        <v>405</v>
      </c>
      <c r="F397" t="s">
        <v>406</v>
      </c>
      <c r="G397" t="s">
        <v>1177</v>
      </c>
      <c r="H397" t="s">
        <v>407</v>
      </c>
      <c r="I397">
        <v>24</v>
      </c>
      <c r="J397" t="s">
        <v>7</v>
      </c>
      <c r="K397">
        <v>0</v>
      </c>
      <c r="L397" s="5" t="s">
        <v>654</v>
      </c>
      <c r="M397">
        <v>24246.41</v>
      </c>
      <c r="N397" t="s">
        <v>21</v>
      </c>
      <c r="O397" t="str">
        <f t="shared" si="33"/>
        <v>nM</v>
      </c>
      <c r="R397">
        <v>12906</v>
      </c>
      <c r="S397" t="s">
        <v>661</v>
      </c>
      <c r="T397" t="s">
        <v>907</v>
      </c>
      <c r="U397">
        <v>400</v>
      </c>
      <c r="V397" t="s">
        <v>22</v>
      </c>
      <c r="W397" t="s">
        <v>23</v>
      </c>
      <c r="X397">
        <v>0</v>
      </c>
      <c r="Y397">
        <v>1</v>
      </c>
      <c r="AA397" t="s">
        <v>655</v>
      </c>
      <c r="AE397" t="b">
        <v>0</v>
      </c>
    </row>
    <row r="398" spans="1:31" x14ac:dyDescent="0.3">
      <c r="A398" t="s">
        <v>636</v>
      </c>
      <c r="B398" t="s">
        <v>754</v>
      </c>
      <c r="C398" t="b">
        <v>1</v>
      </c>
      <c r="D398" t="s">
        <v>404</v>
      </c>
      <c r="E398" t="s">
        <v>405</v>
      </c>
      <c r="F398" t="s">
        <v>406</v>
      </c>
      <c r="G398" t="s">
        <v>1177</v>
      </c>
      <c r="H398" t="s">
        <v>407</v>
      </c>
      <c r="I398">
        <v>24</v>
      </c>
      <c r="J398" t="s">
        <v>828</v>
      </c>
      <c r="K398">
        <v>12</v>
      </c>
      <c r="L398" s="5">
        <v>12</v>
      </c>
      <c r="M398">
        <v>110.84</v>
      </c>
      <c r="N398" t="s">
        <v>21</v>
      </c>
      <c r="O398" t="str">
        <f t="shared" si="33"/>
        <v>nM</v>
      </c>
      <c r="R398">
        <v>59</v>
      </c>
      <c r="S398" t="s">
        <v>661</v>
      </c>
      <c r="T398" t="s">
        <v>908</v>
      </c>
      <c r="U398">
        <v>400</v>
      </c>
      <c r="V398" t="s">
        <v>22</v>
      </c>
      <c r="W398" t="s">
        <v>23</v>
      </c>
      <c r="X398">
        <v>0</v>
      </c>
      <c r="Y398">
        <v>1</v>
      </c>
      <c r="AA398" t="s">
        <v>655</v>
      </c>
      <c r="AE398" t="b">
        <v>0</v>
      </c>
    </row>
    <row r="399" spans="1:31" x14ac:dyDescent="0.3">
      <c r="A399" t="s">
        <v>1107</v>
      </c>
      <c r="B399" t="s">
        <v>1108</v>
      </c>
      <c r="C399" t="b">
        <v>1</v>
      </c>
      <c r="D399" t="s">
        <v>404</v>
      </c>
      <c r="E399" t="s">
        <v>405</v>
      </c>
      <c r="F399" t="s">
        <v>406</v>
      </c>
      <c r="G399" t="s">
        <v>1177</v>
      </c>
      <c r="H399" t="s">
        <v>407</v>
      </c>
      <c r="I399">
        <v>24</v>
      </c>
      <c r="J399" t="s">
        <v>6</v>
      </c>
      <c r="K399">
        <v>0</v>
      </c>
      <c r="L399" s="5" t="s">
        <v>654</v>
      </c>
      <c r="M399">
        <v>64131</v>
      </c>
      <c r="N399" t="s">
        <v>20</v>
      </c>
      <c r="O399" t="str">
        <f t="shared" si="33"/>
        <v>ng*h/mL</v>
      </c>
      <c r="T399" t="s">
        <v>909</v>
      </c>
      <c r="U399">
        <v>800</v>
      </c>
      <c r="V399" t="s">
        <v>22</v>
      </c>
      <c r="W399" t="s">
        <v>23</v>
      </c>
      <c r="X399">
        <v>0</v>
      </c>
      <c r="Y399">
        <v>1</v>
      </c>
      <c r="AA399" t="s">
        <v>655</v>
      </c>
      <c r="AE399" t="b">
        <v>0</v>
      </c>
    </row>
    <row r="400" spans="1:31" x14ac:dyDescent="0.3">
      <c r="A400" t="s">
        <v>1107</v>
      </c>
      <c r="B400" t="s">
        <v>1108</v>
      </c>
      <c r="C400" t="b">
        <v>1</v>
      </c>
      <c r="D400" t="s">
        <v>404</v>
      </c>
      <c r="E400" t="s">
        <v>405</v>
      </c>
      <c r="F400" t="s">
        <v>406</v>
      </c>
      <c r="G400" t="s">
        <v>1177</v>
      </c>
      <c r="H400" t="s">
        <v>407</v>
      </c>
      <c r="I400">
        <v>24</v>
      </c>
      <c r="J400" t="s">
        <v>7</v>
      </c>
      <c r="K400">
        <v>0</v>
      </c>
      <c r="L400" s="5" t="s">
        <v>654</v>
      </c>
      <c r="M400">
        <v>50258.239999999998</v>
      </c>
      <c r="N400" t="s">
        <v>21</v>
      </c>
      <c r="O400" t="str">
        <f t="shared" si="33"/>
        <v>nM</v>
      </c>
      <c r="R400">
        <v>26762</v>
      </c>
      <c r="S400" t="s">
        <v>661</v>
      </c>
      <c r="T400" t="s">
        <v>910</v>
      </c>
      <c r="U400">
        <v>800</v>
      </c>
      <c r="V400" t="s">
        <v>22</v>
      </c>
      <c r="W400" t="s">
        <v>23</v>
      </c>
      <c r="X400">
        <v>0</v>
      </c>
      <c r="Y400">
        <v>1</v>
      </c>
      <c r="AA400" t="s">
        <v>655</v>
      </c>
      <c r="AE400" t="b">
        <v>0</v>
      </c>
    </row>
    <row r="401" spans="1:31" x14ac:dyDescent="0.3">
      <c r="A401" t="s">
        <v>1107</v>
      </c>
      <c r="B401" t="s">
        <v>1108</v>
      </c>
      <c r="C401" t="b">
        <v>1</v>
      </c>
      <c r="D401" t="s">
        <v>404</v>
      </c>
      <c r="E401" t="s">
        <v>405</v>
      </c>
      <c r="F401" t="s">
        <v>406</v>
      </c>
      <c r="G401" t="s">
        <v>1177</v>
      </c>
      <c r="H401" t="s">
        <v>407</v>
      </c>
      <c r="I401">
        <v>24</v>
      </c>
      <c r="J401" t="s">
        <v>828</v>
      </c>
      <c r="K401">
        <v>12</v>
      </c>
      <c r="L401" s="5">
        <v>12</v>
      </c>
      <c r="M401">
        <v>281.69</v>
      </c>
      <c r="N401" t="s">
        <v>21</v>
      </c>
      <c r="O401" t="str">
        <f t="shared" si="33"/>
        <v>nM</v>
      </c>
      <c r="R401">
        <v>150</v>
      </c>
      <c r="S401" t="s">
        <v>661</v>
      </c>
      <c r="T401" t="s">
        <v>911</v>
      </c>
      <c r="U401">
        <v>800</v>
      </c>
      <c r="V401" t="s">
        <v>22</v>
      </c>
      <c r="W401" t="s">
        <v>23</v>
      </c>
      <c r="X401">
        <v>0</v>
      </c>
      <c r="Y401">
        <v>1</v>
      </c>
      <c r="AA401" t="s">
        <v>655</v>
      </c>
      <c r="AE401" t="b">
        <v>0</v>
      </c>
    </row>
    <row r="402" spans="1:31" x14ac:dyDescent="0.3">
      <c r="A402" t="s">
        <v>637</v>
      </c>
      <c r="B402" t="s">
        <v>755</v>
      </c>
      <c r="C402" t="b">
        <v>1</v>
      </c>
      <c r="D402" t="s">
        <v>408</v>
      </c>
      <c r="E402" t="s">
        <v>405</v>
      </c>
      <c r="F402" t="s">
        <v>411</v>
      </c>
      <c r="G402" t="s">
        <v>1176</v>
      </c>
      <c r="H402" t="s">
        <v>411</v>
      </c>
      <c r="I402">
        <v>72</v>
      </c>
      <c r="J402" t="s">
        <v>6</v>
      </c>
      <c r="K402">
        <v>0</v>
      </c>
      <c r="L402" s="5" t="s">
        <v>654</v>
      </c>
      <c r="M402">
        <v>21191</v>
      </c>
      <c r="N402" t="s">
        <v>20</v>
      </c>
      <c r="O402" t="str">
        <f t="shared" si="33"/>
        <v>ng*h/mL</v>
      </c>
      <c r="T402" t="s">
        <v>409</v>
      </c>
      <c r="U402">
        <v>800</v>
      </c>
      <c r="V402" t="s">
        <v>22</v>
      </c>
      <c r="W402" t="s">
        <v>23</v>
      </c>
      <c r="X402">
        <v>0</v>
      </c>
      <c r="Y402">
        <v>1</v>
      </c>
      <c r="AA402" t="s">
        <v>655</v>
      </c>
      <c r="AE402" t="b">
        <v>1</v>
      </c>
    </row>
    <row r="403" spans="1:31" x14ac:dyDescent="0.3">
      <c r="A403" t="s">
        <v>637</v>
      </c>
      <c r="B403" t="s">
        <v>755</v>
      </c>
      <c r="C403" t="b">
        <v>1</v>
      </c>
      <c r="D403" t="s">
        <v>408</v>
      </c>
      <c r="E403" t="s">
        <v>405</v>
      </c>
      <c r="F403" t="s">
        <v>411</v>
      </c>
      <c r="G403" t="s">
        <v>1176</v>
      </c>
      <c r="H403" t="s">
        <v>411</v>
      </c>
      <c r="I403">
        <v>72</v>
      </c>
      <c r="J403" t="s">
        <v>7</v>
      </c>
      <c r="K403">
        <v>0</v>
      </c>
      <c r="L403" s="5" t="s">
        <v>654</v>
      </c>
      <c r="M403">
        <v>9705.52</v>
      </c>
      <c r="N403" t="s">
        <v>21</v>
      </c>
      <c r="O403" t="str">
        <f t="shared" si="33"/>
        <v>nM</v>
      </c>
      <c r="R403">
        <v>4100</v>
      </c>
      <c r="S403" t="s">
        <v>661</v>
      </c>
      <c r="T403" t="s">
        <v>410</v>
      </c>
      <c r="U403">
        <v>800</v>
      </c>
      <c r="V403" t="s">
        <v>22</v>
      </c>
      <c r="W403" t="s">
        <v>23</v>
      </c>
      <c r="X403">
        <v>0</v>
      </c>
      <c r="Y403">
        <v>1</v>
      </c>
      <c r="AA403" t="s">
        <v>655</v>
      </c>
      <c r="AE403" t="b">
        <v>1</v>
      </c>
    </row>
    <row r="404" spans="1:31" x14ac:dyDescent="0.3">
      <c r="A404" t="s">
        <v>637</v>
      </c>
      <c r="B404" t="s">
        <v>755</v>
      </c>
      <c r="C404" t="b">
        <v>1</v>
      </c>
      <c r="D404" t="s">
        <v>408</v>
      </c>
      <c r="E404" t="s">
        <v>405</v>
      </c>
      <c r="F404" t="s">
        <v>411</v>
      </c>
      <c r="G404" t="s">
        <v>1176</v>
      </c>
      <c r="H404" t="s">
        <v>411</v>
      </c>
      <c r="I404">
        <v>72</v>
      </c>
      <c r="J404" t="s">
        <v>828</v>
      </c>
      <c r="K404">
        <v>12</v>
      </c>
      <c r="L404" s="5">
        <v>12</v>
      </c>
      <c r="M404">
        <v>414.26</v>
      </c>
      <c r="N404" t="s">
        <v>21</v>
      </c>
      <c r="O404" t="str">
        <f t="shared" si="33"/>
        <v>nM</v>
      </c>
      <c r="R404">
        <v>175</v>
      </c>
      <c r="S404" t="s">
        <v>661</v>
      </c>
      <c r="T404" t="s">
        <v>895</v>
      </c>
      <c r="U404">
        <v>800</v>
      </c>
      <c r="V404" t="s">
        <v>22</v>
      </c>
      <c r="W404" t="s">
        <v>23</v>
      </c>
      <c r="X404">
        <v>0</v>
      </c>
      <c r="Y404">
        <v>1</v>
      </c>
      <c r="AA404" t="s">
        <v>655</v>
      </c>
      <c r="AE404" t="b">
        <v>1</v>
      </c>
    </row>
    <row r="405" spans="1:31" x14ac:dyDescent="0.3">
      <c r="A405" t="s">
        <v>1109</v>
      </c>
      <c r="B405" t="s">
        <v>1110</v>
      </c>
      <c r="C405" t="b">
        <v>1</v>
      </c>
      <c r="D405" t="s">
        <v>412</v>
      </c>
      <c r="E405" t="s">
        <v>413</v>
      </c>
      <c r="F405" t="s">
        <v>414</v>
      </c>
      <c r="G405" t="s">
        <v>415</v>
      </c>
      <c r="H405" t="s">
        <v>414</v>
      </c>
      <c r="I405">
        <v>24</v>
      </c>
      <c r="J405" t="s">
        <v>6</v>
      </c>
      <c r="K405">
        <v>0</v>
      </c>
      <c r="L405" s="5">
        <v>24</v>
      </c>
      <c r="M405">
        <v>25700</v>
      </c>
      <c r="N405" t="s">
        <v>20</v>
      </c>
      <c r="O405" t="str">
        <f t="shared" si="33"/>
        <v>ng*h/mL</v>
      </c>
      <c r="T405" t="s">
        <v>919</v>
      </c>
      <c r="U405">
        <v>800</v>
      </c>
      <c r="V405" t="s">
        <v>22</v>
      </c>
      <c r="W405" t="s">
        <v>23</v>
      </c>
      <c r="X405">
        <v>0</v>
      </c>
      <c r="Y405">
        <v>1</v>
      </c>
      <c r="AA405" t="s">
        <v>655</v>
      </c>
      <c r="AE405" t="b">
        <v>0</v>
      </c>
    </row>
    <row r="406" spans="1:31" x14ac:dyDescent="0.3">
      <c r="A406" t="s">
        <v>1109</v>
      </c>
      <c r="B406" t="s">
        <v>1110</v>
      </c>
      <c r="C406" t="b">
        <v>1</v>
      </c>
      <c r="D406" t="s">
        <v>412</v>
      </c>
      <c r="E406" t="s">
        <v>413</v>
      </c>
      <c r="F406" t="s">
        <v>414</v>
      </c>
      <c r="G406" t="s">
        <v>415</v>
      </c>
      <c r="H406" t="s">
        <v>414</v>
      </c>
      <c r="I406">
        <v>24</v>
      </c>
      <c r="J406" t="s">
        <v>7</v>
      </c>
      <c r="K406">
        <v>0</v>
      </c>
      <c r="L406" s="5">
        <v>24</v>
      </c>
      <c r="M406">
        <v>4063.93</v>
      </c>
      <c r="N406" t="s">
        <v>21</v>
      </c>
      <c r="O406" t="str">
        <f t="shared" si="33"/>
        <v>nM</v>
      </c>
      <c r="R406">
        <v>1.46</v>
      </c>
      <c r="S406" t="s">
        <v>660</v>
      </c>
      <c r="T406" t="s">
        <v>912</v>
      </c>
      <c r="U406">
        <v>800</v>
      </c>
      <c r="V406" t="s">
        <v>22</v>
      </c>
      <c r="W406" t="s">
        <v>23</v>
      </c>
      <c r="X406">
        <v>0</v>
      </c>
      <c r="Y406">
        <v>1</v>
      </c>
      <c r="AA406" t="s">
        <v>655</v>
      </c>
      <c r="AE406" t="b">
        <v>0</v>
      </c>
    </row>
    <row r="407" spans="1:31" x14ac:dyDescent="0.3">
      <c r="A407" t="s">
        <v>638</v>
      </c>
      <c r="B407" t="s">
        <v>756</v>
      </c>
      <c r="C407" t="b">
        <v>1</v>
      </c>
      <c r="D407" t="s">
        <v>412</v>
      </c>
      <c r="E407" t="s">
        <v>413</v>
      </c>
      <c r="F407" t="s">
        <v>414</v>
      </c>
      <c r="G407" t="s">
        <v>415</v>
      </c>
      <c r="H407" t="s">
        <v>414</v>
      </c>
      <c r="I407">
        <f>5*24</f>
        <v>120</v>
      </c>
      <c r="J407" t="s">
        <v>6</v>
      </c>
      <c r="K407">
        <f>4*24</f>
        <v>96</v>
      </c>
      <c r="L407" s="5">
        <f>5*24</f>
        <v>120</v>
      </c>
      <c r="M407">
        <v>44900</v>
      </c>
      <c r="N407" t="s">
        <v>20</v>
      </c>
      <c r="O407" t="str">
        <f t="shared" si="33"/>
        <v>ng*h/mL</v>
      </c>
      <c r="T407" t="s">
        <v>920</v>
      </c>
      <c r="U407">
        <v>800</v>
      </c>
      <c r="V407" t="s">
        <v>22</v>
      </c>
      <c r="W407" t="s">
        <v>23</v>
      </c>
      <c r="X407">
        <v>0</v>
      </c>
      <c r="Y407">
        <v>5</v>
      </c>
      <c r="Z407">
        <v>24</v>
      </c>
      <c r="AA407" t="s">
        <v>655</v>
      </c>
      <c r="AE407" t="b">
        <v>0</v>
      </c>
    </row>
    <row r="408" spans="1:31" x14ac:dyDescent="0.3">
      <c r="A408" t="s">
        <v>638</v>
      </c>
      <c r="B408" t="s">
        <v>756</v>
      </c>
      <c r="C408" t="b">
        <v>1</v>
      </c>
      <c r="D408" t="s">
        <v>412</v>
      </c>
      <c r="E408" t="s">
        <v>413</v>
      </c>
      <c r="F408" t="s">
        <v>414</v>
      </c>
      <c r="G408" t="s">
        <v>415</v>
      </c>
      <c r="H408" t="s">
        <v>414</v>
      </c>
      <c r="I408">
        <f>5*24</f>
        <v>120</v>
      </c>
      <c r="J408" t="s">
        <v>7</v>
      </c>
      <c r="K408">
        <f>4*24</f>
        <v>96</v>
      </c>
      <c r="L408" s="5">
        <f>5*24</f>
        <v>120</v>
      </c>
      <c r="M408">
        <v>6541.26</v>
      </c>
      <c r="N408" t="s">
        <v>21</v>
      </c>
      <c r="O408" t="str">
        <f t="shared" si="33"/>
        <v>nM</v>
      </c>
      <c r="R408">
        <v>2.35</v>
      </c>
      <c r="S408" t="s">
        <v>660</v>
      </c>
      <c r="T408" t="s">
        <v>921</v>
      </c>
      <c r="U408">
        <v>800</v>
      </c>
      <c r="V408" t="s">
        <v>22</v>
      </c>
      <c r="W408" t="s">
        <v>23</v>
      </c>
      <c r="X408">
        <v>0</v>
      </c>
      <c r="Y408">
        <v>5</v>
      </c>
      <c r="Z408">
        <v>24</v>
      </c>
      <c r="AA408" t="s">
        <v>655</v>
      </c>
      <c r="AE408" t="b">
        <v>0</v>
      </c>
    </row>
    <row r="409" spans="1:31" x14ac:dyDescent="0.3">
      <c r="A409" t="s">
        <v>1111</v>
      </c>
      <c r="B409" t="s">
        <v>1112</v>
      </c>
      <c r="C409" t="b">
        <v>1</v>
      </c>
      <c r="D409" t="s">
        <v>412</v>
      </c>
      <c r="E409" t="s">
        <v>413</v>
      </c>
      <c r="F409" t="s">
        <v>414</v>
      </c>
      <c r="G409" t="s">
        <v>415</v>
      </c>
      <c r="H409" t="s">
        <v>414</v>
      </c>
      <c r="I409">
        <f>7*24+96</f>
        <v>264</v>
      </c>
      <c r="J409" t="s">
        <v>6</v>
      </c>
      <c r="K409">
        <f>7*24</f>
        <v>168</v>
      </c>
      <c r="L409" s="5">
        <f>7*24+96</f>
        <v>264</v>
      </c>
      <c r="M409">
        <v>54600</v>
      </c>
      <c r="N409" t="s">
        <v>20</v>
      </c>
      <c r="O409" t="str">
        <f t="shared" si="33"/>
        <v>ng*h/mL</v>
      </c>
      <c r="T409" t="s">
        <v>913</v>
      </c>
      <c r="U409">
        <v>800</v>
      </c>
      <c r="V409" t="s">
        <v>22</v>
      </c>
      <c r="W409" t="s">
        <v>23</v>
      </c>
      <c r="X409">
        <v>0</v>
      </c>
      <c r="Y409">
        <v>8</v>
      </c>
      <c r="Z409">
        <v>24</v>
      </c>
      <c r="AA409" t="s">
        <v>655</v>
      </c>
      <c r="AE409" t="b">
        <v>0</v>
      </c>
    </row>
    <row r="410" spans="1:31" x14ac:dyDescent="0.3">
      <c r="A410" t="s">
        <v>1111</v>
      </c>
      <c r="B410" t="s">
        <v>1112</v>
      </c>
      <c r="C410" t="b">
        <v>1</v>
      </c>
      <c r="D410" t="s">
        <v>412</v>
      </c>
      <c r="E410" t="s">
        <v>413</v>
      </c>
      <c r="F410" t="s">
        <v>414</v>
      </c>
      <c r="G410" t="s">
        <v>415</v>
      </c>
      <c r="H410" t="s">
        <v>414</v>
      </c>
      <c r="I410">
        <f>7*24+96</f>
        <v>264</v>
      </c>
      <c r="J410" t="s">
        <v>7</v>
      </c>
      <c r="K410">
        <f>7*24</f>
        <v>168</v>
      </c>
      <c r="L410" s="5">
        <f>7*24+96</f>
        <v>264</v>
      </c>
      <c r="M410">
        <v>8127.86</v>
      </c>
      <c r="N410" t="s">
        <v>21</v>
      </c>
      <c r="O410" t="str">
        <f t="shared" si="33"/>
        <v>nM</v>
      </c>
      <c r="R410">
        <v>2.92</v>
      </c>
      <c r="S410" t="s">
        <v>660</v>
      </c>
      <c r="T410" t="s">
        <v>914</v>
      </c>
      <c r="U410">
        <v>800</v>
      </c>
      <c r="V410" t="s">
        <v>22</v>
      </c>
      <c r="W410" t="s">
        <v>23</v>
      </c>
      <c r="X410">
        <v>0</v>
      </c>
      <c r="Y410">
        <v>8</v>
      </c>
      <c r="Z410">
        <v>24</v>
      </c>
      <c r="AA410" t="s">
        <v>655</v>
      </c>
      <c r="AE410" t="b">
        <v>0</v>
      </c>
    </row>
    <row r="411" spans="1:31" x14ac:dyDescent="0.3">
      <c r="A411" t="s">
        <v>1113</v>
      </c>
      <c r="B411" t="s">
        <v>1114</v>
      </c>
      <c r="C411" t="b">
        <v>1</v>
      </c>
      <c r="D411" t="s">
        <v>412</v>
      </c>
      <c r="E411" t="s">
        <v>413</v>
      </c>
      <c r="F411" t="s">
        <v>414</v>
      </c>
      <c r="G411" t="s">
        <v>415</v>
      </c>
      <c r="H411" t="s">
        <v>414</v>
      </c>
      <c r="I411">
        <v>24</v>
      </c>
      <c r="J411" t="s">
        <v>6</v>
      </c>
      <c r="K411">
        <v>0</v>
      </c>
      <c r="L411" s="5">
        <v>24</v>
      </c>
      <c r="M411">
        <v>26000</v>
      </c>
      <c r="N411" t="s">
        <v>20</v>
      </c>
      <c r="O411" t="str">
        <f t="shared" si="33"/>
        <v>ng*h/mL</v>
      </c>
      <c r="T411" t="s">
        <v>916</v>
      </c>
      <c r="U411">
        <v>1000</v>
      </c>
      <c r="V411" t="s">
        <v>22</v>
      </c>
      <c r="W411" t="s">
        <v>23</v>
      </c>
      <c r="X411">
        <v>0</v>
      </c>
      <c r="Y411">
        <v>1</v>
      </c>
      <c r="AA411" t="s">
        <v>655</v>
      </c>
      <c r="AE411" t="b">
        <v>0</v>
      </c>
    </row>
    <row r="412" spans="1:31" x14ac:dyDescent="0.3">
      <c r="A412" t="s">
        <v>1113</v>
      </c>
      <c r="B412" t="s">
        <v>1114</v>
      </c>
      <c r="C412" t="b">
        <v>1</v>
      </c>
      <c r="D412" t="s">
        <v>412</v>
      </c>
      <c r="E412" t="s">
        <v>413</v>
      </c>
      <c r="F412" t="s">
        <v>414</v>
      </c>
      <c r="G412" t="s">
        <v>415</v>
      </c>
      <c r="H412" t="s">
        <v>414</v>
      </c>
      <c r="I412">
        <v>24</v>
      </c>
      <c r="J412" t="s">
        <v>7</v>
      </c>
      <c r="K412">
        <v>0</v>
      </c>
      <c r="L412" s="5">
        <v>24</v>
      </c>
      <c r="M412">
        <v>4036.1</v>
      </c>
      <c r="N412" t="s">
        <v>21</v>
      </c>
      <c r="O412" t="str">
        <f t="shared" si="33"/>
        <v>nM</v>
      </c>
      <c r="R412">
        <v>1.45</v>
      </c>
      <c r="S412" t="s">
        <v>660</v>
      </c>
      <c r="T412" t="s">
        <v>915</v>
      </c>
      <c r="U412">
        <v>1000</v>
      </c>
      <c r="V412" t="s">
        <v>22</v>
      </c>
      <c r="W412" t="s">
        <v>23</v>
      </c>
      <c r="X412">
        <v>0</v>
      </c>
      <c r="Y412">
        <v>1</v>
      </c>
      <c r="AA412" t="s">
        <v>655</v>
      </c>
      <c r="AE412" t="b">
        <v>0</v>
      </c>
    </row>
    <row r="413" spans="1:31" x14ac:dyDescent="0.3">
      <c r="A413" t="s">
        <v>1115</v>
      </c>
      <c r="B413" t="s">
        <v>1116</v>
      </c>
      <c r="C413" t="b">
        <v>1</v>
      </c>
      <c r="D413" t="s">
        <v>412</v>
      </c>
      <c r="E413" t="s">
        <v>413</v>
      </c>
      <c r="F413" t="s">
        <v>414</v>
      </c>
      <c r="G413" t="s">
        <v>415</v>
      </c>
      <c r="H413" t="s">
        <v>414</v>
      </c>
      <c r="I413">
        <f>5*24</f>
        <v>120</v>
      </c>
      <c r="J413" t="s">
        <v>6</v>
      </c>
      <c r="K413">
        <f>4*24</f>
        <v>96</v>
      </c>
      <c r="L413" s="5">
        <f>5*24</f>
        <v>120</v>
      </c>
      <c r="M413">
        <v>59600</v>
      </c>
      <c r="N413" t="s">
        <v>20</v>
      </c>
      <c r="O413" t="str">
        <f t="shared" si="33"/>
        <v>ng*h/mL</v>
      </c>
      <c r="T413" t="s">
        <v>922</v>
      </c>
      <c r="U413">
        <v>1000</v>
      </c>
      <c r="V413" t="s">
        <v>22</v>
      </c>
      <c r="W413" t="s">
        <v>23</v>
      </c>
      <c r="X413">
        <v>0</v>
      </c>
      <c r="Y413">
        <v>5</v>
      </c>
      <c r="Z413">
        <v>24</v>
      </c>
      <c r="AA413" t="s">
        <v>655</v>
      </c>
      <c r="AE413" t="b">
        <v>0</v>
      </c>
    </row>
    <row r="414" spans="1:31" x14ac:dyDescent="0.3">
      <c r="A414" t="s">
        <v>1115</v>
      </c>
      <c r="B414" t="s">
        <v>1116</v>
      </c>
      <c r="C414" t="b">
        <v>1</v>
      </c>
      <c r="D414" t="s">
        <v>412</v>
      </c>
      <c r="E414" t="s">
        <v>413</v>
      </c>
      <c r="F414" t="s">
        <v>414</v>
      </c>
      <c r="G414" t="s">
        <v>415</v>
      </c>
      <c r="H414" t="s">
        <v>414</v>
      </c>
      <c r="I414">
        <f>5*24</f>
        <v>120</v>
      </c>
      <c r="J414" t="s">
        <v>7</v>
      </c>
      <c r="K414">
        <f>4*24</f>
        <v>96</v>
      </c>
      <c r="L414" s="5">
        <f>5*24</f>
        <v>120</v>
      </c>
      <c r="M414">
        <v>8712.4</v>
      </c>
      <c r="N414" t="s">
        <v>21</v>
      </c>
      <c r="O414" t="str">
        <f t="shared" si="33"/>
        <v>nM</v>
      </c>
      <c r="R414">
        <v>3.13</v>
      </c>
      <c r="S414" t="s">
        <v>660</v>
      </c>
      <c r="T414" t="s">
        <v>923</v>
      </c>
      <c r="U414">
        <v>1000</v>
      </c>
      <c r="V414" t="s">
        <v>22</v>
      </c>
      <c r="W414" t="s">
        <v>23</v>
      </c>
      <c r="X414">
        <v>0</v>
      </c>
      <c r="Y414">
        <v>5</v>
      </c>
      <c r="Z414">
        <v>24</v>
      </c>
      <c r="AA414" t="s">
        <v>655</v>
      </c>
      <c r="AE414" t="b">
        <v>0</v>
      </c>
    </row>
    <row r="415" spans="1:31" x14ac:dyDescent="0.3">
      <c r="A415" t="s">
        <v>1117</v>
      </c>
      <c r="B415" t="s">
        <v>1118</v>
      </c>
      <c r="C415" t="b">
        <v>1</v>
      </c>
      <c r="D415" t="s">
        <v>412</v>
      </c>
      <c r="E415" t="s">
        <v>413</v>
      </c>
      <c r="F415" t="s">
        <v>414</v>
      </c>
      <c r="G415" t="s">
        <v>415</v>
      </c>
      <c r="H415" t="s">
        <v>414</v>
      </c>
      <c r="I415">
        <f t="shared" ref="I415:I416" si="34">7*24+96</f>
        <v>264</v>
      </c>
      <c r="J415" t="s">
        <v>6</v>
      </c>
      <c r="K415">
        <f>7*24</f>
        <v>168</v>
      </c>
      <c r="L415" s="5">
        <f>7*24+96</f>
        <v>264</v>
      </c>
      <c r="M415">
        <v>69000</v>
      </c>
      <c r="N415" t="s">
        <v>20</v>
      </c>
      <c r="O415" t="str">
        <f t="shared" si="33"/>
        <v>ng*h/mL</v>
      </c>
      <c r="T415" t="s">
        <v>917</v>
      </c>
      <c r="U415">
        <v>1000</v>
      </c>
      <c r="V415" t="s">
        <v>22</v>
      </c>
      <c r="W415" t="s">
        <v>23</v>
      </c>
      <c r="X415">
        <v>0</v>
      </c>
      <c r="Y415">
        <v>8</v>
      </c>
      <c r="Z415">
        <v>24</v>
      </c>
      <c r="AA415" t="s">
        <v>655</v>
      </c>
      <c r="AE415" t="b">
        <v>0</v>
      </c>
    </row>
    <row r="416" spans="1:31" x14ac:dyDescent="0.3">
      <c r="A416" t="s">
        <v>1117</v>
      </c>
      <c r="B416" t="s">
        <v>1118</v>
      </c>
      <c r="C416" t="b">
        <v>1</v>
      </c>
      <c r="D416" t="s">
        <v>412</v>
      </c>
      <c r="E416" t="s">
        <v>413</v>
      </c>
      <c r="F416" t="s">
        <v>414</v>
      </c>
      <c r="G416" t="s">
        <v>415</v>
      </c>
      <c r="H416" t="s">
        <v>414</v>
      </c>
      <c r="I416">
        <f t="shared" si="34"/>
        <v>264</v>
      </c>
      <c r="J416" t="s">
        <v>7</v>
      </c>
      <c r="K416">
        <f>7*24</f>
        <v>168</v>
      </c>
      <c r="L416" s="5">
        <f>7*24+96</f>
        <v>264</v>
      </c>
      <c r="M416">
        <v>10159.83</v>
      </c>
      <c r="N416" t="s">
        <v>21</v>
      </c>
      <c r="O416" t="str">
        <f t="shared" si="33"/>
        <v>nM</v>
      </c>
      <c r="R416">
        <v>3.65</v>
      </c>
      <c r="S416" t="s">
        <v>660</v>
      </c>
      <c r="T416" t="s">
        <v>918</v>
      </c>
      <c r="U416">
        <v>1000</v>
      </c>
      <c r="V416" t="s">
        <v>22</v>
      </c>
      <c r="W416" t="s">
        <v>23</v>
      </c>
      <c r="X416">
        <v>0</v>
      </c>
      <c r="Y416">
        <v>8</v>
      </c>
      <c r="Z416">
        <v>24</v>
      </c>
      <c r="AA416" t="s">
        <v>655</v>
      </c>
      <c r="AE416" t="b">
        <v>0</v>
      </c>
    </row>
    <row r="417" spans="1:31" x14ac:dyDescent="0.3">
      <c r="A417" t="s">
        <v>1119</v>
      </c>
      <c r="B417" t="s">
        <v>1120</v>
      </c>
      <c r="C417" t="b">
        <v>1</v>
      </c>
      <c r="D417" t="s">
        <v>416</v>
      </c>
      <c r="E417" t="s">
        <v>419</v>
      </c>
      <c r="F417" t="s">
        <v>420</v>
      </c>
      <c r="G417" t="s">
        <v>421</v>
      </c>
      <c r="H417" t="s">
        <v>420</v>
      </c>
      <c r="I417">
        <v>48</v>
      </c>
      <c r="J417" t="s">
        <v>6</v>
      </c>
      <c r="K417">
        <v>0</v>
      </c>
      <c r="L417" s="5" t="s">
        <v>654</v>
      </c>
      <c r="M417">
        <v>217.81</v>
      </c>
      <c r="N417" t="s">
        <v>20</v>
      </c>
      <c r="O417" t="str">
        <f t="shared" si="33"/>
        <v>ng*h/mL</v>
      </c>
      <c r="R417">
        <v>245</v>
      </c>
      <c r="S417" t="s">
        <v>865</v>
      </c>
      <c r="T417" t="s">
        <v>432</v>
      </c>
      <c r="U417">
        <v>3</v>
      </c>
      <c r="V417" t="s">
        <v>22</v>
      </c>
      <c r="W417" t="s">
        <v>23</v>
      </c>
      <c r="X417">
        <v>0</v>
      </c>
      <c r="Y417">
        <v>1</v>
      </c>
      <c r="AA417" t="s">
        <v>655</v>
      </c>
      <c r="AE417" t="b">
        <v>0</v>
      </c>
    </row>
    <row r="418" spans="1:31" x14ac:dyDescent="0.3">
      <c r="A418" t="s">
        <v>1119</v>
      </c>
      <c r="B418" t="s">
        <v>1120</v>
      </c>
      <c r="C418" t="b">
        <v>1</v>
      </c>
      <c r="D418" t="s">
        <v>416</v>
      </c>
      <c r="E418" t="s">
        <v>419</v>
      </c>
      <c r="F418" t="s">
        <v>420</v>
      </c>
      <c r="G418" t="s">
        <v>421</v>
      </c>
      <c r="H418" t="s">
        <v>420</v>
      </c>
      <c r="I418">
        <v>48</v>
      </c>
      <c r="J418" t="s">
        <v>6</v>
      </c>
      <c r="K418">
        <v>0</v>
      </c>
      <c r="L418" s="5">
        <v>48</v>
      </c>
      <c r="M418">
        <v>124.46</v>
      </c>
      <c r="N418" t="s">
        <v>20</v>
      </c>
      <c r="O418" t="str">
        <f t="shared" si="33"/>
        <v>ng*h/mL</v>
      </c>
      <c r="R418">
        <v>140</v>
      </c>
      <c r="S418" t="s">
        <v>865</v>
      </c>
      <c r="T418" t="s">
        <v>434</v>
      </c>
      <c r="U418">
        <v>3</v>
      </c>
      <c r="V418" t="s">
        <v>22</v>
      </c>
      <c r="W418" t="s">
        <v>23</v>
      </c>
      <c r="X418">
        <v>0</v>
      </c>
      <c r="Y418">
        <v>1</v>
      </c>
      <c r="AA418" t="s">
        <v>655</v>
      </c>
      <c r="AE418" t="b">
        <v>0</v>
      </c>
    </row>
    <row r="419" spans="1:31" x14ac:dyDescent="0.3">
      <c r="A419" t="s">
        <v>1121</v>
      </c>
      <c r="B419" t="s">
        <v>1122</v>
      </c>
      <c r="C419" t="b">
        <v>1</v>
      </c>
      <c r="D419" t="s">
        <v>416</v>
      </c>
      <c r="E419" t="s">
        <v>419</v>
      </c>
      <c r="F419" t="s">
        <v>420</v>
      </c>
      <c r="G419" t="s">
        <v>421</v>
      </c>
      <c r="H419" t="s">
        <v>420</v>
      </c>
      <c r="I419">
        <v>48</v>
      </c>
      <c r="J419" t="s">
        <v>7</v>
      </c>
      <c r="K419">
        <v>0</v>
      </c>
      <c r="L419" s="5">
        <v>48</v>
      </c>
      <c r="M419">
        <v>6.75</v>
      </c>
      <c r="N419" t="s">
        <v>21</v>
      </c>
      <c r="O419" t="str">
        <f t="shared" si="33"/>
        <v>nM</v>
      </c>
      <c r="T419" t="s">
        <v>433</v>
      </c>
      <c r="U419">
        <v>3</v>
      </c>
      <c r="V419" t="s">
        <v>22</v>
      </c>
      <c r="W419" t="s">
        <v>23</v>
      </c>
      <c r="X419">
        <v>0</v>
      </c>
      <c r="Y419">
        <v>1</v>
      </c>
      <c r="AA419" t="s">
        <v>655</v>
      </c>
      <c r="AE419" t="b">
        <v>0</v>
      </c>
    </row>
    <row r="420" spans="1:31" x14ac:dyDescent="0.3">
      <c r="A420" t="s">
        <v>1121</v>
      </c>
      <c r="B420" t="s">
        <v>1122</v>
      </c>
      <c r="C420" t="b">
        <v>1</v>
      </c>
      <c r="D420" t="s">
        <v>416</v>
      </c>
      <c r="E420" t="s">
        <v>419</v>
      </c>
      <c r="F420" t="s">
        <v>420</v>
      </c>
      <c r="G420" t="s">
        <v>421</v>
      </c>
      <c r="H420" t="s">
        <v>420</v>
      </c>
      <c r="I420">
        <v>48</v>
      </c>
      <c r="J420" t="s">
        <v>828</v>
      </c>
      <c r="K420">
        <v>24</v>
      </c>
      <c r="L420" s="5">
        <v>24</v>
      </c>
      <c r="M420">
        <v>2.4500000000000002</v>
      </c>
      <c r="N420" t="s">
        <v>21</v>
      </c>
      <c r="O420" t="str">
        <f t="shared" si="33"/>
        <v>nM</v>
      </c>
      <c r="T420" t="s">
        <v>433</v>
      </c>
      <c r="U420">
        <v>3</v>
      </c>
      <c r="V420" t="s">
        <v>22</v>
      </c>
      <c r="W420" t="s">
        <v>23</v>
      </c>
      <c r="X420">
        <v>0</v>
      </c>
      <c r="Y420">
        <v>1</v>
      </c>
      <c r="AA420" t="s">
        <v>655</v>
      </c>
      <c r="AE420" t="b">
        <v>0</v>
      </c>
    </row>
    <row r="421" spans="1:31" x14ac:dyDescent="0.3">
      <c r="A421" t="s">
        <v>1123</v>
      </c>
      <c r="B421" t="s">
        <v>1124</v>
      </c>
      <c r="C421" t="b">
        <v>1</v>
      </c>
      <c r="D421" t="s">
        <v>416</v>
      </c>
      <c r="E421" t="s">
        <v>419</v>
      </c>
      <c r="F421" t="s">
        <v>420</v>
      </c>
      <c r="G421" t="s">
        <v>421</v>
      </c>
      <c r="H421" t="s">
        <v>420</v>
      </c>
      <c r="I421">
        <v>96</v>
      </c>
      <c r="J421" t="s">
        <v>6</v>
      </c>
      <c r="K421">
        <v>0</v>
      </c>
      <c r="L421" s="5" t="s">
        <v>654</v>
      </c>
      <c r="M421">
        <v>617.87</v>
      </c>
      <c r="N421" t="s">
        <v>20</v>
      </c>
      <c r="O421" t="str">
        <f t="shared" si="33"/>
        <v>ng*h/mL</v>
      </c>
      <c r="R421">
        <v>695</v>
      </c>
      <c r="S421" t="s">
        <v>865</v>
      </c>
      <c r="T421" t="s">
        <v>429</v>
      </c>
      <c r="U421">
        <v>10</v>
      </c>
      <c r="V421" t="s">
        <v>22</v>
      </c>
      <c r="W421" t="s">
        <v>23</v>
      </c>
      <c r="X421">
        <v>0</v>
      </c>
      <c r="Y421">
        <v>1</v>
      </c>
      <c r="AA421" t="s">
        <v>655</v>
      </c>
      <c r="AE421" t="b">
        <v>0</v>
      </c>
    </row>
    <row r="422" spans="1:31" x14ac:dyDescent="0.3">
      <c r="A422" t="s">
        <v>1123</v>
      </c>
      <c r="B422" t="s">
        <v>1124</v>
      </c>
      <c r="C422" t="b">
        <v>1</v>
      </c>
      <c r="D422" t="s">
        <v>416</v>
      </c>
      <c r="E422" t="s">
        <v>419</v>
      </c>
      <c r="F422" t="s">
        <v>420</v>
      </c>
      <c r="G422" t="s">
        <v>421</v>
      </c>
      <c r="H422" t="s">
        <v>420</v>
      </c>
      <c r="I422">
        <v>96</v>
      </c>
      <c r="J422" t="s">
        <v>6</v>
      </c>
      <c r="K422">
        <v>0</v>
      </c>
      <c r="L422" s="5">
        <v>96</v>
      </c>
      <c r="M422">
        <v>496.07</v>
      </c>
      <c r="N422" t="s">
        <v>20</v>
      </c>
      <c r="O422" t="str">
        <f t="shared" si="33"/>
        <v>ng*h/mL</v>
      </c>
      <c r="R422">
        <v>558</v>
      </c>
      <c r="S422" t="s">
        <v>865</v>
      </c>
      <c r="T422" t="s">
        <v>431</v>
      </c>
      <c r="U422">
        <v>10</v>
      </c>
      <c r="V422" t="s">
        <v>22</v>
      </c>
      <c r="W422" t="s">
        <v>23</v>
      </c>
      <c r="X422">
        <v>0</v>
      </c>
      <c r="Y422">
        <v>1</v>
      </c>
      <c r="AA422" t="s">
        <v>655</v>
      </c>
      <c r="AE422" t="b">
        <v>0</v>
      </c>
    </row>
    <row r="423" spans="1:31" x14ac:dyDescent="0.3">
      <c r="A423" t="s">
        <v>1123</v>
      </c>
      <c r="B423" t="s">
        <v>1124</v>
      </c>
      <c r="C423" t="b">
        <v>1</v>
      </c>
      <c r="D423" t="s">
        <v>416</v>
      </c>
      <c r="E423" t="s">
        <v>419</v>
      </c>
      <c r="F423" t="s">
        <v>420</v>
      </c>
      <c r="G423" t="s">
        <v>421</v>
      </c>
      <c r="H423" t="s">
        <v>420</v>
      </c>
      <c r="I423">
        <v>96</v>
      </c>
      <c r="J423" t="s">
        <v>7</v>
      </c>
      <c r="K423">
        <v>0</v>
      </c>
      <c r="L423" s="5">
        <v>96</v>
      </c>
      <c r="M423">
        <v>21.3</v>
      </c>
      <c r="N423" t="s">
        <v>21</v>
      </c>
      <c r="O423" t="str">
        <f t="shared" si="33"/>
        <v>nM</v>
      </c>
      <c r="T423" t="s">
        <v>430</v>
      </c>
      <c r="U423">
        <v>10</v>
      </c>
      <c r="V423" t="s">
        <v>22</v>
      </c>
      <c r="W423" t="s">
        <v>23</v>
      </c>
      <c r="X423">
        <v>0</v>
      </c>
      <c r="Y423">
        <v>1</v>
      </c>
      <c r="AA423" t="s">
        <v>655</v>
      </c>
      <c r="AE423" t="b">
        <v>0</v>
      </c>
    </row>
    <row r="424" spans="1:31" x14ac:dyDescent="0.3">
      <c r="A424" t="s">
        <v>1123</v>
      </c>
      <c r="B424" t="s">
        <v>1124</v>
      </c>
      <c r="C424" t="b">
        <v>1</v>
      </c>
      <c r="D424" t="s">
        <v>416</v>
      </c>
      <c r="E424" t="s">
        <v>419</v>
      </c>
      <c r="F424" t="s">
        <v>420</v>
      </c>
      <c r="G424" t="s">
        <v>421</v>
      </c>
      <c r="H424" t="s">
        <v>420</v>
      </c>
      <c r="I424">
        <v>96</v>
      </c>
      <c r="J424" t="s">
        <v>828</v>
      </c>
      <c r="K424">
        <v>24</v>
      </c>
      <c r="L424" s="5">
        <v>24</v>
      </c>
      <c r="M424">
        <v>7.94</v>
      </c>
      <c r="N424" t="s">
        <v>21</v>
      </c>
      <c r="O424" t="str">
        <f t="shared" si="33"/>
        <v>nM</v>
      </c>
      <c r="T424" t="s">
        <v>924</v>
      </c>
      <c r="U424">
        <v>10</v>
      </c>
      <c r="V424" t="s">
        <v>22</v>
      </c>
      <c r="W424" t="s">
        <v>23</v>
      </c>
      <c r="X424">
        <v>0</v>
      </c>
      <c r="Y424">
        <v>1</v>
      </c>
      <c r="AA424" t="s">
        <v>655</v>
      </c>
      <c r="AE424" t="b">
        <v>0</v>
      </c>
    </row>
    <row r="425" spans="1:31" x14ac:dyDescent="0.3">
      <c r="A425" t="s">
        <v>1125</v>
      </c>
      <c r="B425" t="s">
        <v>1126</v>
      </c>
      <c r="C425" t="b">
        <v>1</v>
      </c>
      <c r="D425" t="s">
        <v>416</v>
      </c>
      <c r="E425" t="s">
        <v>419</v>
      </c>
      <c r="F425" t="s">
        <v>420</v>
      </c>
      <c r="G425" t="s">
        <v>421</v>
      </c>
      <c r="H425" t="s">
        <v>420</v>
      </c>
      <c r="I425">
        <v>96</v>
      </c>
      <c r="J425" t="s">
        <v>6</v>
      </c>
      <c r="K425">
        <v>0</v>
      </c>
      <c r="L425" s="5" t="s">
        <v>654</v>
      </c>
      <c r="M425">
        <v>2415.4699999999998</v>
      </c>
      <c r="N425" t="s">
        <v>20</v>
      </c>
      <c r="O425" t="str">
        <f t="shared" si="33"/>
        <v>ng*h/mL</v>
      </c>
      <c r="R425">
        <v>2717</v>
      </c>
      <c r="S425" t="s">
        <v>865</v>
      </c>
      <c r="T425" t="s">
        <v>426</v>
      </c>
      <c r="U425">
        <v>30</v>
      </c>
      <c r="V425" t="s">
        <v>22</v>
      </c>
      <c r="W425" t="s">
        <v>23</v>
      </c>
      <c r="X425">
        <v>0</v>
      </c>
      <c r="Y425">
        <v>1</v>
      </c>
      <c r="AA425" t="s">
        <v>655</v>
      </c>
      <c r="AE425" t="b">
        <v>0</v>
      </c>
    </row>
    <row r="426" spans="1:31" x14ac:dyDescent="0.3">
      <c r="A426" t="s">
        <v>1125</v>
      </c>
      <c r="B426" t="s">
        <v>1126</v>
      </c>
      <c r="C426" t="b">
        <v>1</v>
      </c>
      <c r="D426" t="s">
        <v>416</v>
      </c>
      <c r="E426" t="s">
        <v>419</v>
      </c>
      <c r="F426" t="s">
        <v>420</v>
      </c>
      <c r="G426" t="s">
        <v>421</v>
      </c>
      <c r="H426" t="s">
        <v>420</v>
      </c>
      <c r="I426">
        <v>96</v>
      </c>
      <c r="J426" t="s">
        <v>6</v>
      </c>
      <c r="K426">
        <v>0</v>
      </c>
      <c r="L426" s="5">
        <v>96</v>
      </c>
      <c r="M426">
        <v>1987.85</v>
      </c>
      <c r="N426" t="s">
        <v>20</v>
      </c>
      <c r="O426" t="str">
        <f t="shared" si="33"/>
        <v>ng*h/mL</v>
      </c>
      <c r="R426">
        <v>2236</v>
      </c>
      <c r="S426" t="s">
        <v>865</v>
      </c>
      <c r="T426" t="s">
        <v>428</v>
      </c>
      <c r="U426">
        <v>30</v>
      </c>
      <c r="V426" t="s">
        <v>22</v>
      </c>
      <c r="W426" t="s">
        <v>23</v>
      </c>
      <c r="X426">
        <v>0</v>
      </c>
      <c r="Y426">
        <v>1</v>
      </c>
      <c r="AA426" t="s">
        <v>655</v>
      </c>
      <c r="AE426" t="b">
        <v>0</v>
      </c>
    </row>
    <row r="427" spans="1:31" x14ac:dyDescent="0.3">
      <c r="A427" t="s">
        <v>1125</v>
      </c>
      <c r="B427" t="s">
        <v>1126</v>
      </c>
      <c r="C427" t="b">
        <v>1</v>
      </c>
      <c r="D427" t="s">
        <v>416</v>
      </c>
      <c r="E427" t="s">
        <v>419</v>
      </c>
      <c r="F427" t="s">
        <v>420</v>
      </c>
      <c r="G427" t="s">
        <v>421</v>
      </c>
      <c r="H427" t="s">
        <v>420</v>
      </c>
      <c r="I427">
        <v>96</v>
      </c>
      <c r="J427" t="s">
        <v>7</v>
      </c>
      <c r="K427">
        <v>0</v>
      </c>
      <c r="L427" s="5">
        <v>96</v>
      </c>
      <c r="M427">
        <v>82.2</v>
      </c>
      <c r="N427" t="s">
        <v>21</v>
      </c>
      <c r="O427" t="str">
        <f t="shared" si="33"/>
        <v>nM</v>
      </c>
      <c r="T427" t="s">
        <v>427</v>
      </c>
      <c r="U427">
        <v>30</v>
      </c>
      <c r="V427" t="s">
        <v>22</v>
      </c>
      <c r="W427" t="s">
        <v>23</v>
      </c>
      <c r="X427">
        <v>0</v>
      </c>
      <c r="Y427">
        <v>1</v>
      </c>
      <c r="AA427" t="s">
        <v>655</v>
      </c>
      <c r="AE427" t="b">
        <v>0</v>
      </c>
    </row>
    <row r="428" spans="1:31" x14ac:dyDescent="0.3">
      <c r="A428" t="s">
        <v>1125</v>
      </c>
      <c r="B428" t="s">
        <v>1126</v>
      </c>
      <c r="C428" t="b">
        <v>1</v>
      </c>
      <c r="D428" t="s">
        <v>416</v>
      </c>
      <c r="E428" t="s">
        <v>419</v>
      </c>
      <c r="F428" t="s">
        <v>420</v>
      </c>
      <c r="G428" t="s">
        <v>421</v>
      </c>
      <c r="H428" t="s">
        <v>420</v>
      </c>
      <c r="I428">
        <v>96</v>
      </c>
      <c r="J428" t="s">
        <v>828</v>
      </c>
      <c r="K428">
        <v>24</v>
      </c>
      <c r="L428" s="5">
        <v>24</v>
      </c>
      <c r="M428">
        <v>31.4</v>
      </c>
      <c r="N428" t="s">
        <v>21</v>
      </c>
      <c r="O428" t="str">
        <f t="shared" si="33"/>
        <v>nM</v>
      </c>
      <c r="T428" t="s">
        <v>925</v>
      </c>
      <c r="U428">
        <v>30</v>
      </c>
      <c r="V428" t="s">
        <v>22</v>
      </c>
      <c r="W428" t="s">
        <v>23</v>
      </c>
      <c r="X428">
        <v>0</v>
      </c>
      <c r="Y428">
        <v>1</v>
      </c>
      <c r="AA428" t="s">
        <v>655</v>
      </c>
      <c r="AE428" t="b">
        <v>0</v>
      </c>
    </row>
    <row r="429" spans="1:31" x14ac:dyDescent="0.3">
      <c r="A429" t="s">
        <v>1127</v>
      </c>
      <c r="B429" t="s">
        <v>1128</v>
      </c>
      <c r="C429" t="b">
        <v>1</v>
      </c>
      <c r="D429" t="s">
        <v>416</v>
      </c>
      <c r="E429" t="s">
        <v>419</v>
      </c>
      <c r="F429" t="s">
        <v>420</v>
      </c>
      <c r="G429" t="s">
        <v>421</v>
      </c>
      <c r="H429" t="s">
        <v>420</v>
      </c>
      <c r="I429">
        <v>96</v>
      </c>
      <c r="J429" t="s">
        <v>6</v>
      </c>
      <c r="K429">
        <v>0</v>
      </c>
      <c r="L429" s="5" t="s">
        <v>654</v>
      </c>
      <c r="M429">
        <v>4710.92</v>
      </c>
      <c r="N429" t="s">
        <v>20</v>
      </c>
      <c r="O429" t="str">
        <f t="shared" si="33"/>
        <v>ng*h/mL</v>
      </c>
      <c r="R429">
        <v>5299</v>
      </c>
      <c r="S429" t="s">
        <v>865</v>
      </c>
      <c r="T429" t="s">
        <v>423</v>
      </c>
      <c r="U429">
        <v>60</v>
      </c>
      <c r="V429" t="s">
        <v>22</v>
      </c>
      <c r="W429" t="s">
        <v>23</v>
      </c>
      <c r="X429">
        <v>0</v>
      </c>
      <c r="Y429">
        <v>1</v>
      </c>
      <c r="AA429" t="s">
        <v>655</v>
      </c>
      <c r="AE429" t="b">
        <v>0</v>
      </c>
    </row>
    <row r="430" spans="1:31" x14ac:dyDescent="0.3">
      <c r="A430" t="s">
        <v>1127</v>
      </c>
      <c r="B430" t="s">
        <v>1128</v>
      </c>
      <c r="C430" t="b">
        <v>1</v>
      </c>
      <c r="D430" t="s">
        <v>416</v>
      </c>
      <c r="E430" t="s">
        <v>419</v>
      </c>
      <c r="F430" t="s">
        <v>420</v>
      </c>
      <c r="G430" t="s">
        <v>421</v>
      </c>
      <c r="H430" t="s">
        <v>420</v>
      </c>
      <c r="I430">
        <v>96</v>
      </c>
      <c r="J430" t="s">
        <v>6</v>
      </c>
      <c r="K430">
        <v>0</v>
      </c>
      <c r="L430" s="5">
        <v>96</v>
      </c>
      <c r="M430">
        <v>3562.3</v>
      </c>
      <c r="N430" t="s">
        <v>20</v>
      </c>
      <c r="O430" t="str">
        <f t="shared" si="33"/>
        <v>ng*h/mL</v>
      </c>
      <c r="R430">
        <v>4007</v>
      </c>
      <c r="S430" t="s">
        <v>865</v>
      </c>
      <c r="T430" t="s">
        <v>425</v>
      </c>
      <c r="U430">
        <v>60</v>
      </c>
      <c r="V430" t="s">
        <v>22</v>
      </c>
      <c r="W430" t="s">
        <v>23</v>
      </c>
      <c r="X430">
        <v>0</v>
      </c>
      <c r="Y430">
        <v>1</v>
      </c>
      <c r="AA430" t="s">
        <v>655</v>
      </c>
      <c r="AE430" t="b">
        <v>0</v>
      </c>
    </row>
    <row r="431" spans="1:31" x14ac:dyDescent="0.3">
      <c r="A431" t="s">
        <v>1127</v>
      </c>
      <c r="B431" t="s">
        <v>1128</v>
      </c>
      <c r="C431" t="b">
        <v>1</v>
      </c>
      <c r="D431" t="s">
        <v>416</v>
      </c>
      <c r="E431" t="s">
        <v>419</v>
      </c>
      <c r="F431" t="s">
        <v>420</v>
      </c>
      <c r="G431" t="s">
        <v>421</v>
      </c>
      <c r="H431" t="s">
        <v>420</v>
      </c>
      <c r="I431">
        <v>96</v>
      </c>
      <c r="J431" t="s">
        <v>7</v>
      </c>
      <c r="K431">
        <v>0</v>
      </c>
      <c r="L431" s="5">
        <v>96</v>
      </c>
      <c r="M431">
        <v>133</v>
      </c>
      <c r="N431" t="s">
        <v>21</v>
      </c>
      <c r="O431" t="str">
        <f t="shared" si="33"/>
        <v>nM</v>
      </c>
      <c r="T431" t="s">
        <v>424</v>
      </c>
      <c r="U431">
        <v>60</v>
      </c>
      <c r="V431" t="s">
        <v>22</v>
      </c>
      <c r="W431" t="s">
        <v>23</v>
      </c>
      <c r="X431">
        <v>0</v>
      </c>
      <c r="Y431">
        <v>1</v>
      </c>
      <c r="AA431" t="s">
        <v>655</v>
      </c>
      <c r="AE431" t="b">
        <v>0</v>
      </c>
    </row>
    <row r="432" spans="1:31" x14ac:dyDescent="0.3">
      <c r="A432" t="s">
        <v>1127</v>
      </c>
      <c r="B432" t="s">
        <v>1128</v>
      </c>
      <c r="C432" t="b">
        <v>1</v>
      </c>
      <c r="D432" t="s">
        <v>416</v>
      </c>
      <c r="E432" t="s">
        <v>419</v>
      </c>
      <c r="F432" t="s">
        <v>420</v>
      </c>
      <c r="G432" t="s">
        <v>421</v>
      </c>
      <c r="H432" t="s">
        <v>420</v>
      </c>
      <c r="I432">
        <v>96</v>
      </c>
      <c r="J432" t="s">
        <v>828</v>
      </c>
      <c r="K432">
        <v>24</v>
      </c>
      <c r="L432" s="5">
        <v>24</v>
      </c>
      <c r="M432">
        <v>56.4</v>
      </c>
      <c r="N432" t="s">
        <v>21</v>
      </c>
      <c r="O432" t="str">
        <f t="shared" si="33"/>
        <v>nM</v>
      </c>
      <c r="T432" t="s">
        <v>926</v>
      </c>
      <c r="U432">
        <v>60</v>
      </c>
      <c r="V432" t="s">
        <v>22</v>
      </c>
      <c r="W432" t="s">
        <v>23</v>
      </c>
      <c r="X432">
        <v>0</v>
      </c>
      <c r="Y432">
        <v>1</v>
      </c>
      <c r="AA432" t="s">
        <v>655</v>
      </c>
      <c r="AE432" t="b">
        <v>0</v>
      </c>
    </row>
    <row r="433" spans="1:32" x14ac:dyDescent="0.3">
      <c r="A433" t="s">
        <v>1129</v>
      </c>
      <c r="B433" t="s">
        <v>1130</v>
      </c>
      <c r="C433" t="b">
        <v>1</v>
      </c>
      <c r="D433" t="s">
        <v>416</v>
      </c>
      <c r="E433" t="s">
        <v>419</v>
      </c>
      <c r="F433" t="s">
        <v>420</v>
      </c>
      <c r="G433" t="s">
        <v>421</v>
      </c>
      <c r="H433" t="s">
        <v>420</v>
      </c>
      <c r="I433">
        <v>96</v>
      </c>
      <c r="J433" t="s">
        <v>6</v>
      </c>
      <c r="K433">
        <v>0</v>
      </c>
      <c r="L433" s="5" t="s">
        <v>654</v>
      </c>
      <c r="M433">
        <v>7697.14</v>
      </c>
      <c r="N433" t="s">
        <v>20</v>
      </c>
      <c r="O433" t="str">
        <f t="shared" si="33"/>
        <v>ng*h/mL</v>
      </c>
      <c r="R433">
        <v>8658</v>
      </c>
      <c r="S433" t="s">
        <v>865</v>
      </c>
      <c r="T433" t="s">
        <v>417</v>
      </c>
      <c r="U433">
        <v>100</v>
      </c>
      <c r="V433" t="s">
        <v>22</v>
      </c>
      <c r="W433" t="s">
        <v>23</v>
      </c>
      <c r="X433">
        <v>0</v>
      </c>
      <c r="Y433">
        <v>1</v>
      </c>
      <c r="AA433" t="s">
        <v>655</v>
      </c>
      <c r="AE433" t="b">
        <v>0</v>
      </c>
    </row>
    <row r="434" spans="1:32" x14ac:dyDescent="0.3">
      <c r="A434" t="s">
        <v>1129</v>
      </c>
      <c r="B434" t="s">
        <v>1130</v>
      </c>
      <c r="C434" t="b">
        <v>1</v>
      </c>
      <c r="D434" t="s">
        <v>416</v>
      </c>
      <c r="E434" t="s">
        <v>419</v>
      </c>
      <c r="F434" t="s">
        <v>420</v>
      </c>
      <c r="G434" t="s">
        <v>421</v>
      </c>
      <c r="H434" t="s">
        <v>420</v>
      </c>
      <c r="I434">
        <v>96</v>
      </c>
      <c r="J434" t="s">
        <v>6</v>
      </c>
      <c r="K434">
        <v>0</v>
      </c>
      <c r="L434" s="5">
        <v>96</v>
      </c>
      <c r="M434">
        <v>6265.81</v>
      </c>
      <c r="N434" t="s">
        <v>20</v>
      </c>
      <c r="O434" t="str">
        <f t="shared" si="33"/>
        <v>ng*h/mL</v>
      </c>
      <c r="R434">
        <v>7048</v>
      </c>
      <c r="S434" t="s">
        <v>865</v>
      </c>
      <c r="T434" t="s">
        <v>422</v>
      </c>
      <c r="U434">
        <v>100</v>
      </c>
      <c r="V434" t="s">
        <v>22</v>
      </c>
      <c r="W434" t="s">
        <v>23</v>
      </c>
      <c r="X434">
        <v>0</v>
      </c>
      <c r="Y434">
        <v>1</v>
      </c>
      <c r="AA434" t="s">
        <v>655</v>
      </c>
      <c r="AE434" t="b">
        <v>0</v>
      </c>
    </row>
    <row r="435" spans="1:32" x14ac:dyDescent="0.3">
      <c r="A435" t="s">
        <v>1129</v>
      </c>
      <c r="B435" t="s">
        <v>1130</v>
      </c>
      <c r="C435" t="b">
        <v>1</v>
      </c>
      <c r="D435" t="s">
        <v>416</v>
      </c>
      <c r="E435" t="s">
        <v>419</v>
      </c>
      <c r="F435" t="s">
        <v>420</v>
      </c>
      <c r="G435" t="s">
        <v>421</v>
      </c>
      <c r="H435" t="s">
        <v>420</v>
      </c>
      <c r="I435">
        <v>96</v>
      </c>
      <c r="J435" t="s">
        <v>7</v>
      </c>
      <c r="K435">
        <v>0</v>
      </c>
      <c r="L435" s="5">
        <v>96</v>
      </c>
      <c r="M435">
        <v>242</v>
      </c>
      <c r="N435" t="s">
        <v>21</v>
      </c>
      <c r="O435" t="str">
        <f t="shared" si="33"/>
        <v>nM</v>
      </c>
      <c r="T435" t="s">
        <v>418</v>
      </c>
      <c r="U435">
        <v>100</v>
      </c>
      <c r="V435" t="s">
        <v>22</v>
      </c>
      <c r="W435" t="s">
        <v>23</v>
      </c>
      <c r="X435">
        <v>0</v>
      </c>
      <c r="Y435">
        <v>1</v>
      </c>
      <c r="AA435" t="s">
        <v>655</v>
      </c>
      <c r="AE435" t="b">
        <v>0</v>
      </c>
    </row>
    <row r="436" spans="1:32" x14ac:dyDescent="0.3">
      <c r="A436" t="s">
        <v>1129</v>
      </c>
      <c r="B436" t="s">
        <v>1130</v>
      </c>
      <c r="C436" t="b">
        <v>1</v>
      </c>
      <c r="D436" t="s">
        <v>416</v>
      </c>
      <c r="E436" t="s">
        <v>419</v>
      </c>
      <c r="F436" t="s">
        <v>420</v>
      </c>
      <c r="G436" t="s">
        <v>421</v>
      </c>
      <c r="H436" t="s">
        <v>420</v>
      </c>
      <c r="I436">
        <v>96</v>
      </c>
      <c r="J436" t="s">
        <v>828</v>
      </c>
      <c r="K436">
        <v>24</v>
      </c>
      <c r="L436" s="5">
        <v>24</v>
      </c>
      <c r="M436">
        <v>98.8</v>
      </c>
      <c r="N436" t="s">
        <v>21</v>
      </c>
      <c r="O436" t="str">
        <f t="shared" si="33"/>
        <v>nM</v>
      </c>
      <c r="T436" t="s">
        <v>927</v>
      </c>
      <c r="U436">
        <v>100</v>
      </c>
      <c r="V436" t="s">
        <v>22</v>
      </c>
      <c r="W436" t="s">
        <v>23</v>
      </c>
      <c r="X436">
        <v>0</v>
      </c>
      <c r="Y436">
        <v>1</v>
      </c>
      <c r="AA436" t="s">
        <v>655</v>
      </c>
      <c r="AE436" t="b">
        <v>0</v>
      </c>
    </row>
    <row r="437" spans="1:32" x14ac:dyDescent="0.3">
      <c r="A437" t="s">
        <v>1131</v>
      </c>
      <c r="B437" t="s">
        <v>1132</v>
      </c>
      <c r="C437" t="b">
        <v>1</v>
      </c>
      <c r="D437" t="s">
        <v>435</v>
      </c>
      <c r="E437" t="s">
        <v>438</v>
      </c>
      <c r="F437" t="s">
        <v>439</v>
      </c>
      <c r="G437" t="s">
        <v>440</v>
      </c>
      <c r="H437" t="s">
        <v>439</v>
      </c>
      <c r="I437" s="2">
        <v>24</v>
      </c>
      <c r="J437" t="s">
        <v>6</v>
      </c>
      <c r="K437">
        <v>0</v>
      </c>
      <c r="L437" s="5" t="s">
        <v>654</v>
      </c>
      <c r="M437">
        <v>29220</v>
      </c>
      <c r="N437" t="s">
        <v>20</v>
      </c>
      <c r="O437" t="str">
        <f t="shared" si="33"/>
        <v>ng*h/mL</v>
      </c>
      <c r="T437" t="s">
        <v>436</v>
      </c>
      <c r="U437">
        <v>300</v>
      </c>
      <c r="V437" t="s">
        <v>22</v>
      </c>
      <c r="W437" t="s">
        <v>23</v>
      </c>
      <c r="X437">
        <v>0</v>
      </c>
      <c r="Y437">
        <v>1</v>
      </c>
      <c r="AA437" t="s">
        <v>655</v>
      </c>
      <c r="AD437">
        <f>0.5*(69.6+59)</f>
        <v>64.3</v>
      </c>
      <c r="AE437" t="b">
        <v>0</v>
      </c>
      <c r="AF437" t="s">
        <v>1188</v>
      </c>
    </row>
    <row r="438" spans="1:32" x14ac:dyDescent="0.3">
      <c r="A438" t="s">
        <v>1131</v>
      </c>
      <c r="B438" t="s">
        <v>1132</v>
      </c>
      <c r="C438" t="b">
        <v>1</v>
      </c>
      <c r="D438" t="s">
        <v>435</v>
      </c>
      <c r="E438" t="s">
        <v>438</v>
      </c>
      <c r="F438" t="s">
        <v>439</v>
      </c>
      <c r="G438" t="s">
        <v>440</v>
      </c>
      <c r="H438" t="s">
        <v>439</v>
      </c>
      <c r="I438" s="2">
        <v>24</v>
      </c>
      <c r="J438" t="s">
        <v>7</v>
      </c>
      <c r="K438">
        <v>0</v>
      </c>
      <c r="L438" s="5" t="s">
        <v>654</v>
      </c>
      <c r="M438">
        <v>19762.939999999999</v>
      </c>
      <c r="N438" t="s">
        <v>21</v>
      </c>
      <c r="O438" t="str">
        <f t="shared" si="33"/>
        <v>nM</v>
      </c>
      <c r="R438">
        <v>8.07</v>
      </c>
      <c r="S438" t="s">
        <v>660</v>
      </c>
      <c r="T438" t="s">
        <v>437</v>
      </c>
      <c r="U438">
        <v>300</v>
      </c>
      <c r="V438" t="s">
        <v>22</v>
      </c>
      <c r="W438" t="s">
        <v>23</v>
      </c>
      <c r="X438">
        <v>0</v>
      </c>
      <c r="Y438">
        <v>1</v>
      </c>
      <c r="AA438" t="s">
        <v>655</v>
      </c>
      <c r="AD438">
        <f t="shared" ref="AD438:AD454" si="35">0.5*(69.6+59)</f>
        <v>64.3</v>
      </c>
      <c r="AE438" t="b">
        <v>0</v>
      </c>
      <c r="AF438" t="s">
        <v>1188</v>
      </c>
    </row>
    <row r="439" spans="1:32" x14ac:dyDescent="0.3">
      <c r="A439" t="s">
        <v>1133</v>
      </c>
      <c r="B439" t="s">
        <v>1134</v>
      </c>
      <c r="C439" t="b">
        <v>1</v>
      </c>
      <c r="D439" t="s">
        <v>435</v>
      </c>
      <c r="E439" t="s">
        <v>438</v>
      </c>
      <c r="F439" t="s">
        <v>439</v>
      </c>
      <c r="G439" t="s">
        <v>440</v>
      </c>
      <c r="H439" t="s">
        <v>439</v>
      </c>
      <c r="I439" s="2">
        <v>24</v>
      </c>
      <c r="J439" t="s">
        <v>6</v>
      </c>
      <c r="K439">
        <v>0</v>
      </c>
      <c r="L439" s="5" t="s">
        <v>654</v>
      </c>
      <c r="M439">
        <v>48260</v>
      </c>
      <c r="N439" t="s">
        <v>20</v>
      </c>
      <c r="O439" t="str">
        <f t="shared" si="33"/>
        <v>ng*h/mL</v>
      </c>
      <c r="T439" t="s">
        <v>441</v>
      </c>
      <c r="U439">
        <v>600</v>
      </c>
      <c r="V439" t="s">
        <v>22</v>
      </c>
      <c r="W439" t="s">
        <v>23</v>
      </c>
      <c r="X439">
        <v>0</v>
      </c>
      <c r="Y439">
        <v>1</v>
      </c>
      <c r="AA439" t="s">
        <v>655</v>
      </c>
      <c r="AD439">
        <f t="shared" si="35"/>
        <v>64.3</v>
      </c>
      <c r="AE439" t="b">
        <v>0</v>
      </c>
      <c r="AF439" t="s">
        <v>1188</v>
      </c>
    </row>
    <row r="440" spans="1:32" x14ac:dyDescent="0.3">
      <c r="A440" t="s">
        <v>1133</v>
      </c>
      <c r="B440" t="s">
        <v>1134</v>
      </c>
      <c r="C440" t="b">
        <v>1</v>
      </c>
      <c r="D440" t="s">
        <v>435</v>
      </c>
      <c r="E440" t="s">
        <v>438</v>
      </c>
      <c r="F440" t="s">
        <v>439</v>
      </c>
      <c r="G440" t="s">
        <v>440</v>
      </c>
      <c r="H440" t="s">
        <v>439</v>
      </c>
      <c r="I440" s="2">
        <v>24</v>
      </c>
      <c r="J440" t="s">
        <v>7</v>
      </c>
      <c r="K440">
        <v>0</v>
      </c>
      <c r="L440" s="5" t="s">
        <v>654</v>
      </c>
      <c r="M440">
        <v>29975.02</v>
      </c>
      <c r="N440" t="s">
        <v>21</v>
      </c>
      <c r="O440" t="str">
        <f t="shared" si="33"/>
        <v>nM</v>
      </c>
      <c r="R440">
        <v>12.24</v>
      </c>
      <c r="S440" t="s">
        <v>660</v>
      </c>
      <c r="T440" t="s">
        <v>442</v>
      </c>
      <c r="U440">
        <v>600</v>
      </c>
      <c r="V440" t="s">
        <v>22</v>
      </c>
      <c r="W440" t="s">
        <v>23</v>
      </c>
      <c r="X440">
        <v>0</v>
      </c>
      <c r="Y440">
        <v>1</v>
      </c>
      <c r="AA440" t="s">
        <v>655</v>
      </c>
      <c r="AD440">
        <f t="shared" si="35"/>
        <v>64.3</v>
      </c>
      <c r="AE440" t="b">
        <v>0</v>
      </c>
      <c r="AF440" t="s">
        <v>1188</v>
      </c>
    </row>
    <row r="441" spans="1:32" x14ac:dyDescent="0.3">
      <c r="A441" t="s">
        <v>1135</v>
      </c>
      <c r="B441" t="s">
        <v>1136</v>
      </c>
      <c r="C441" t="b">
        <v>1</v>
      </c>
      <c r="D441" t="s">
        <v>435</v>
      </c>
      <c r="E441" t="s">
        <v>438</v>
      </c>
      <c r="F441" t="s">
        <v>439</v>
      </c>
      <c r="G441" t="s">
        <v>440</v>
      </c>
      <c r="H441" t="s">
        <v>439</v>
      </c>
      <c r="I441">
        <v>24</v>
      </c>
      <c r="J441" t="s">
        <v>6</v>
      </c>
      <c r="K441">
        <v>0</v>
      </c>
      <c r="L441" s="5">
        <v>24</v>
      </c>
      <c r="M441">
        <v>68610</v>
      </c>
      <c r="N441" t="s">
        <v>20</v>
      </c>
      <c r="O441" t="str">
        <f t="shared" si="33"/>
        <v>ng*h/mL</v>
      </c>
      <c r="T441" t="s">
        <v>929</v>
      </c>
      <c r="U441">
        <v>600</v>
      </c>
      <c r="V441" t="s">
        <v>22</v>
      </c>
      <c r="W441" t="s">
        <v>23</v>
      </c>
      <c r="X441">
        <v>0</v>
      </c>
      <c r="Y441">
        <v>1</v>
      </c>
      <c r="AA441" t="s">
        <v>655</v>
      </c>
      <c r="AD441">
        <f t="shared" si="35"/>
        <v>64.3</v>
      </c>
      <c r="AE441" t="b">
        <v>1</v>
      </c>
      <c r="AF441" t="s">
        <v>1189</v>
      </c>
    </row>
    <row r="442" spans="1:32" x14ac:dyDescent="0.3">
      <c r="A442" t="s">
        <v>1135</v>
      </c>
      <c r="B442" t="s">
        <v>1136</v>
      </c>
      <c r="C442" t="b">
        <v>1</v>
      </c>
      <c r="D442" t="s">
        <v>435</v>
      </c>
      <c r="E442" t="s">
        <v>438</v>
      </c>
      <c r="F442" t="s">
        <v>439</v>
      </c>
      <c r="G442" t="s">
        <v>440</v>
      </c>
      <c r="H442" t="s">
        <v>439</v>
      </c>
      <c r="I442">
        <v>24</v>
      </c>
      <c r="J442" t="s">
        <v>7</v>
      </c>
      <c r="K442">
        <v>0</v>
      </c>
      <c r="L442" s="5">
        <v>24</v>
      </c>
      <c r="M442">
        <v>49811.43</v>
      </c>
      <c r="N442" t="s">
        <v>21</v>
      </c>
      <c r="O442" t="str">
        <f t="shared" si="33"/>
        <v>nM</v>
      </c>
      <c r="R442">
        <v>20.34</v>
      </c>
      <c r="S442" t="s">
        <v>660</v>
      </c>
      <c r="T442" t="s">
        <v>443</v>
      </c>
      <c r="U442">
        <v>600</v>
      </c>
      <c r="V442" t="s">
        <v>22</v>
      </c>
      <c r="W442" t="s">
        <v>23</v>
      </c>
      <c r="X442">
        <v>0</v>
      </c>
      <c r="Y442">
        <v>1</v>
      </c>
      <c r="AA442" t="s">
        <v>655</v>
      </c>
      <c r="AD442">
        <f t="shared" si="35"/>
        <v>64.3</v>
      </c>
      <c r="AE442" t="b">
        <v>1</v>
      </c>
      <c r="AF442" t="s">
        <v>1189</v>
      </c>
    </row>
    <row r="443" spans="1:32" x14ac:dyDescent="0.3">
      <c r="A443" t="s">
        <v>639</v>
      </c>
      <c r="B443" t="s">
        <v>757</v>
      </c>
      <c r="C443" t="b">
        <v>1</v>
      </c>
      <c r="D443" t="s">
        <v>435</v>
      </c>
      <c r="E443" t="s">
        <v>438</v>
      </c>
      <c r="F443" t="s">
        <v>439</v>
      </c>
      <c r="G443" t="s">
        <v>440</v>
      </c>
      <c r="H443" t="s">
        <v>439</v>
      </c>
      <c r="I443">
        <f t="shared" ref="I443:I444" si="36">L443</f>
        <v>360</v>
      </c>
      <c r="J443" t="s">
        <v>6</v>
      </c>
      <c r="K443">
        <f>14*24</f>
        <v>336</v>
      </c>
      <c r="L443" s="5">
        <f xml:space="preserve"> 15*24</f>
        <v>360</v>
      </c>
      <c r="M443">
        <v>72910</v>
      </c>
      <c r="N443" t="s">
        <v>20</v>
      </c>
      <c r="O443" t="str">
        <f t="shared" si="33"/>
        <v>ng*h/mL</v>
      </c>
      <c r="T443" t="s">
        <v>928</v>
      </c>
      <c r="U443">
        <v>600</v>
      </c>
      <c r="V443" t="s">
        <v>22</v>
      </c>
      <c r="W443" t="s">
        <v>23</v>
      </c>
      <c r="X443">
        <v>0</v>
      </c>
      <c r="Y443">
        <f>2+13*2</f>
        <v>28</v>
      </c>
      <c r="Z443">
        <v>12</v>
      </c>
      <c r="AA443" t="s">
        <v>655</v>
      </c>
      <c r="AD443">
        <f t="shared" si="35"/>
        <v>64.3</v>
      </c>
      <c r="AE443" t="b">
        <v>1</v>
      </c>
      <c r="AF443" t="s">
        <v>1189</v>
      </c>
    </row>
    <row r="444" spans="1:32" x14ac:dyDescent="0.3">
      <c r="A444" t="s">
        <v>639</v>
      </c>
      <c r="B444" t="s">
        <v>757</v>
      </c>
      <c r="C444" t="b">
        <v>1</v>
      </c>
      <c r="D444" t="s">
        <v>435</v>
      </c>
      <c r="E444" t="s">
        <v>438</v>
      </c>
      <c r="F444" t="s">
        <v>439</v>
      </c>
      <c r="G444" t="s">
        <v>440</v>
      </c>
      <c r="H444" t="s">
        <v>439</v>
      </c>
      <c r="I444">
        <f t="shared" si="36"/>
        <v>360</v>
      </c>
      <c r="J444" t="s">
        <v>7</v>
      </c>
      <c r="K444">
        <f>14*24</f>
        <v>336</v>
      </c>
      <c r="L444" s="5">
        <f xml:space="preserve"> 15*24</f>
        <v>360</v>
      </c>
      <c r="M444">
        <v>50472.65</v>
      </c>
      <c r="N444" t="s">
        <v>21</v>
      </c>
      <c r="O444" t="str">
        <f t="shared" si="33"/>
        <v>nM</v>
      </c>
      <c r="R444">
        <v>20.61</v>
      </c>
      <c r="S444" t="s">
        <v>660</v>
      </c>
      <c r="T444" t="s">
        <v>444</v>
      </c>
      <c r="U444">
        <v>600</v>
      </c>
      <c r="V444" t="s">
        <v>22</v>
      </c>
      <c r="W444" t="s">
        <v>23</v>
      </c>
      <c r="X444">
        <v>0</v>
      </c>
      <c r="Y444">
        <f>2+13*2</f>
        <v>28</v>
      </c>
      <c r="Z444">
        <v>12</v>
      </c>
      <c r="AA444" t="s">
        <v>655</v>
      </c>
      <c r="AD444">
        <f t="shared" si="35"/>
        <v>64.3</v>
      </c>
      <c r="AE444" t="b">
        <v>1</v>
      </c>
      <c r="AF444" t="s">
        <v>1189</v>
      </c>
    </row>
    <row r="445" spans="1:32" x14ac:dyDescent="0.3">
      <c r="A445" t="s">
        <v>1137</v>
      </c>
      <c r="B445" t="s">
        <v>1138</v>
      </c>
      <c r="C445" t="b">
        <v>1</v>
      </c>
      <c r="D445" t="s">
        <v>435</v>
      </c>
      <c r="E445" t="s">
        <v>438</v>
      </c>
      <c r="F445" t="s">
        <v>439</v>
      </c>
      <c r="G445" t="s">
        <v>440</v>
      </c>
      <c r="H445" t="s">
        <v>439</v>
      </c>
      <c r="I445">
        <v>24</v>
      </c>
      <c r="J445" t="s">
        <v>6</v>
      </c>
      <c r="K445">
        <v>0</v>
      </c>
      <c r="L445" s="5">
        <v>24</v>
      </c>
      <c r="M445">
        <v>91850</v>
      </c>
      <c r="N445" t="s">
        <v>20</v>
      </c>
      <c r="O445" t="str">
        <f t="shared" si="33"/>
        <v>ng*h/mL</v>
      </c>
      <c r="T445" t="s">
        <v>930</v>
      </c>
      <c r="U445">
        <v>800</v>
      </c>
      <c r="V445" t="s">
        <v>22</v>
      </c>
      <c r="W445" t="s">
        <v>23</v>
      </c>
      <c r="X445">
        <v>0</v>
      </c>
      <c r="Y445">
        <v>1</v>
      </c>
      <c r="AA445" t="s">
        <v>655</v>
      </c>
      <c r="AD445">
        <f t="shared" si="35"/>
        <v>64.3</v>
      </c>
      <c r="AE445" t="b">
        <v>1</v>
      </c>
      <c r="AF445" t="s">
        <v>1190</v>
      </c>
    </row>
    <row r="446" spans="1:32" x14ac:dyDescent="0.3">
      <c r="A446" t="s">
        <v>1137</v>
      </c>
      <c r="B446" t="s">
        <v>1138</v>
      </c>
      <c r="C446" t="b">
        <v>1</v>
      </c>
      <c r="D446" t="s">
        <v>435</v>
      </c>
      <c r="E446" t="s">
        <v>438</v>
      </c>
      <c r="F446" t="s">
        <v>439</v>
      </c>
      <c r="G446" t="s">
        <v>440</v>
      </c>
      <c r="H446" t="s">
        <v>439</v>
      </c>
      <c r="I446">
        <v>24</v>
      </c>
      <c r="J446" t="s">
        <v>7</v>
      </c>
      <c r="K446">
        <v>0</v>
      </c>
      <c r="L446" s="5">
        <v>24</v>
      </c>
      <c r="M446">
        <v>68080.53</v>
      </c>
      <c r="N446" t="s">
        <v>21</v>
      </c>
      <c r="O446" t="str">
        <f t="shared" si="33"/>
        <v>nM</v>
      </c>
      <c r="R446">
        <v>27.8</v>
      </c>
      <c r="S446" t="s">
        <v>660</v>
      </c>
      <c r="T446" t="s">
        <v>931</v>
      </c>
      <c r="U446">
        <v>800</v>
      </c>
      <c r="V446" t="s">
        <v>22</v>
      </c>
      <c r="W446" t="s">
        <v>23</v>
      </c>
      <c r="X446">
        <v>0</v>
      </c>
      <c r="Y446">
        <v>1</v>
      </c>
      <c r="AA446" t="s">
        <v>655</v>
      </c>
      <c r="AD446">
        <f t="shared" si="35"/>
        <v>64.3</v>
      </c>
      <c r="AE446" t="b">
        <v>1</v>
      </c>
      <c r="AF446" t="s">
        <v>1190</v>
      </c>
    </row>
    <row r="447" spans="1:32" x14ac:dyDescent="0.3">
      <c r="A447" t="s">
        <v>1139</v>
      </c>
      <c r="B447" t="s">
        <v>1140</v>
      </c>
      <c r="C447" t="b">
        <v>1</v>
      </c>
      <c r="D447" t="s">
        <v>435</v>
      </c>
      <c r="E447" t="s">
        <v>438</v>
      </c>
      <c r="F447" t="s">
        <v>439</v>
      </c>
      <c r="G447" t="s">
        <v>440</v>
      </c>
      <c r="H447" t="s">
        <v>439</v>
      </c>
      <c r="I447">
        <f>L447</f>
        <v>360</v>
      </c>
      <c r="J447" t="s">
        <v>6</v>
      </c>
      <c r="K447">
        <f>14*24</f>
        <v>336</v>
      </c>
      <c r="L447" s="5">
        <f xml:space="preserve"> 15*24</f>
        <v>360</v>
      </c>
      <c r="M447">
        <v>90380</v>
      </c>
      <c r="N447" t="s">
        <v>20</v>
      </c>
      <c r="O447" t="str">
        <f t="shared" si="33"/>
        <v>ng*h/mL</v>
      </c>
      <c r="T447" t="s">
        <v>932</v>
      </c>
      <c r="U447">
        <v>800</v>
      </c>
      <c r="V447" t="s">
        <v>22</v>
      </c>
      <c r="W447" t="s">
        <v>23</v>
      </c>
      <c r="X447">
        <v>0</v>
      </c>
      <c r="Y447">
        <f t="shared" ref="Y447:Y448" si="37">2+13*2</f>
        <v>28</v>
      </c>
      <c r="Z447">
        <v>12</v>
      </c>
      <c r="AA447" t="s">
        <v>655</v>
      </c>
      <c r="AD447">
        <f t="shared" si="35"/>
        <v>64.3</v>
      </c>
      <c r="AE447" t="b">
        <v>1</v>
      </c>
      <c r="AF447" t="s">
        <v>1190</v>
      </c>
    </row>
    <row r="448" spans="1:32" x14ac:dyDescent="0.3">
      <c r="A448" t="s">
        <v>1139</v>
      </c>
      <c r="B448" t="s">
        <v>1140</v>
      </c>
      <c r="C448" t="b">
        <v>1</v>
      </c>
      <c r="D448" t="s">
        <v>435</v>
      </c>
      <c r="E448" t="s">
        <v>438</v>
      </c>
      <c r="F448" t="s">
        <v>439</v>
      </c>
      <c r="G448" t="s">
        <v>440</v>
      </c>
      <c r="H448" t="s">
        <v>439</v>
      </c>
      <c r="I448">
        <f>L448</f>
        <v>360</v>
      </c>
      <c r="J448" t="s">
        <v>7</v>
      </c>
      <c r="K448">
        <f>14*24</f>
        <v>336</v>
      </c>
      <c r="L448" s="5">
        <f xml:space="preserve"> 15*24</f>
        <v>360</v>
      </c>
      <c r="M448">
        <v>64774.45</v>
      </c>
      <c r="N448" t="s">
        <v>21</v>
      </c>
      <c r="O448" t="str">
        <f t="shared" si="33"/>
        <v>nM</v>
      </c>
      <c r="R448">
        <v>26.45</v>
      </c>
      <c r="S448" t="s">
        <v>660</v>
      </c>
      <c r="T448" t="s">
        <v>933</v>
      </c>
      <c r="U448">
        <v>800</v>
      </c>
      <c r="V448" t="s">
        <v>22</v>
      </c>
      <c r="W448" t="s">
        <v>23</v>
      </c>
      <c r="X448">
        <v>0</v>
      </c>
      <c r="Y448">
        <f t="shared" si="37"/>
        <v>28</v>
      </c>
      <c r="Z448">
        <v>12</v>
      </c>
      <c r="AA448" t="s">
        <v>655</v>
      </c>
      <c r="AD448">
        <f t="shared" si="35"/>
        <v>64.3</v>
      </c>
      <c r="AE448" t="b">
        <v>1</v>
      </c>
      <c r="AF448" t="s">
        <v>1190</v>
      </c>
    </row>
    <row r="449" spans="1:32" x14ac:dyDescent="0.3">
      <c r="A449" t="s">
        <v>1141</v>
      </c>
      <c r="B449" t="s">
        <v>1142</v>
      </c>
      <c r="C449" t="b">
        <v>1</v>
      </c>
      <c r="D449" t="s">
        <v>435</v>
      </c>
      <c r="E449" t="s">
        <v>438</v>
      </c>
      <c r="F449" t="s">
        <v>439</v>
      </c>
      <c r="G449" t="s">
        <v>440</v>
      </c>
      <c r="H449" t="s">
        <v>439</v>
      </c>
      <c r="I449" s="2">
        <v>24</v>
      </c>
      <c r="J449" t="s">
        <v>6</v>
      </c>
      <c r="K449">
        <v>0</v>
      </c>
      <c r="L449" s="5" t="s">
        <v>654</v>
      </c>
      <c r="M449">
        <v>59160</v>
      </c>
      <c r="N449" t="s">
        <v>20</v>
      </c>
      <c r="O449" t="str">
        <f t="shared" si="33"/>
        <v>ng*h/mL</v>
      </c>
      <c r="T449" t="s">
        <v>445</v>
      </c>
      <c r="U449">
        <v>900</v>
      </c>
      <c r="V449" t="s">
        <v>22</v>
      </c>
      <c r="W449" t="s">
        <v>23</v>
      </c>
      <c r="X449">
        <v>0</v>
      </c>
      <c r="Y449">
        <v>1</v>
      </c>
      <c r="AA449" t="s">
        <v>655</v>
      </c>
      <c r="AD449">
        <f t="shared" si="35"/>
        <v>64.3</v>
      </c>
      <c r="AE449" t="b">
        <v>0</v>
      </c>
      <c r="AF449" t="s">
        <v>1188</v>
      </c>
    </row>
    <row r="450" spans="1:32" x14ac:dyDescent="0.3">
      <c r="A450" t="s">
        <v>1141</v>
      </c>
      <c r="B450" t="s">
        <v>1142</v>
      </c>
      <c r="C450" t="b">
        <v>1</v>
      </c>
      <c r="D450" t="s">
        <v>435</v>
      </c>
      <c r="E450" t="s">
        <v>438</v>
      </c>
      <c r="F450" t="s">
        <v>439</v>
      </c>
      <c r="G450" t="s">
        <v>440</v>
      </c>
      <c r="H450" t="s">
        <v>439</v>
      </c>
      <c r="I450" s="2">
        <v>24</v>
      </c>
      <c r="J450" t="s">
        <v>7</v>
      </c>
      <c r="K450">
        <v>0</v>
      </c>
      <c r="L450" s="5" t="s">
        <v>654</v>
      </c>
      <c r="M450">
        <v>37346.33</v>
      </c>
      <c r="N450" t="s">
        <v>21</v>
      </c>
      <c r="O450" t="str">
        <f t="shared" si="33"/>
        <v>nM</v>
      </c>
      <c r="R450">
        <v>15.25</v>
      </c>
      <c r="S450" t="s">
        <v>660</v>
      </c>
      <c r="T450" t="s">
        <v>446</v>
      </c>
      <c r="U450">
        <v>900</v>
      </c>
      <c r="V450" t="s">
        <v>22</v>
      </c>
      <c r="W450" t="s">
        <v>23</v>
      </c>
      <c r="X450">
        <v>0</v>
      </c>
      <c r="Y450">
        <v>1</v>
      </c>
      <c r="AA450" t="s">
        <v>655</v>
      </c>
      <c r="AD450">
        <f t="shared" si="35"/>
        <v>64.3</v>
      </c>
      <c r="AE450" t="b">
        <v>0</v>
      </c>
      <c r="AF450" t="s">
        <v>1188</v>
      </c>
    </row>
    <row r="451" spans="1:32" x14ac:dyDescent="0.3">
      <c r="A451" t="s">
        <v>1141</v>
      </c>
      <c r="B451" t="s">
        <v>1142</v>
      </c>
      <c r="C451" t="b">
        <v>1</v>
      </c>
      <c r="D451" t="s">
        <v>435</v>
      </c>
      <c r="E451" t="s">
        <v>438</v>
      </c>
      <c r="F451" t="s">
        <v>439</v>
      </c>
      <c r="G451" t="s">
        <v>440</v>
      </c>
      <c r="H451" t="s">
        <v>439</v>
      </c>
      <c r="I451" s="2">
        <v>24</v>
      </c>
      <c r="J451" t="s">
        <v>6</v>
      </c>
      <c r="K451">
        <v>0</v>
      </c>
      <c r="L451" s="5" t="s">
        <v>654</v>
      </c>
      <c r="M451">
        <v>66570</v>
      </c>
      <c r="N451" t="s">
        <v>20</v>
      </c>
      <c r="O451" t="str">
        <f t="shared" ref="O451:O514" si="38">IF(EXACT(N451,"ng.hr.mL-1"),"ng*h/mL",IF(EXACT(N451,"ug.mL-1"),"ug/mL",N451))</f>
        <v>ng*h/mL</v>
      </c>
      <c r="T451" t="s">
        <v>445</v>
      </c>
      <c r="U451">
        <v>900</v>
      </c>
      <c r="V451" t="s">
        <v>22</v>
      </c>
      <c r="W451" t="s">
        <v>23</v>
      </c>
      <c r="X451">
        <v>0</v>
      </c>
      <c r="Y451">
        <v>1</v>
      </c>
      <c r="AA451" t="s">
        <v>655</v>
      </c>
      <c r="AD451">
        <f t="shared" si="35"/>
        <v>64.3</v>
      </c>
      <c r="AE451" t="b">
        <v>0</v>
      </c>
      <c r="AF451" t="s">
        <v>1188</v>
      </c>
    </row>
    <row r="452" spans="1:32" x14ac:dyDescent="0.3">
      <c r="A452" t="s">
        <v>1141</v>
      </c>
      <c r="B452" t="s">
        <v>1142</v>
      </c>
      <c r="C452" t="b">
        <v>1</v>
      </c>
      <c r="D452" t="s">
        <v>435</v>
      </c>
      <c r="E452" t="s">
        <v>438</v>
      </c>
      <c r="F452" t="s">
        <v>439</v>
      </c>
      <c r="G452" t="s">
        <v>440</v>
      </c>
      <c r="H452" t="s">
        <v>439</v>
      </c>
      <c r="I452" s="2">
        <v>24</v>
      </c>
      <c r="J452" t="s">
        <v>7</v>
      </c>
      <c r="K452">
        <v>0</v>
      </c>
      <c r="L452" s="5" t="s">
        <v>654</v>
      </c>
      <c r="M452">
        <v>44325.81</v>
      </c>
      <c r="N452" t="s">
        <v>21</v>
      </c>
      <c r="O452" t="str">
        <f t="shared" si="38"/>
        <v>nM</v>
      </c>
      <c r="R452">
        <v>18.100000000000001</v>
      </c>
      <c r="S452" t="s">
        <v>660</v>
      </c>
      <c r="T452" t="s">
        <v>446</v>
      </c>
      <c r="U452">
        <v>900</v>
      </c>
      <c r="V452" t="s">
        <v>22</v>
      </c>
      <c r="W452" t="s">
        <v>23</v>
      </c>
      <c r="X452">
        <v>0</v>
      </c>
      <c r="Y452">
        <v>1</v>
      </c>
      <c r="AA452" t="s">
        <v>655</v>
      </c>
      <c r="AD452">
        <f t="shared" si="35"/>
        <v>64.3</v>
      </c>
      <c r="AE452" t="b">
        <v>0</v>
      </c>
      <c r="AF452" t="s">
        <v>1188</v>
      </c>
    </row>
    <row r="453" spans="1:32" x14ac:dyDescent="0.3">
      <c r="A453" t="s">
        <v>1143</v>
      </c>
      <c r="B453" t="s">
        <v>1144</v>
      </c>
      <c r="C453" t="b">
        <v>1</v>
      </c>
      <c r="D453" t="s">
        <v>435</v>
      </c>
      <c r="E453" t="s">
        <v>438</v>
      </c>
      <c r="F453" t="s">
        <v>439</v>
      </c>
      <c r="G453" t="s">
        <v>440</v>
      </c>
      <c r="H453" t="s">
        <v>439</v>
      </c>
      <c r="I453" s="2">
        <v>24</v>
      </c>
      <c r="J453" t="s">
        <v>6</v>
      </c>
      <c r="K453">
        <v>0</v>
      </c>
      <c r="L453" s="5" t="s">
        <v>654</v>
      </c>
      <c r="M453">
        <v>141140</v>
      </c>
      <c r="N453" t="s">
        <v>20</v>
      </c>
      <c r="O453" t="str">
        <f t="shared" si="38"/>
        <v>ng*h/mL</v>
      </c>
      <c r="T453" t="s">
        <v>448</v>
      </c>
      <c r="U453">
        <v>900</v>
      </c>
      <c r="V453" t="s">
        <v>22</v>
      </c>
      <c r="W453" t="s">
        <v>23</v>
      </c>
      <c r="X453">
        <v>0</v>
      </c>
      <c r="Y453">
        <v>1</v>
      </c>
      <c r="AA453" t="s">
        <v>655</v>
      </c>
      <c r="AD453">
        <f t="shared" si="35"/>
        <v>64.3</v>
      </c>
      <c r="AE453" t="b">
        <v>1</v>
      </c>
      <c r="AF453" t="s">
        <v>1188</v>
      </c>
    </row>
    <row r="454" spans="1:32" x14ac:dyDescent="0.3">
      <c r="A454" t="s">
        <v>1143</v>
      </c>
      <c r="B454" t="s">
        <v>1144</v>
      </c>
      <c r="C454" t="b">
        <v>1</v>
      </c>
      <c r="D454" t="s">
        <v>435</v>
      </c>
      <c r="E454" t="s">
        <v>438</v>
      </c>
      <c r="F454" t="s">
        <v>439</v>
      </c>
      <c r="G454" t="s">
        <v>440</v>
      </c>
      <c r="H454" t="s">
        <v>439</v>
      </c>
      <c r="I454" s="2">
        <v>24</v>
      </c>
      <c r="J454" t="s">
        <v>7</v>
      </c>
      <c r="K454">
        <v>0</v>
      </c>
      <c r="L454" s="5" t="s">
        <v>654</v>
      </c>
      <c r="M454">
        <v>103590.15</v>
      </c>
      <c r="N454" t="s">
        <v>21</v>
      </c>
      <c r="O454" t="str">
        <f t="shared" si="38"/>
        <v>nM</v>
      </c>
      <c r="R454">
        <v>42.3</v>
      </c>
      <c r="S454" t="s">
        <v>660</v>
      </c>
      <c r="T454" t="s">
        <v>447</v>
      </c>
      <c r="U454">
        <v>900</v>
      </c>
      <c r="V454" t="s">
        <v>22</v>
      </c>
      <c r="W454" t="s">
        <v>23</v>
      </c>
      <c r="X454">
        <v>0</v>
      </c>
      <c r="Y454">
        <v>1</v>
      </c>
      <c r="AA454" t="s">
        <v>655</v>
      </c>
      <c r="AD454">
        <f t="shared" si="35"/>
        <v>64.3</v>
      </c>
      <c r="AE454" t="b">
        <v>1</v>
      </c>
      <c r="AF454" t="s">
        <v>1188</v>
      </c>
    </row>
    <row r="455" spans="1:32" x14ac:dyDescent="0.3">
      <c r="A455" t="s">
        <v>640</v>
      </c>
      <c r="B455" t="s">
        <v>758</v>
      </c>
      <c r="C455" t="b">
        <v>1</v>
      </c>
      <c r="D455" t="s">
        <v>449</v>
      </c>
      <c r="E455" t="s">
        <v>452</v>
      </c>
      <c r="F455" t="s">
        <v>453</v>
      </c>
      <c r="G455" t="s">
        <v>454</v>
      </c>
      <c r="H455" t="s">
        <v>453</v>
      </c>
      <c r="I455">
        <v>144</v>
      </c>
      <c r="J455" t="s">
        <v>6</v>
      </c>
      <c r="K455">
        <v>0</v>
      </c>
      <c r="L455" s="5" t="s">
        <v>654</v>
      </c>
      <c r="M455">
        <v>2802</v>
      </c>
      <c r="N455" t="s">
        <v>20</v>
      </c>
      <c r="O455" t="str">
        <f t="shared" si="38"/>
        <v>ng*h/mL</v>
      </c>
      <c r="T455" t="s">
        <v>455</v>
      </c>
      <c r="U455">
        <v>25</v>
      </c>
      <c r="V455" t="s">
        <v>22</v>
      </c>
      <c r="W455" t="s">
        <v>23</v>
      </c>
      <c r="X455">
        <v>0</v>
      </c>
      <c r="Y455">
        <v>1</v>
      </c>
      <c r="AA455" t="s">
        <v>655</v>
      </c>
      <c r="AD455">
        <f xml:space="preserve"> 27*1.76^2</f>
        <v>83.635199999999998</v>
      </c>
      <c r="AE455" t="b">
        <v>0</v>
      </c>
      <c r="AF455" t="s">
        <v>1185</v>
      </c>
    </row>
    <row r="456" spans="1:32" x14ac:dyDescent="0.3">
      <c r="A456" t="s">
        <v>640</v>
      </c>
      <c r="B456" t="s">
        <v>758</v>
      </c>
      <c r="C456" t="b">
        <v>1</v>
      </c>
      <c r="D456" t="s">
        <v>449</v>
      </c>
      <c r="E456" t="s">
        <v>452</v>
      </c>
      <c r="F456" t="s">
        <v>453</v>
      </c>
      <c r="G456" t="s">
        <v>454</v>
      </c>
      <c r="H456" t="s">
        <v>453</v>
      </c>
      <c r="I456">
        <v>144</v>
      </c>
      <c r="J456" t="s">
        <v>6</v>
      </c>
      <c r="K456">
        <v>0</v>
      </c>
      <c r="L456" s="5">
        <v>144</v>
      </c>
      <c r="M456">
        <v>2787</v>
      </c>
      <c r="N456" t="s">
        <v>20</v>
      </c>
      <c r="O456" t="str">
        <f t="shared" si="38"/>
        <v>ng*h/mL</v>
      </c>
      <c r="T456" t="s">
        <v>450</v>
      </c>
      <c r="U456">
        <v>25</v>
      </c>
      <c r="V456" t="s">
        <v>22</v>
      </c>
      <c r="W456" t="s">
        <v>23</v>
      </c>
      <c r="X456">
        <v>0</v>
      </c>
      <c r="Y456">
        <v>1</v>
      </c>
      <c r="AA456" t="s">
        <v>655</v>
      </c>
      <c r="AD456">
        <f t="shared" ref="AD456:AD457" si="39" xml:space="preserve"> 27*1.76^2</f>
        <v>83.635199999999998</v>
      </c>
      <c r="AE456" t="b">
        <v>0</v>
      </c>
      <c r="AF456" t="s">
        <v>1185</v>
      </c>
    </row>
    <row r="457" spans="1:32" x14ac:dyDescent="0.3">
      <c r="A457" t="s">
        <v>640</v>
      </c>
      <c r="B457" t="s">
        <v>758</v>
      </c>
      <c r="C457" t="b">
        <v>1</v>
      </c>
      <c r="D457" t="s">
        <v>449</v>
      </c>
      <c r="E457" t="s">
        <v>452</v>
      </c>
      <c r="F457" t="s">
        <v>453</v>
      </c>
      <c r="G457" t="s">
        <v>454</v>
      </c>
      <c r="H457" t="s">
        <v>453</v>
      </c>
      <c r="I457">
        <v>144</v>
      </c>
      <c r="J457" t="s">
        <v>7</v>
      </c>
      <c r="K457">
        <v>0</v>
      </c>
      <c r="L457" s="5">
        <v>144</v>
      </c>
      <c r="M457">
        <v>1122.02</v>
      </c>
      <c r="N457" t="s">
        <v>21</v>
      </c>
      <c r="O457" t="str">
        <f t="shared" si="38"/>
        <v>nM</v>
      </c>
      <c r="R457">
        <v>490</v>
      </c>
      <c r="S457" t="s">
        <v>661</v>
      </c>
      <c r="T457" t="s">
        <v>451</v>
      </c>
      <c r="U457">
        <v>25</v>
      </c>
      <c r="V457" t="s">
        <v>22</v>
      </c>
      <c r="W457" t="s">
        <v>23</v>
      </c>
      <c r="X457">
        <v>0</v>
      </c>
      <c r="Y457">
        <v>1</v>
      </c>
      <c r="AA457" t="s">
        <v>655</v>
      </c>
      <c r="AD457">
        <f t="shared" si="39"/>
        <v>83.635199999999998</v>
      </c>
      <c r="AE457" t="b">
        <v>0</v>
      </c>
      <c r="AF457" t="s">
        <v>1185</v>
      </c>
    </row>
    <row r="458" spans="1:32" x14ac:dyDescent="0.3">
      <c r="A458" t="s">
        <v>641</v>
      </c>
      <c r="B458" t="s">
        <v>759</v>
      </c>
      <c r="C458" t="b">
        <v>1</v>
      </c>
      <c r="D458" t="s">
        <v>458</v>
      </c>
      <c r="E458" t="s">
        <v>461</v>
      </c>
      <c r="F458" t="s">
        <v>462</v>
      </c>
      <c r="G458" t="s">
        <v>463</v>
      </c>
      <c r="H458" t="s">
        <v>464</v>
      </c>
      <c r="I458">
        <v>168</v>
      </c>
      <c r="J458" t="s">
        <v>6</v>
      </c>
      <c r="K458">
        <v>0</v>
      </c>
      <c r="L458" s="5" t="s">
        <v>654</v>
      </c>
      <c r="M458">
        <v>3580</v>
      </c>
      <c r="N458" t="s">
        <v>20</v>
      </c>
      <c r="O458" t="str">
        <f t="shared" si="38"/>
        <v>ng*h/mL</v>
      </c>
      <c r="T458" t="s">
        <v>459</v>
      </c>
      <c r="U458">
        <v>250</v>
      </c>
      <c r="V458" t="s">
        <v>22</v>
      </c>
      <c r="W458" t="s">
        <v>23</v>
      </c>
      <c r="X458">
        <v>0</v>
      </c>
      <c r="Y458">
        <v>1</v>
      </c>
      <c r="AA458" t="s">
        <v>655</v>
      </c>
      <c r="AD458">
        <v>73.8</v>
      </c>
      <c r="AE458" t="b">
        <v>0</v>
      </c>
    </row>
    <row r="459" spans="1:32" x14ac:dyDescent="0.3">
      <c r="A459" t="s">
        <v>641</v>
      </c>
      <c r="B459" t="s">
        <v>759</v>
      </c>
      <c r="C459" t="b">
        <v>1</v>
      </c>
      <c r="D459" t="s">
        <v>458</v>
      </c>
      <c r="E459" t="s">
        <v>461</v>
      </c>
      <c r="F459" t="s">
        <v>462</v>
      </c>
      <c r="G459" t="s">
        <v>463</v>
      </c>
      <c r="H459" t="s">
        <v>464</v>
      </c>
      <c r="I459">
        <v>168</v>
      </c>
      <c r="J459" t="s">
        <v>7</v>
      </c>
      <c r="K459">
        <v>0</v>
      </c>
      <c r="L459" s="5">
        <v>168</v>
      </c>
      <c r="M459">
        <v>0.33</v>
      </c>
      <c r="N459" t="s">
        <v>155</v>
      </c>
      <c r="O459" t="str">
        <f t="shared" si="38"/>
        <v>ug/mL</v>
      </c>
      <c r="T459" t="s">
        <v>460</v>
      </c>
      <c r="U459">
        <v>250</v>
      </c>
      <c r="V459" t="s">
        <v>22</v>
      </c>
      <c r="W459" t="s">
        <v>23</v>
      </c>
      <c r="X459">
        <v>0</v>
      </c>
      <c r="Y459">
        <v>1</v>
      </c>
      <c r="AA459" t="s">
        <v>655</v>
      </c>
      <c r="AD459">
        <v>73.8</v>
      </c>
      <c r="AE459" t="b">
        <v>0</v>
      </c>
    </row>
    <row r="460" spans="1:32" x14ac:dyDescent="0.3">
      <c r="A460" t="s">
        <v>642</v>
      </c>
      <c r="B460" t="s">
        <v>760</v>
      </c>
      <c r="C460" t="b">
        <v>1</v>
      </c>
      <c r="D460" t="s">
        <v>465</v>
      </c>
      <c r="E460" t="s">
        <v>456</v>
      </c>
      <c r="F460" t="s">
        <v>457</v>
      </c>
      <c r="G460" t="s">
        <v>468</v>
      </c>
      <c r="H460" t="s">
        <v>457</v>
      </c>
      <c r="I460">
        <v>168</v>
      </c>
      <c r="J460" t="s">
        <v>6</v>
      </c>
      <c r="K460">
        <v>0</v>
      </c>
      <c r="L460" s="5" t="s">
        <v>654</v>
      </c>
      <c r="M460">
        <v>1330</v>
      </c>
      <c r="N460" t="s">
        <v>20</v>
      </c>
      <c r="O460" t="str">
        <f t="shared" si="38"/>
        <v>ng*h/mL</v>
      </c>
      <c r="T460" t="s">
        <v>469</v>
      </c>
      <c r="U460">
        <v>15</v>
      </c>
      <c r="V460" t="s">
        <v>22</v>
      </c>
      <c r="W460" t="s">
        <v>23</v>
      </c>
      <c r="X460">
        <v>0</v>
      </c>
      <c r="Y460">
        <v>1</v>
      </c>
      <c r="AA460" t="s">
        <v>655</v>
      </c>
      <c r="AD460">
        <f>AVERAGE(75.5,91.3)</f>
        <v>83.4</v>
      </c>
      <c r="AE460" t="b">
        <v>0</v>
      </c>
    </row>
    <row r="461" spans="1:32" x14ac:dyDescent="0.3">
      <c r="A461" t="s">
        <v>642</v>
      </c>
      <c r="B461" t="s">
        <v>760</v>
      </c>
      <c r="C461" t="b">
        <v>1</v>
      </c>
      <c r="D461" t="s">
        <v>465</v>
      </c>
      <c r="E461" t="s">
        <v>456</v>
      </c>
      <c r="F461" t="s">
        <v>457</v>
      </c>
      <c r="G461" t="s">
        <v>468</v>
      </c>
      <c r="H461" t="s">
        <v>457</v>
      </c>
      <c r="I461">
        <v>168</v>
      </c>
      <c r="J461" t="s">
        <v>6</v>
      </c>
      <c r="K461">
        <v>0</v>
      </c>
      <c r="L461" s="5">
        <v>168</v>
      </c>
      <c r="M461">
        <v>1310</v>
      </c>
      <c r="N461" t="s">
        <v>20</v>
      </c>
      <c r="O461" t="str">
        <f t="shared" si="38"/>
        <v>ng*h/mL</v>
      </c>
      <c r="T461" t="s">
        <v>466</v>
      </c>
      <c r="U461">
        <v>15</v>
      </c>
      <c r="V461" t="s">
        <v>22</v>
      </c>
      <c r="W461" t="s">
        <v>23</v>
      </c>
      <c r="X461">
        <v>0</v>
      </c>
      <c r="Y461">
        <v>1</v>
      </c>
      <c r="AA461" t="s">
        <v>655</v>
      </c>
      <c r="AD461">
        <f t="shared" ref="AD461:AD462" si="40">AVERAGE(75.5,91.3)</f>
        <v>83.4</v>
      </c>
      <c r="AE461" t="b">
        <v>0</v>
      </c>
    </row>
    <row r="462" spans="1:32" x14ac:dyDescent="0.3">
      <c r="A462" t="s">
        <v>642</v>
      </c>
      <c r="B462" t="s">
        <v>760</v>
      </c>
      <c r="C462" t="b">
        <v>1</v>
      </c>
      <c r="D462" t="s">
        <v>465</v>
      </c>
      <c r="E462" t="s">
        <v>456</v>
      </c>
      <c r="F462" t="s">
        <v>457</v>
      </c>
      <c r="G462" t="s">
        <v>468</v>
      </c>
      <c r="H462" t="s">
        <v>457</v>
      </c>
      <c r="I462">
        <v>168</v>
      </c>
      <c r="J462" t="s">
        <v>7</v>
      </c>
      <c r="K462">
        <v>0</v>
      </c>
      <c r="L462" s="5">
        <v>168</v>
      </c>
      <c r="M462">
        <v>244.36</v>
      </c>
      <c r="N462" t="s">
        <v>21</v>
      </c>
      <c r="O462" t="str">
        <f t="shared" si="38"/>
        <v>nM</v>
      </c>
      <c r="R462">
        <v>91.5</v>
      </c>
      <c r="S462" t="s">
        <v>661</v>
      </c>
      <c r="T462" t="s">
        <v>467</v>
      </c>
      <c r="U462">
        <v>15</v>
      </c>
      <c r="V462" t="s">
        <v>22</v>
      </c>
      <c r="W462" t="s">
        <v>23</v>
      </c>
      <c r="X462">
        <v>0</v>
      </c>
      <c r="Y462">
        <v>1</v>
      </c>
      <c r="AA462" t="s">
        <v>655</v>
      </c>
      <c r="AD462">
        <f t="shared" si="40"/>
        <v>83.4</v>
      </c>
      <c r="AE462" t="b">
        <v>0</v>
      </c>
    </row>
    <row r="463" spans="1:32" x14ac:dyDescent="0.3">
      <c r="A463" t="s">
        <v>643</v>
      </c>
      <c r="B463" t="s">
        <v>761</v>
      </c>
      <c r="C463" t="b">
        <v>1</v>
      </c>
      <c r="D463" t="s">
        <v>472</v>
      </c>
      <c r="E463" t="s">
        <v>470</v>
      </c>
      <c r="F463" t="s">
        <v>471</v>
      </c>
      <c r="G463" t="s">
        <v>475</v>
      </c>
      <c r="H463" t="s">
        <v>471</v>
      </c>
      <c r="I463">
        <v>168</v>
      </c>
      <c r="J463" t="s">
        <v>6</v>
      </c>
      <c r="K463">
        <v>0</v>
      </c>
      <c r="L463" s="5" t="s">
        <v>654</v>
      </c>
      <c r="M463">
        <v>2660</v>
      </c>
      <c r="N463" t="s">
        <v>20</v>
      </c>
      <c r="O463" t="str">
        <f t="shared" si="38"/>
        <v>ng*h/mL</v>
      </c>
      <c r="T463" t="s">
        <v>473</v>
      </c>
      <c r="U463">
        <v>20</v>
      </c>
      <c r="V463" t="s">
        <v>22</v>
      </c>
      <c r="W463" t="s">
        <v>23</v>
      </c>
      <c r="X463">
        <v>0</v>
      </c>
      <c r="Y463">
        <v>1</v>
      </c>
      <c r="AA463" t="s">
        <v>655</v>
      </c>
    </row>
    <row r="464" spans="1:32" x14ac:dyDescent="0.3">
      <c r="A464" t="s">
        <v>643</v>
      </c>
      <c r="B464" t="s">
        <v>761</v>
      </c>
      <c r="C464" t="b">
        <v>1</v>
      </c>
      <c r="D464" t="s">
        <v>472</v>
      </c>
      <c r="E464" t="s">
        <v>470</v>
      </c>
      <c r="F464" t="s">
        <v>471</v>
      </c>
      <c r="G464" t="s">
        <v>475</v>
      </c>
      <c r="H464" t="s">
        <v>471</v>
      </c>
      <c r="I464">
        <v>168</v>
      </c>
      <c r="J464" t="s">
        <v>6</v>
      </c>
      <c r="K464">
        <v>0</v>
      </c>
      <c r="L464" s="5">
        <v>168</v>
      </c>
      <c r="M464">
        <v>2560</v>
      </c>
      <c r="N464" t="s">
        <v>20</v>
      </c>
      <c r="O464" t="str">
        <f t="shared" si="38"/>
        <v>ng*h/mL</v>
      </c>
      <c r="T464" t="s">
        <v>934</v>
      </c>
      <c r="U464">
        <v>20</v>
      </c>
      <c r="V464" t="s">
        <v>22</v>
      </c>
      <c r="W464" t="s">
        <v>23</v>
      </c>
      <c r="X464">
        <v>0</v>
      </c>
      <c r="Y464">
        <v>1</v>
      </c>
      <c r="AA464" t="s">
        <v>655</v>
      </c>
    </row>
    <row r="465" spans="1:32" x14ac:dyDescent="0.3">
      <c r="A465" t="s">
        <v>643</v>
      </c>
      <c r="B465" t="s">
        <v>761</v>
      </c>
      <c r="C465" t="b">
        <v>1</v>
      </c>
      <c r="D465" t="s">
        <v>472</v>
      </c>
      <c r="E465" t="s">
        <v>470</v>
      </c>
      <c r="F465" t="s">
        <v>471</v>
      </c>
      <c r="G465" t="s">
        <v>475</v>
      </c>
      <c r="H465" t="s">
        <v>471</v>
      </c>
      <c r="I465">
        <v>168</v>
      </c>
      <c r="J465" t="s">
        <v>7</v>
      </c>
      <c r="K465">
        <v>0</v>
      </c>
      <c r="L465" s="5">
        <v>168</v>
      </c>
      <c r="M465">
        <v>658.53</v>
      </c>
      <c r="N465" t="s">
        <v>21</v>
      </c>
      <c r="O465" t="str">
        <f t="shared" si="38"/>
        <v>nM</v>
      </c>
      <c r="R465">
        <v>241.3</v>
      </c>
      <c r="S465" t="s">
        <v>661</v>
      </c>
      <c r="T465" t="s">
        <v>474</v>
      </c>
      <c r="U465">
        <v>20</v>
      </c>
      <c r="V465" t="s">
        <v>22</v>
      </c>
      <c r="W465" t="s">
        <v>23</v>
      </c>
      <c r="X465">
        <v>0</v>
      </c>
      <c r="Y465">
        <v>1</v>
      </c>
      <c r="AA465" t="s">
        <v>655</v>
      </c>
    </row>
    <row r="466" spans="1:32" x14ac:dyDescent="0.3">
      <c r="A466" t="s">
        <v>644</v>
      </c>
      <c r="B466" t="s">
        <v>762</v>
      </c>
      <c r="C466" t="b">
        <v>1</v>
      </c>
      <c r="D466" t="s">
        <v>476</v>
      </c>
      <c r="E466" t="s">
        <v>479</v>
      </c>
      <c r="F466" t="s">
        <v>480</v>
      </c>
      <c r="G466" t="s">
        <v>1186</v>
      </c>
      <c r="H466" t="s">
        <v>481</v>
      </c>
      <c r="I466">
        <v>48</v>
      </c>
      <c r="J466" t="s">
        <v>6</v>
      </c>
      <c r="K466">
        <v>0</v>
      </c>
      <c r="L466" s="5" t="s">
        <v>654</v>
      </c>
      <c r="M466">
        <v>262</v>
      </c>
      <c r="N466" t="s">
        <v>20</v>
      </c>
      <c r="O466" t="str">
        <f t="shared" si="38"/>
        <v>ng*h/mL</v>
      </c>
      <c r="T466" t="s">
        <v>477</v>
      </c>
      <c r="U466">
        <v>200</v>
      </c>
      <c r="V466" t="s">
        <v>22</v>
      </c>
      <c r="W466" t="s">
        <v>23</v>
      </c>
      <c r="X466">
        <v>0</v>
      </c>
      <c r="Y466">
        <v>1</v>
      </c>
      <c r="AA466" t="s">
        <v>655</v>
      </c>
      <c r="AD466">
        <f>1.76^2*23.5</f>
        <v>72.793599999999998</v>
      </c>
      <c r="AE466" t="b">
        <v>0</v>
      </c>
      <c r="AF466" t="s">
        <v>1187</v>
      </c>
    </row>
    <row r="467" spans="1:32" x14ac:dyDescent="0.3">
      <c r="A467" t="s">
        <v>644</v>
      </c>
      <c r="B467" t="s">
        <v>762</v>
      </c>
      <c r="C467" t="b">
        <v>1</v>
      </c>
      <c r="D467" t="s">
        <v>476</v>
      </c>
      <c r="E467" t="s">
        <v>479</v>
      </c>
      <c r="F467" t="s">
        <v>480</v>
      </c>
      <c r="G467" t="s">
        <v>1186</v>
      </c>
      <c r="H467" t="s">
        <v>481</v>
      </c>
      <c r="I467">
        <v>48</v>
      </c>
      <c r="J467" t="s">
        <v>7</v>
      </c>
      <c r="K467">
        <v>0</v>
      </c>
      <c r="L467" s="5">
        <v>48</v>
      </c>
      <c r="M467">
        <v>220.46</v>
      </c>
      <c r="N467" t="s">
        <v>21</v>
      </c>
      <c r="O467" t="str">
        <f t="shared" si="38"/>
        <v>nM</v>
      </c>
      <c r="R467">
        <v>113</v>
      </c>
      <c r="S467" t="s">
        <v>661</v>
      </c>
      <c r="T467" t="s">
        <v>478</v>
      </c>
      <c r="U467">
        <v>200</v>
      </c>
      <c r="V467" t="s">
        <v>22</v>
      </c>
      <c r="W467" t="s">
        <v>23</v>
      </c>
      <c r="X467">
        <v>0</v>
      </c>
      <c r="Y467">
        <v>1</v>
      </c>
      <c r="AA467" t="s">
        <v>655</v>
      </c>
      <c r="AD467">
        <f>1.76^2*23.5</f>
        <v>72.793599999999998</v>
      </c>
      <c r="AE467" t="b">
        <v>0</v>
      </c>
    </row>
    <row r="468" spans="1:32" x14ac:dyDescent="0.3">
      <c r="A468" t="s">
        <v>645</v>
      </c>
      <c r="B468" t="s">
        <v>763</v>
      </c>
      <c r="C468" t="b">
        <v>1</v>
      </c>
      <c r="D468" t="s">
        <v>482</v>
      </c>
      <c r="E468" t="s">
        <v>485</v>
      </c>
      <c r="F468" t="s">
        <v>486</v>
      </c>
      <c r="G468" t="s">
        <v>487</v>
      </c>
      <c r="H468" t="s">
        <v>486</v>
      </c>
      <c r="I468">
        <v>72</v>
      </c>
      <c r="J468" t="s">
        <v>6</v>
      </c>
      <c r="K468">
        <v>0</v>
      </c>
      <c r="L468" s="5" t="s">
        <v>654</v>
      </c>
      <c r="M468">
        <v>6069</v>
      </c>
      <c r="N468" t="s">
        <v>20</v>
      </c>
      <c r="O468" t="str">
        <f t="shared" si="38"/>
        <v>ng*h/mL</v>
      </c>
      <c r="T468" t="s">
        <v>483</v>
      </c>
      <c r="U468">
        <v>150</v>
      </c>
      <c r="V468" t="s">
        <v>22</v>
      </c>
      <c r="W468" t="s">
        <v>23</v>
      </c>
      <c r="X468">
        <v>0</v>
      </c>
      <c r="Y468">
        <v>1</v>
      </c>
      <c r="AA468" t="s">
        <v>655</v>
      </c>
      <c r="AE468" t="b">
        <v>1</v>
      </c>
    </row>
    <row r="469" spans="1:32" x14ac:dyDescent="0.3">
      <c r="A469" t="s">
        <v>645</v>
      </c>
      <c r="B469" t="s">
        <v>763</v>
      </c>
      <c r="C469" t="b">
        <v>1</v>
      </c>
      <c r="D469" t="s">
        <v>482</v>
      </c>
      <c r="E469" t="s">
        <v>485</v>
      </c>
      <c r="F469" t="s">
        <v>486</v>
      </c>
      <c r="G469" t="s">
        <v>487</v>
      </c>
      <c r="H469" t="s">
        <v>486</v>
      </c>
      <c r="I469">
        <v>72</v>
      </c>
      <c r="J469" t="s">
        <v>6</v>
      </c>
      <c r="K469">
        <v>0</v>
      </c>
      <c r="L469" s="5">
        <v>24</v>
      </c>
      <c r="M469">
        <v>5064</v>
      </c>
      <c r="N469" t="s">
        <v>20</v>
      </c>
      <c r="O469" t="str">
        <f t="shared" si="38"/>
        <v>ng*h/mL</v>
      </c>
      <c r="T469" t="s">
        <v>936</v>
      </c>
      <c r="U469">
        <v>150</v>
      </c>
      <c r="V469" t="s">
        <v>22</v>
      </c>
      <c r="W469" t="s">
        <v>23</v>
      </c>
      <c r="X469">
        <v>0</v>
      </c>
      <c r="Y469">
        <v>1</v>
      </c>
      <c r="AA469" t="s">
        <v>655</v>
      </c>
      <c r="AE469" t="b">
        <v>1</v>
      </c>
    </row>
    <row r="470" spans="1:32" x14ac:dyDescent="0.3">
      <c r="A470" t="s">
        <v>645</v>
      </c>
      <c r="B470" t="s">
        <v>763</v>
      </c>
      <c r="C470" t="b">
        <v>1</v>
      </c>
      <c r="D470" t="s">
        <v>482</v>
      </c>
      <c r="E470" t="s">
        <v>485</v>
      </c>
      <c r="F470" t="s">
        <v>486</v>
      </c>
      <c r="G470" t="s">
        <v>487</v>
      </c>
      <c r="H470" t="s">
        <v>486</v>
      </c>
      <c r="I470">
        <v>72</v>
      </c>
      <c r="J470" t="s">
        <v>7</v>
      </c>
      <c r="K470">
        <v>0</v>
      </c>
      <c r="L470" s="5">
        <v>72</v>
      </c>
      <c r="M470">
        <v>1550.85</v>
      </c>
      <c r="N470" t="s">
        <v>21</v>
      </c>
      <c r="O470" t="str">
        <f t="shared" si="38"/>
        <v>nM</v>
      </c>
      <c r="R470">
        <v>441</v>
      </c>
      <c r="S470" t="s">
        <v>935</v>
      </c>
      <c r="T470" t="s">
        <v>484</v>
      </c>
      <c r="U470">
        <v>150</v>
      </c>
      <c r="V470" t="s">
        <v>22</v>
      </c>
      <c r="W470" t="s">
        <v>23</v>
      </c>
      <c r="X470">
        <v>0</v>
      </c>
      <c r="Y470">
        <v>1</v>
      </c>
      <c r="AA470" t="s">
        <v>655</v>
      </c>
      <c r="AE470" t="b">
        <v>1</v>
      </c>
    </row>
    <row r="471" spans="1:32" x14ac:dyDescent="0.3">
      <c r="A471" t="s">
        <v>646</v>
      </c>
      <c r="B471" t="s">
        <v>764</v>
      </c>
      <c r="C471" t="b">
        <v>1</v>
      </c>
      <c r="D471" t="s">
        <v>482</v>
      </c>
      <c r="E471" t="s">
        <v>485</v>
      </c>
      <c r="F471" t="s">
        <v>486</v>
      </c>
      <c r="G471" t="s">
        <v>487</v>
      </c>
      <c r="H471" t="s">
        <v>486</v>
      </c>
      <c r="I471">
        <v>72</v>
      </c>
      <c r="J471" t="s">
        <v>6</v>
      </c>
      <c r="K471">
        <v>0</v>
      </c>
      <c r="L471" s="5" t="s">
        <v>654</v>
      </c>
      <c r="M471">
        <v>6218</v>
      </c>
      <c r="N471" t="s">
        <v>20</v>
      </c>
      <c r="O471" t="str">
        <f t="shared" si="38"/>
        <v>ng*h/mL</v>
      </c>
      <c r="T471" t="s">
        <v>492</v>
      </c>
      <c r="U471">
        <v>150</v>
      </c>
      <c r="V471" t="s">
        <v>22</v>
      </c>
      <c r="W471" t="s">
        <v>23</v>
      </c>
      <c r="X471">
        <v>0</v>
      </c>
      <c r="Y471">
        <v>1</v>
      </c>
      <c r="AA471" t="s">
        <v>655</v>
      </c>
      <c r="AE471" t="b">
        <v>0</v>
      </c>
    </row>
    <row r="472" spans="1:32" x14ac:dyDescent="0.3">
      <c r="A472" t="s">
        <v>646</v>
      </c>
      <c r="B472" t="s">
        <v>764</v>
      </c>
      <c r="C472" t="b">
        <v>1</v>
      </c>
      <c r="D472" t="s">
        <v>482</v>
      </c>
      <c r="E472" t="s">
        <v>485</v>
      </c>
      <c r="F472" t="s">
        <v>486</v>
      </c>
      <c r="G472" t="s">
        <v>487</v>
      </c>
      <c r="H472" t="s">
        <v>486</v>
      </c>
      <c r="I472">
        <v>72</v>
      </c>
      <c r="J472" t="s">
        <v>6</v>
      </c>
      <c r="K472">
        <v>0</v>
      </c>
      <c r="L472" s="5">
        <v>24</v>
      </c>
      <c r="M472">
        <v>5544</v>
      </c>
      <c r="N472" t="s">
        <v>20</v>
      </c>
      <c r="O472" t="str">
        <f t="shared" si="38"/>
        <v>ng*h/mL</v>
      </c>
      <c r="T472" t="s">
        <v>937</v>
      </c>
      <c r="U472">
        <v>150</v>
      </c>
      <c r="V472" t="s">
        <v>22</v>
      </c>
      <c r="W472" t="s">
        <v>23</v>
      </c>
      <c r="X472">
        <v>0</v>
      </c>
      <c r="Y472">
        <v>1</v>
      </c>
      <c r="AA472" t="s">
        <v>655</v>
      </c>
      <c r="AE472" t="b">
        <v>0</v>
      </c>
    </row>
    <row r="473" spans="1:32" x14ac:dyDescent="0.3">
      <c r="A473" t="s">
        <v>646</v>
      </c>
      <c r="B473" t="s">
        <v>764</v>
      </c>
      <c r="C473" t="b">
        <v>1</v>
      </c>
      <c r="D473" t="s">
        <v>482</v>
      </c>
      <c r="E473" t="s">
        <v>485</v>
      </c>
      <c r="F473" t="s">
        <v>486</v>
      </c>
      <c r="G473" t="s">
        <v>487</v>
      </c>
      <c r="H473" t="s">
        <v>486</v>
      </c>
      <c r="I473">
        <v>72</v>
      </c>
      <c r="J473" t="s">
        <v>7</v>
      </c>
      <c r="K473">
        <v>0</v>
      </c>
      <c r="L473" s="5">
        <v>72</v>
      </c>
      <c r="M473">
        <v>1937.68</v>
      </c>
      <c r="N473" t="s">
        <v>21</v>
      </c>
      <c r="O473" t="str">
        <f t="shared" si="38"/>
        <v>nM</v>
      </c>
      <c r="R473">
        <v>551</v>
      </c>
      <c r="S473" t="s">
        <v>935</v>
      </c>
      <c r="T473" t="s">
        <v>488</v>
      </c>
      <c r="U473">
        <v>150</v>
      </c>
      <c r="V473" t="s">
        <v>22</v>
      </c>
      <c r="W473" t="s">
        <v>23</v>
      </c>
      <c r="X473">
        <v>0</v>
      </c>
      <c r="Y473">
        <v>1</v>
      </c>
      <c r="AA473" t="s">
        <v>655</v>
      </c>
      <c r="AE473" t="b">
        <v>0</v>
      </c>
    </row>
    <row r="474" spans="1:32" x14ac:dyDescent="0.3">
      <c r="A474" t="s">
        <v>647</v>
      </c>
      <c r="B474" t="s">
        <v>765</v>
      </c>
      <c r="C474" t="b">
        <v>1</v>
      </c>
      <c r="D474" t="s">
        <v>489</v>
      </c>
      <c r="E474" t="s">
        <v>485</v>
      </c>
      <c r="F474" t="s">
        <v>490</v>
      </c>
      <c r="G474" t="s">
        <v>491</v>
      </c>
      <c r="H474" t="s">
        <v>490</v>
      </c>
      <c r="I474">
        <v>72</v>
      </c>
      <c r="J474" t="s">
        <v>6</v>
      </c>
      <c r="K474">
        <v>0</v>
      </c>
      <c r="L474" s="5" t="s">
        <v>654</v>
      </c>
      <c r="M474">
        <v>287</v>
      </c>
      <c r="N474" t="s">
        <v>20</v>
      </c>
      <c r="O474" t="str">
        <f t="shared" si="38"/>
        <v>ng*h/mL</v>
      </c>
      <c r="T474" t="s">
        <v>483</v>
      </c>
      <c r="U474">
        <v>150</v>
      </c>
      <c r="V474" t="s">
        <v>22</v>
      </c>
      <c r="W474" t="s">
        <v>23</v>
      </c>
      <c r="X474">
        <v>0</v>
      </c>
      <c r="Y474">
        <v>1</v>
      </c>
      <c r="AA474" t="s">
        <v>655</v>
      </c>
      <c r="AE474" t="b">
        <v>1</v>
      </c>
    </row>
    <row r="475" spans="1:32" x14ac:dyDescent="0.3">
      <c r="A475" t="s">
        <v>647</v>
      </c>
      <c r="B475" t="s">
        <v>765</v>
      </c>
      <c r="C475" t="b">
        <v>1</v>
      </c>
      <c r="D475" t="s">
        <v>489</v>
      </c>
      <c r="E475" t="s">
        <v>485</v>
      </c>
      <c r="F475" t="s">
        <v>490</v>
      </c>
      <c r="G475" t="s">
        <v>491</v>
      </c>
      <c r="H475" t="s">
        <v>490</v>
      </c>
      <c r="I475">
        <v>72</v>
      </c>
      <c r="J475" t="s">
        <v>6</v>
      </c>
      <c r="K475">
        <v>0</v>
      </c>
      <c r="L475" s="5">
        <v>24</v>
      </c>
      <c r="M475">
        <v>280</v>
      </c>
      <c r="N475" t="s">
        <v>20</v>
      </c>
      <c r="O475" t="str">
        <f t="shared" si="38"/>
        <v>ng*h/mL</v>
      </c>
      <c r="T475" t="s">
        <v>936</v>
      </c>
      <c r="U475">
        <v>150</v>
      </c>
      <c r="V475" t="s">
        <v>22</v>
      </c>
      <c r="W475" t="s">
        <v>23</v>
      </c>
      <c r="X475">
        <v>0</v>
      </c>
      <c r="Y475">
        <v>1</v>
      </c>
      <c r="AA475" t="s">
        <v>655</v>
      </c>
      <c r="AE475" t="b">
        <v>1</v>
      </c>
    </row>
    <row r="476" spans="1:32" x14ac:dyDescent="0.3">
      <c r="A476" t="s">
        <v>647</v>
      </c>
      <c r="B476" t="s">
        <v>765</v>
      </c>
      <c r="C476" t="b">
        <v>1</v>
      </c>
      <c r="D476" t="s">
        <v>489</v>
      </c>
      <c r="E476" t="s">
        <v>485</v>
      </c>
      <c r="F476" t="s">
        <v>490</v>
      </c>
      <c r="G476" t="s">
        <v>491</v>
      </c>
      <c r="H476" t="s">
        <v>490</v>
      </c>
      <c r="I476">
        <v>72</v>
      </c>
      <c r="J476" t="s">
        <v>7</v>
      </c>
      <c r="K476">
        <v>0</v>
      </c>
      <c r="L476" s="5">
        <v>72</v>
      </c>
      <c r="M476">
        <v>323.29000000000002</v>
      </c>
      <c r="N476" t="s">
        <v>21</v>
      </c>
      <c r="O476" t="str">
        <f t="shared" si="38"/>
        <v>nM</v>
      </c>
      <c r="R476">
        <v>101</v>
      </c>
      <c r="S476" t="s">
        <v>935</v>
      </c>
      <c r="T476" t="s">
        <v>484</v>
      </c>
      <c r="U476">
        <v>150</v>
      </c>
      <c r="V476" t="s">
        <v>22</v>
      </c>
      <c r="W476" t="s">
        <v>23</v>
      </c>
      <c r="X476">
        <v>0</v>
      </c>
      <c r="Y476">
        <v>1</v>
      </c>
      <c r="AA476" t="s">
        <v>655</v>
      </c>
      <c r="AE476" t="b">
        <v>1</v>
      </c>
    </row>
    <row r="477" spans="1:32" x14ac:dyDescent="0.3">
      <c r="A477" t="s">
        <v>648</v>
      </c>
      <c r="B477" t="s">
        <v>766</v>
      </c>
      <c r="C477" t="b">
        <v>1</v>
      </c>
      <c r="D477" t="s">
        <v>489</v>
      </c>
      <c r="E477" t="s">
        <v>485</v>
      </c>
      <c r="F477" t="s">
        <v>490</v>
      </c>
      <c r="G477" t="s">
        <v>491</v>
      </c>
      <c r="H477" t="s">
        <v>490</v>
      </c>
      <c r="I477">
        <v>72</v>
      </c>
      <c r="J477" t="s">
        <v>6</v>
      </c>
      <c r="K477">
        <v>0</v>
      </c>
      <c r="L477" s="5" t="s">
        <v>654</v>
      </c>
      <c r="M477">
        <v>244</v>
      </c>
      <c r="N477" t="s">
        <v>20</v>
      </c>
      <c r="O477" t="str">
        <f t="shared" si="38"/>
        <v>ng*h/mL</v>
      </c>
      <c r="T477" t="s">
        <v>492</v>
      </c>
      <c r="U477">
        <v>150</v>
      </c>
      <c r="V477" t="s">
        <v>22</v>
      </c>
      <c r="W477" t="s">
        <v>23</v>
      </c>
      <c r="X477">
        <v>0</v>
      </c>
      <c r="Y477">
        <v>1</v>
      </c>
      <c r="AA477" t="s">
        <v>655</v>
      </c>
      <c r="AE477" t="b">
        <v>0</v>
      </c>
    </row>
    <row r="478" spans="1:32" x14ac:dyDescent="0.3">
      <c r="A478" t="s">
        <v>648</v>
      </c>
      <c r="B478" t="s">
        <v>766</v>
      </c>
      <c r="C478" t="b">
        <v>1</v>
      </c>
      <c r="D478" t="s">
        <v>489</v>
      </c>
      <c r="E478" t="s">
        <v>485</v>
      </c>
      <c r="F478" t="s">
        <v>490</v>
      </c>
      <c r="G478" t="s">
        <v>491</v>
      </c>
      <c r="H478" t="s">
        <v>490</v>
      </c>
      <c r="I478">
        <v>72</v>
      </c>
      <c r="J478" t="s">
        <v>6</v>
      </c>
      <c r="K478">
        <v>0</v>
      </c>
      <c r="L478" s="5">
        <v>24</v>
      </c>
      <c r="M478">
        <v>238</v>
      </c>
      <c r="N478" t="s">
        <v>20</v>
      </c>
      <c r="O478" t="str">
        <f t="shared" si="38"/>
        <v>ng*h/mL</v>
      </c>
      <c r="T478" t="s">
        <v>937</v>
      </c>
      <c r="U478">
        <v>150</v>
      </c>
      <c r="V478" t="s">
        <v>22</v>
      </c>
      <c r="W478" t="s">
        <v>23</v>
      </c>
      <c r="X478">
        <v>0</v>
      </c>
      <c r="Y478">
        <v>1</v>
      </c>
      <c r="AA478" t="s">
        <v>655</v>
      </c>
      <c r="AE478" t="b">
        <v>0</v>
      </c>
    </row>
    <row r="479" spans="1:32" x14ac:dyDescent="0.3">
      <c r="A479" t="s">
        <v>648</v>
      </c>
      <c r="B479" t="s">
        <v>766</v>
      </c>
      <c r="C479" t="b">
        <v>1</v>
      </c>
      <c r="D479" t="s">
        <v>489</v>
      </c>
      <c r="E479" t="s">
        <v>485</v>
      </c>
      <c r="F479" t="s">
        <v>490</v>
      </c>
      <c r="G479" t="s">
        <v>491</v>
      </c>
      <c r="H479" t="s">
        <v>490</v>
      </c>
      <c r="I479">
        <v>72</v>
      </c>
      <c r="J479" t="s">
        <v>7</v>
      </c>
      <c r="K479">
        <v>0</v>
      </c>
      <c r="L479" s="5">
        <v>72</v>
      </c>
      <c r="M479">
        <v>396.91</v>
      </c>
      <c r="N479" t="s">
        <v>21</v>
      </c>
      <c r="O479" t="str">
        <f t="shared" si="38"/>
        <v>nM</v>
      </c>
      <c r="R479">
        <v>124</v>
      </c>
      <c r="S479" t="s">
        <v>935</v>
      </c>
      <c r="T479" t="s">
        <v>488</v>
      </c>
      <c r="U479">
        <v>150</v>
      </c>
      <c r="V479" t="s">
        <v>22</v>
      </c>
      <c r="W479" t="s">
        <v>23</v>
      </c>
      <c r="X479">
        <v>0</v>
      </c>
      <c r="Y479">
        <v>1</v>
      </c>
      <c r="AA479" t="s">
        <v>655</v>
      </c>
      <c r="AE479" t="b">
        <v>0</v>
      </c>
    </row>
    <row r="480" spans="1:32" x14ac:dyDescent="0.3">
      <c r="A480" t="s">
        <v>649</v>
      </c>
      <c r="B480" t="s">
        <v>767</v>
      </c>
      <c r="C480" t="b">
        <v>1</v>
      </c>
      <c r="D480" t="s">
        <v>493</v>
      </c>
      <c r="E480" t="s">
        <v>496</v>
      </c>
      <c r="F480" t="s">
        <v>497</v>
      </c>
      <c r="G480" t="s">
        <v>498</v>
      </c>
      <c r="H480" t="s">
        <v>497</v>
      </c>
      <c r="I480" s="2">
        <v>24</v>
      </c>
      <c r="J480" t="s">
        <v>6</v>
      </c>
      <c r="K480">
        <v>0</v>
      </c>
      <c r="L480" s="5" t="s">
        <v>654</v>
      </c>
      <c r="M480">
        <v>671</v>
      </c>
      <c r="N480" t="s">
        <v>20</v>
      </c>
      <c r="O480" t="str">
        <f t="shared" si="38"/>
        <v>ng*h/mL</v>
      </c>
      <c r="T480" t="s">
        <v>494</v>
      </c>
      <c r="U480">
        <v>50</v>
      </c>
      <c r="V480" t="s">
        <v>22</v>
      </c>
      <c r="W480" t="s">
        <v>23</v>
      </c>
      <c r="X480">
        <v>0</v>
      </c>
      <c r="Y480">
        <v>1</v>
      </c>
      <c r="AA480" t="s">
        <v>655</v>
      </c>
    </row>
    <row r="481" spans="1:31" x14ac:dyDescent="0.3">
      <c r="A481" t="s">
        <v>649</v>
      </c>
      <c r="B481" t="s">
        <v>767</v>
      </c>
      <c r="C481" t="b">
        <v>1</v>
      </c>
      <c r="D481" t="s">
        <v>493</v>
      </c>
      <c r="E481" t="s">
        <v>496</v>
      </c>
      <c r="F481" t="s">
        <v>497</v>
      </c>
      <c r="G481" t="s">
        <v>498</v>
      </c>
      <c r="H481" t="s">
        <v>497</v>
      </c>
      <c r="I481" s="2">
        <v>24</v>
      </c>
      <c r="J481" t="s">
        <v>7</v>
      </c>
      <c r="K481">
        <v>0</v>
      </c>
      <c r="L481" s="5" t="s">
        <v>654</v>
      </c>
      <c r="M481">
        <v>372.44</v>
      </c>
      <c r="N481" t="s">
        <v>21</v>
      </c>
      <c r="O481" t="str">
        <f t="shared" si="38"/>
        <v>nM</v>
      </c>
      <c r="R481">
        <v>227</v>
      </c>
      <c r="S481" t="s">
        <v>661</v>
      </c>
      <c r="T481" t="s">
        <v>495</v>
      </c>
      <c r="U481">
        <v>50</v>
      </c>
      <c r="V481" t="s">
        <v>22</v>
      </c>
      <c r="W481" t="s">
        <v>23</v>
      </c>
      <c r="X481">
        <v>0</v>
      </c>
      <c r="Y481">
        <v>1</v>
      </c>
      <c r="AA481" t="s">
        <v>655</v>
      </c>
    </row>
    <row r="482" spans="1:31" x14ac:dyDescent="0.3">
      <c r="A482" t="s">
        <v>650</v>
      </c>
      <c r="B482" t="s">
        <v>768</v>
      </c>
      <c r="C482" t="b">
        <v>1</v>
      </c>
      <c r="D482" t="s">
        <v>499</v>
      </c>
      <c r="E482" t="s">
        <v>500</v>
      </c>
      <c r="F482" t="s">
        <v>501</v>
      </c>
      <c r="G482" t="s">
        <v>501</v>
      </c>
      <c r="H482" t="s">
        <v>501</v>
      </c>
      <c r="I482" s="2">
        <f xml:space="preserve"> 6*24+12</f>
        <v>156</v>
      </c>
      <c r="J482" t="s">
        <v>6</v>
      </c>
      <c r="K482" s="2">
        <f>6*24</f>
        <v>144</v>
      </c>
      <c r="L482" s="6">
        <f>6*24+12</f>
        <v>156</v>
      </c>
      <c r="M482">
        <v>768</v>
      </c>
      <c r="N482" t="s">
        <v>20</v>
      </c>
      <c r="O482" t="str">
        <f t="shared" si="38"/>
        <v>ng*h/mL</v>
      </c>
      <c r="T482" t="s">
        <v>938</v>
      </c>
      <c r="U482">
        <v>30</v>
      </c>
      <c r="V482" t="s">
        <v>22</v>
      </c>
      <c r="W482" t="s">
        <v>23</v>
      </c>
      <c r="X482">
        <v>0</v>
      </c>
      <c r="Y482" s="2">
        <v>13</v>
      </c>
      <c r="Z482">
        <v>12</v>
      </c>
      <c r="AA482" t="s">
        <v>655</v>
      </c>
    </row>
    <row r="483" spans="1:31" x14ac:dyDescent="0.3">
      <c r="A483" t="s">
        <v>650</v>
      </c>
      <c r="B483" t="s">
        <v>768</v>
      </c>
      <c r="C483" t="b">
        <v>1</v>
      </c>
      <c r="D483" t="s">
        <v>499</v>
      </c>
      <c r="E483" t="s">
        <v>500</v>
      </c>
      <c r="F483" t="s">
        <v>501</v>
      </c>
      <c r="G483" t="s">
        <v>501</v>
      </c>
      <c r="H483" t="s">
        <v>501</v>
      </c>
      <c r="I483" s="2">
        <f t="shared" ref="I483:I489" si="41" xml:space="preserve"> 6*24+12</f>
        <v>156</v>
      </c>
      <c r="J483" t="s">
        <v>7</v>
      </c>
      <c r="K483" s="2">
        <f t="shared" ref="K483:K489" si="42">6*24</f>
        <v>144</v>
      </c>
      <c r="L483" s="6">
        <f t="shared" ref="L483:L489" si="43">6*24+12</f>
        <v>156</v>
      </c>
      <c r="M483">
        <v>300.86</v>
      </c>
      <c r="N483" t="s">
        <v>21</v>
      </c>
      <c r="O483" t="str">
        <f t="shared" si="38"/>
        <v>nM</v>
      </c>
      <c r="R483">
        <v>117</v>
      </c>
      <c r="S483" t="s">
        <v>661</v>
      </c>
      <c r="T483" t="s">
        <v>939</v>
      </c>
      <c r="U483">
        <v>30</v>
      </c>
      <c r="V483" t="s">
        <v>22</v>
      </c>
      <c r="W483" t="s">
        <v>23</v>
      </c>
      <c r="X483">
        <v>0</v>
      </c>
      <c r="Y483" s="2">
        <v>13</v>
      </c>
      <c r="Z483">
        <v>12</v>
      </c>
      <c r="AA483" t="s">
        <v>655</v>
      </c>
    </row>
    <row r="484" spans="1:31" x14ac:dyDescent="0.3">
      <c r="A484" t="s">
        <v>651</v>
      </c>
      <c r="B484" t="s">
        <v>769</v>
      </c>
      <c r="C484" t="b">
        <v>1</v>
      </c>
      <c r="D484" t="s">
        <v>499</v>
      </c>
      <c r="E484" t="s">
        <v>500</v>
      </c>
      <c r="F484" t="s">
        <v>501</v>
      </c>
      <c r="G484" t="s">
        <v>501</v>
      </c>
      <c r="H484" t="s">
        <v>501</v>
      </c>
      <c r="I484" s="2">
        <f t="shared" si="41"/>
        <v>156</v>
      </c>
      <c r="J484" t="s">
        <v>6</v>
      </c>
      <c r="K484" s="2">
        <f t="shared" si="42"/>
        <v>144</v>
      </c>
      <c r="L484" s="6">
        <f t="shared" si="43"/>
        <v>156</v>
      </c>
      <c r="M484">
        <v>1030</v>
      </c>
      <c r="N484" t="s">
        <v>20</v>
      </c>
      <c r="O484" t="str">
        <f t="shared" si="38"/>
        <v>ng*h/mL</v>
      </c>
      <c r="T484" t="s">
        <v>940</v>
      </c>
      <c r="U484">
        <v>60</v>
      </c>
      <c r="V484" t="s">
        <v>22</v>
      </c>
      <c r="W484" t="s">
        <v>23</v>
      </c>
      <c r="X484">
        <v>0</v>
      </c>
      <c r="Y484" s="2">
        <v>13</v>
      </c>
      <c r="Z484">
        <v>12</v>
      </c>
      <c r="AA484" t="s">
        <v>655</v>
      </c>
    </row>
    <row r="485" spans="1:31" x14ac:dyDescent="0.3">
      <c r="A485" t="s">
        <v>651</v>
      </c>
      <c r="B485" t="s">
        <v>769</v>
      </c>
      <c r="C485" t="b">
        <v>1</v>
      </c>
      <c r="D485" t="s">
        <v>499</v>
      </c>
      <c r="E485" t="s">
        <v>500</v>
      </c>
      <c r="F485" t="s">
        <v>501</v>
      </c>
      <c r="G485" t="s">
        <v>501</v>
      </c>
      <c r="H485" t="s">
        <v>501</v>
      </c>
      <c r="I485" s="2">
        <f t="shared" si="41"/>
        <v>156</v>
      </c>
      <c r="J485" t="s">
        <v>7</v>
      </c>
      <c r="K485" s="2">
        <f t="shared" si="42"/>
        <v>144</v>
      </c>
      <c r="L485" s="6">
        <f t="shared" si="43"/>
        <v>156</v>
      </c>
      <c r="M485">
        <v>444.87</v>
      </c>
      <c r="N485" t="s">
        <v>21</v>
      </c>
      <c r="O485" t="str">
        <f t="shared" si="38"/>
        <v>nM</v>
      </c>
      <c r="R485">
        <v>173</v>
      </c>
      <c r="S485" t="s">
        <v>661</v>
      </c>
      <c r="T485" t="s">
        <v>941</v>
      </c>
      <c r="U485">
        <v>60</v>
      </c>
      <c r="V485" t="s">
        <v>22</v>
      </c>
      <c r="W485" t="s">
        <v>23</v>
      </c>
      <c r="X485">
        <v>0</v>
      </c>
      <c r="Y485" s="2">
        <v>13</v>
      </c>
      <c r="Z485">
        <v>12</v>
      </c>
      <c r="AA485" t="s">
        <v>655</v>
      </c>
    </row>
    <row r="486" spans="1:31" x14ac:dyDescent="0.3">
      <c r="A486" t="s">
        <v>652</v>
      </c>
      <c r="B486" t="s">
        <v>770</v>
      </c>
      <c r="C486" t="b">
        <v>1</v>
      </c>
      <c r="D486" t="s">
        <v>499</v>
      </c>
      <c r="E486" t="s">
        <v>500</v>
      </c>
      <c r="F486" t="s">
        <v>501</v>
      </c>
      <c r="G486" t="s">
        <v>501</v>
      </c>
      <c r="H486" t="s">
        <v>501</v>
      </c>
      <c r="I486" s="2">
        <f t="shared" si="41"/>
        <v>156</v>
      </c>
      <c r="J486" t="s">
        <v>6</v>
      </c>
      <c r="K486" s="2">
        <f t="shared" si="42"/>
        <v>144</v>
      </c>
      <c r="L486" s="6">
        <f t="shared" si="43"/>
        <v>156</v>
      </c>
      <c r="M486">
        <v>1270</v>
      </c>
      <c r="N486" t="s">
        <v>20</v>
      </c>
      <c r="O486" t="str">
        <f t="shared" si="38"/>
        <v>ng*h/mL</v>
      </c>
      <c r="T486" t="s">
        <v>942</v>
      </c>
      <c r="U486">
        <v>100</v>
      </c>
      <c r="V486" t="s">
        <v>22</v>
      </c>
      <c r="W486" t="s">
        <v>23</v>
      </c>
      <c r="X486">
        <v>0</v>
      </c>
      <c r="Y486" s="2">
        <v>13</v>
      </c>
      <c r="Z486">
        <v>12</v>
      </c>
      <c r="AA486" t="s">
        <v>655</v>
      </c>
    </row>
    <row r="487" spans="1:31" x14ac:dyDescent="0.3">
      <c r="A487" t="s">
        <v>652</v>
      </c>
      <c r="B487" t="s">
        <v>770</v>
      </c>
      <c r="C487" t="b">
        <v>1</v>
      </c>
      <c r="D487" t="s">
        <v>499</v>
      </c>
      <c r="E487" t="s">
        <v>500</v>
      </c>
      <c r="F487" t="s">
        <v>501</v>
      </c>
      <c r="G487" t="s">
        <v>501</v>
      </c>
      <c r="H487" t="s">
        <v>501</v>
      </c>
      <c r="I487" s="2">
        <f t="shared" si="41"/>
        <v>156</v>
      </c>
      <c r="J487" t="s">
        <v>7</v>
      </c>
      <c r="K487" s="2">
        <f t="shared" si="42"/>
        <v>144</v>
      </c>
      <c r="L487" s="6">
        <f t="shared" si="43"/>
        <v>156</v>
      </c>
      <c r="M487">
        <v>444.87</v>
      </c>
      <c r="N487" t="s">
        <v>21</v>
      </c>
      <c r="O487" t="str">
        <f t="shared" si="38"/>
        <v>nM</v>
      </c>
      <c r="R487">
        <v>173</v>
      </c>
      <c r="S487" t="s">
        <v>661</v>
      </c>
      <c r="T487" t="s">
        <v>943</v>
      </c>
      <c r="U487">
        <v>100</v>
      </c>
      <c r="V487" t="s">
        <v>22</v>
      </c>
      <c r="W487" t="s">
        <v>23</v>
      </c>
      <c r="X487">
        <v>0</v>
      </c>
      <c r="Y487" s="2">
        <v>13</v>
      </c>
      <c r="Z487">
        <v>12</v>
      </c>
      <c r="AA487" t="s">
        <v>655</v>
      </c>
    </row>
    <row r="488" spans="1:31" x14ac:dyDescent="0.3">
      <c r="A488" t="s">
        <v>653</v>
      </c>
      <c r="B488" t="s">
        <v>771</v>
      </c>
      <c r="C488" t="b">
        <v>1</v>
      </c>
      <c r="D488" t="s">
        <v>499</v>
      </c>
      <c r="E488" t="s">
        <v>500</v>
      </c>
      <c r="F488" t="s">
        <v>501</v>
      </c>
      <c r="G488" t="s">
        <v>501</v>
      </c>
      <c r="H488" t="s">
        <v>501</v>
      </c>
      <c r="I488" s="2">
        <f t="shared" si="41"/>
        <v>156</v>
      </c>
      <c r="J488" t="s">
        <v>6</v>
      </c>
      <c r="K488" s="2">
        <f t="shared" si="42"/>
        <v>144</v>
      </c>
      <c r="L488" s="6">
        <f t="shared" si="43"/>
        <v>156</v>
      </c>
      <c r="M488">
        <v>2180</v>
      </c>
      <c r="N488" t="s">
        <v>20</v>
      </c>
      <c r="O488" t="str">
        <f t="shared" si="38"/>
        <v>ng*h/mL</v>
      </c>
      <c r="T488" t="s">
        <v>944</v>
      </c>
      <c r="U488">
        <v>200</v>
      </c>
      <c r="V488" t="s">
        <v>22</v>
      </c>
      <c r="W488" t="s">
        <v>23</v>
      </c>
      <c r="X488">
        <v>0</v>
      </c>
      <c r="Y488" s="2">
        <v>13</v>
      </c>
      <c r="Z488">
        <v>12</v>
      </c>
      <c r="AA488" t="s">
        <v>655</v>
      </c>
    </row>
    <row r="489" spans="1:31" x14ac:dyDescent="0.3">
      <c r="A489" t="s">
        <v>653</v>
      </c>
      <c r="B489" t="s">
        <v>771</v>
      </c>
      <c r="C489" t="b">
        <v>1</v>
      </c>
      <c r="D489" t="s">
        <v>499</v>
      </c>
      <c r="E489" t="s">
        <v>500</v>
      </c>
      <c r="F489" t="s">
        <v>501</v>
      </c>
      <c r="G489" t="s">
        <v>501</v>
      </c>
      <c r="H489" t="s">
        <v>501</v>
      </c>
      <c r="I489" s="2">
        <f t="shared" si="41"/>
        <v>156</v>
      </c>
      <c r="J489" t="s">
        <v>7</v>
      </c>
      <c r="K489" s="2">
        <f t="shared" si="42"/>
        <v>144</v>
      </c>
      <c r="L489" s="6">
        <f t="shared" si="43"/>
        <v>156</v>
      </c>
      <c r="M489">
        <v>786.88</v>
      </c>
      <c r="N489" t="s">
        <v>21</v>
      </c>
      <c r="O489" t="str">
        <f t="shared" si="38"/>
        <v>nM</v>
      </c>
      <c r="R489">
        <v>306</v>
      </c>
      <c r="S489" t="s">
        <v>661</v>
      </c>
      <c r="T489" t="s">
        <v>945</v>
      </c>
      <c r="U489">
        <v>200</v>
      </c>
      <c r="V489" t="s">
        <v>22</v>
      </c>
      <c r="W489" t="s">
        <v>23</v>
      </c>
      <c r="X489">
        <v>0</v>
      </c>
      <c r="Y489" s="2">
        <v>13</v>
      </c>
      <c r="Z489">
        <v>12</v>
      </c>
      <c r="AA489" t="s">
        <v>655</v>
      </c>
    </row>
    <row r="490" spans="1:31" x14ac:dyDescent="0.3">
      <c r="A490" t="s">
        <v>1145</v>
      </c>
      <c r="B490" t="s">
        <v>1146</v>
      </c>
      <c r="C490" t="b">
        <v>1</v>
      </c>
      <c r="D490" t="s">
        <v>502</v>
      </c>
      <c r="E490" t="s">
        <v>505</v>
      </c>
      <c r="F490" t="s">
        <v>506</v>
      </c>
      <c r="G490" t="s">
        <v>507</v>
      </c>
      <c r="H490" t="s">
        <v>506</v>
      </c>
      <c r="I490">
        <v>6</v>
      </c>
      <c r="J490" t="s">
        <v>6</v>
      </c>
      <c r="K490">
        <v>0</v>
      </c>
      <c r="L490" s="5" t="s">
        <v>654</v>
      </c>
      <c r="M490">
        <v>77800</v>
      </c>
      <c r="N490" t="s">
        <v>20</v>
      </c>
      <c r="O490" t="str">
        <f t="shared" si="38"/>
        <v>ng*h/mL</v>
      </c>
      <c r="T490" t="s">
        <v>503</v>
      </c>
      <c r="U490">
        <v>1000</v>
      </c>
      <c r="V490" t="s">
        <v>22</v>
      </c>
      <c r="W490" t="s">
        <v>23</v>
      </c>
      <c r="X490">
        <v>0</v>
      </c>
      <c r="Y490">
        <v>1</v>
      </c>
      <c r="AA490" t="s">
        <v>655</v>
      </c>
      <c r="AD490">
        <v>60</v>
      </c>
      <c r="AE490" t="b">
        <v>0</v>
      </c>
    </row>
    <row r="491" spans="1:31" x14ac:dyDescent="0.3">
      <c r="A491" t="s">
        <v>1145</v>
      </c>
      <c r="B491" t="s">
        <v>1146</v>
      </c>
      <c r="C491" t="b">
        <v>1</v>
      </c>
      <c r="D491" t="s">
        <v>502</v>
      </c>
      <c r="E491" t="s">
        <v>505</v>
      </c>
      <c r="F491" t="s">
        <v>506</v>
      </c>
      <c r="G491" t="s">
        <v>507</v>
      </c>
      <c r="H491" t="s">
        <v>506</v>
      </c>
      <c r="I491">
        <v>6</v>
      </c>
      <c r="J491" t="s">
        <v>7</v>
      </c>
      <c r="K491">
        <v>0</v>
      </c>
      <c r="L491" s="5">
        <v>6</v>
      </c>
      <c r="M491">
        <v>117094.47</v>
      </c>
      <c r="N491" t="s">
        <v>21</v>
      </c>
      <c r="O491" t="str">
        <f t="shared" si="38"/>
        <v>nM</v>
      </c>
      <c r="R491">
        <v>17.7</v>
      </c>
      <c r="S491" t="s">
        <v>660</v>
      </c>
      <c r="T491" t="s">
        <v>504</v>
      </c>
      <c r="U491">
        <v>1000</v>
      </c>
      <c r="V491" t="s">
        <v>22</v>
      </c>
      <c r="W491" t="s">
        <v>23</v>
      </c>
      <c r="X491">
        <v>0</v>
      </c>
      <c r="Y491">
        <v>1</v>
      </c>
      <c r="AA491" t="s">
        <v>655</v>
      </c>
      <c r="AD491">
        <v>60</v>
      </c>
      <c r="AE491" t="b">
        <v>0</v>
      </c>
    </row>
    <row r="492" spans="1:31" x14ac:dyDescent="0.3">
      <c r="A492" t="s">
        <v>1147</v>
      </c>
      <c r="B492" t="s">
        <v>1148</v>
      </c>
      <c r="C492" t="b">
        <v>1</v>
      </c>
      <c r="D492" t="s">
        <v>508</v>
      </c>
      <c r="E492" t="s">
        <v>511</v>
      </c>
      <c r="F492" t="s">
        <v>512</v>
      </c>
      <c r="G492" t="s">
        <v>513</v>
      </c>
      <c r="H492" t="s">
        <v>514</v>
      </c>
      <c r="I492">
        <v>9</v>
      </c>
      <c r="J492" t="s">
        <v>6</v>
      </c>
      <c r="K492">
        <v>0</v>
      </c>
      <c r="L492" s="5" t="s">
        <v>654</v>
      </c>
      <c r="M492">
        <v>1670</v>
      </c>
      <c r="N492" t="s">
        <v>20</v>
      </c>
      <c r="O492" t="str">
        <f t="shared" si="38"/>
        <v>ng*h/mL</v>
      </c>
      <c r="T492" t="s">
        <v>509</v>
      </c>
      <c r="U492">
        <v>50</v>
      </c>
      <c r="V492" t="s">
        <v>22</v>
      </c>
      <c r="W492" t="s">
        <v>23</v>
      </c>
      <c r="X492">
        <v>0</v>
      </c>
      <c r="Y492">
        <v>1</v>
      </c>
      <c r="AA492" t="s">
        <v>655</v>
      </c>
      <c r="AD492">
        <v>62.3</v>
      </c>
      <c r="AE492" t="b">
        <v>0</v>
      </c>
    </row>
    <row r="493" spans="1:31" x14ac:dyDescent="0.3">
      <c r="A493" t="s">
        <v>1147</v>
      </c>
      <c r="B493" t="s">
        <v>1148</v>
      </c>
      <c r="C493" t="b">
        <v>1</v>
      </c>
      <c r="D493" t="s">
        <v>508</v>
      </c>
      <c r="E493" t="s">
        <v>511</v>
      </c>
      <c r="F493" t="s">
        <v>512</v>
      </c>
      <c r="G493" t="s">
        <v>513</v>
      </c>
      <c r="H493" t="s">
        <v>514</v>
      </c>
      <c r="I493">
        <v>9</v>
      </c>
      <c r="J493" t="s">
        <v>7</v>
      </c>
      <c r="K493">
        <v>0</v>
      </c>
      <c r="L493" s="5">
        <v>9</v>
      </c>
      <c r="M493">
        <v>2</v>
      </c>
      <c r="N493" t="s">
        <v>155</v>
      </c>
      <c r="O493" t="str">
        <f t="shared" si="38"/>
        <v>ug/mL</v>
      </c>
      <c r="T493" t="s">
        <v>510</v>
      </c>
      <c r="U493">
        <v>50</v>
      </c>
      <c r="V493" t="s">
        <v>22</v>
      </c>
      <c r="W493" t="s">
        <v>23</v>
      </c>
      <c r="X493">
        <v>0</v>
      </c>
      <c r="Y493">
        <v>1</v>
      </c>
      <c r="AA493" t="s">
        <v>655</v>
      </c>
      <c r="AD493">
        <v>62.3</v>
      </c>
      <c r="AE493" t="b">
        <v>0</v>
      </c>
    </row>
    <row r="494" spans="1:31" x14ac:dyDescent="0.3">
      <c r="A494" t="s">
        <v>1149</v>
      </c>
      <c r="B494" t="s">
        <v>1150</v>
      </c>
      <c r="C494" t="b">
        <v>1</v>
      </c>
      <c r="D494" t="s">
        <v>508</v>
      </c>
      <c r="E494" t="s">
        <v>511</v>
      </c>
      <c r="F494" t="s">
        <v>512</v>
      </c>
      <c r="G494" t="s">
        <v>513</v>
      </c>
      <c r="H494" t="s">
        <v>514</v>
      </c>
      <c r="I494">
        <v>6</v>
      </c>
      <c r="J494" t="s">
        <v>6</v>
      </c>
      <c r="K494">
        <v>0</v>
      </c>
      <c r="L494" s="5" t="s">
        <v>654</v>
      </c>
      <c r="M494">
        <v>3290</v>
      </c>
      <c r="N494" t="s">
        <v>20</v>
      </c>
      <c r="O494" t="str">
        <f t="shared" si="38"/>
        <v>ng*h/mL</v>
      </c>
      <c r="T494" t="s">
        <v>515</v>
      </c>
      <c r="U494">
        <v>50</v>
      </c>
      <c r="V494" t="s">
        <v>22</v>
      </c>
      <c r="W494" t="s">
        <v>663</v>
      </c>
      <c r="X494">
        <v>0</v>
      </c>
      <c r="Y494">
        <v>1</v>
      </c>
      <c r="AA494" t="s">
        <v>655</v>
      </c>
      <c r="AB494">
        <v>2</v>
      </c>
      <c r="AC494" t="s">
        <v>664</v>
      </c>
      <c r="AD494">
        <v>62.3</v>
      </c>
      <c r="AE494" t="b">
        <v>0</v>
      </c>
    </row>
    <row r="495" spans="1:31" x14ac:dyDescent="0.3">
      <c r="A495" t="s">
        <v>1149</v>
      </c>
      <c r="B495" t="s">
        <v>1150</v>
      </c>
      <c r="C495" t="b">
        <v>1</v>
      </c>
      <c r="D495" t="s">
        <v>508</v>
      </c>
      <c r="E495" t="s">
        <v>511</v>
      </c>
      <c r="F495" t="s">
        <v>512</v>
      </c>
      <c r="G495" t="s">
        <v>513</v>
      </c>
      <c r="H495" t="s">
        <v>514</v>
      </c>
      <c r="I495">
        <v>6</v>
      </c>
      <c r="J495" t="s">
        <v>7</v>
      </c>
      <c r="K495">
        <v>0</v>
      </c>
      <c r="L495" s="5">
        <v>6</v>
      </c>
      <c r="M495">
        <v>7.8</v>
      </c>
      <c r="N495" t="s">
        <v>155</v>
      </c>
      <c r="O495" t="str">
        <f t="shared" si="38"/>
        <v>ug/mL</v>
      </c>
      <c r="T495" t="s">
        <v>516</v>
      </c>
      <c r="U495">
        <v>50</v>
      </c>
      <c r="V495" t="s">
        <v>22</v>
      </c>
      <c r="W495" t="s">
        <v>663</v>
      </c>
      <c r="X495">
        <v>0</v>
      </c>
      <c r="Y495">
        <v>1</v>
      </c>
      <c r="AA495" t="s">
        <v>655</v>
      </c>
      <c r="AB495">
        <v>2</v>
      </c>
      <c r="AC495" t="s">
        <v>664</v>
      </c>
      <c r="AD495">
        <v>62.3</v>
      </c>
      <c r="AE495" t="b">
        <v>0</v>
      </c>
    </row>
    <row r="496" spans="1:31" x14ac:dyDescent="0.3">
      <c r="A496" t="s">
        <v>1151</v>
      </c>
      <c r="B496" t="s">
        <v>1152</v>
      </c>
      <c r="C496" t="b">
        <v>1</v>
      </c>
      <c r="D496" t="s">
        <v>290</v>
      </c>
      <c r="E496" t="s">
        <v>519</v>
      </c>
      <c r="F496" t="s">
        <v>292</v>
      </c>
      <c r="G496" t="s">
        <v>293</v>
      </c>
      <c r="H496" t="s">
        <v>292</v>
      </c>
      <c r="I496">
        <v>10</v>
      </c>
      <c r="J496" t="s">
        <v>6</v>
      </c>
      <c r="K496">
        <v>0</v>
      </c>
      <c r="L496" s="5" t="s">
        <v>654</v>
      </c>
      <c r="M496">
        <v>4852.6000000000004</v>
      </c>
      <c r="N496" t="s">
        <v>20</v>
      </c>
      <c r="O496" t="str">
        <f t="shared" si="38"/>
        <v>ng*h/mL</v>
      </c>
      <c r="T496" t="s">
        <v>522</v>
      </c>
      <c r="U496">
        <v>400</v>
      </c>
      <c r="V496" t="s">
        <v>22</v>
      </c>
      <c r="W496" t="s">
        <v>23</v>
      </c>
      <c r="X496">
        <v>0</v>
      </c>
      <c r="Y496">
        <v>1</v>
      </c>
      <c r="AA496" t="s">
        <v>655</v>
      </c>
      <c r="AD496">
        <v>70</v>
      </c>
    </row>
    <row r="497" spans="1:31" x14ac:dyDescent="0.3">
      <c r="A497" t="s">
        <v>1151</v>
      </c>
      <c r="B497" t="s">
        <v>1152</v>
      </c>
      <c r="C497" t="b">
        <v>1</v>
      </c>
      <c r="D497" t="s">
        <v>290</v>
      </c>
      <c r="E497" t="s">
        <v>519</v>
      </c>
      <c r="F497" t="s">
        <v>292</v>
      </c>
      <c r="G497" t="s">
        <v>293</v>
      </c>
      <c r="H497" t="s">
        <v>292</v>
      </c>
      <c r="I497">
        <v>10</v>
      </c>
      <c r="J497" t="s">
        <v>6</v>
      </c>
      <c r="K497">
        <v>0</v>
      </c>
      <c r="L497" s="5">
        <v>10</v>
      </c>
      <c r="M497">
        <v>4021.4</v>
      </c>
      <c r="N497" t="s">
        <v>20</v>
      </c>
      <c r="O497" t="str">
        <f t="shared" si="38"/>
        <v>ng*h/mL</v>
      </c>
      <c r="T497" t="s">
        <v>517</v>
      </c>
      <c r="U497">
        <v>400</v>
      </c>
      <c r="V497" t="s">
        <v>22</v>
      </c>
      <c r="W497" t="s">
        <v>23</v>
      </c>
      <c r="X497">
        <v>0</v>
      </c>
      <c r="Y497">
        <v>1</v>
      </c>
      <c r="AA497" t="s">
        <v>655</v>
      </c>
      <c r="AD497">
        <v>70</v>
      </c>
    </row>
    <row r="498" spans="1:31" x14ac:dyDescent="0.3">
      <c r="A498" t="s">
        <v>1151</v>
      </c>
      <c r="B498" t="s">
        <v>1152</v>
      </c>
      <c r="C498" t="b">
        <v>1</v>
      </c>
      <c r="D498" t="s">
        <v>290</v>
      </c>
      <c r="E498" t="s">
        <v>519</v>
      </c>
      <c r="F498" t="s">
        <v>292</v>
      </c>
      <c r="G498" t="s">
        <v>293</v>
      </c>
      <c r="H498" t="s">
        <v>292</v>
      </c>
      <c r="I498">
        <v>10</v>
      </c>
      <c r="J498" t="s">
        <v>7</v>
      </c>
      <c r="K498">
        <v>0</v>
      </c>
      <c r="L498" s="5">
        <v>10</v>
      </c>
      <c r="M498">
        <v>1592.77</v>
      </c>
      <c r="N498" t="s">
        <v>21</v>
      </c>
      <c r="O498" t="str">
        <f t="shared" si="38"/>
        <v>nM</v>
      </c>
      <c r="R498">
        <v>1168</v>
      </c>
      <c r="S498" t="s">
        <v>661</v>
      </c>
      <c r="T498" t="s">
        <v>518</v>
      </c>
      <c r="U498">
        <v>400</v>
      </c>
      <c r="V498" t="s">
        <v>22</v>
      </c>
      <c r="W498" t="s">
        <v>23</v>
      </c>
      <c r="X498">
        <v>0</v>
      </c>
      <c r="Y498">
        <v>1</v>
      </c>
      <c r="AA498" t="s">
        <v>655</v>
      </c>
      <c r="AD498">
        <v>70</v>
      </c>
    </row>
    <row r="499" spans="1:31" x14ac:dyDescent="0.3">
      <c r="A499" t="s">
        <v>1153</v>
      </c>
      <c r="B499" t="s">
        <v>1154</v>
      </c>
      <c r="C499" t="b">
        <v>1</v>
      </c>
      <c r="D499" t="s">
        <v>290</v>
      </c>
      <c r="E499" t="s">
        <v>519</v>
      </c>
      <c r="F499" t="s">
        <v>292</v>
      </c>
      <c r="G499" t="s">
        <v>293</v>
      </c>
      <c r="H499" t="s">
        <v>292</v>
      </c>
      <c r="I499">
        <v>10</v>
      </c>
      <c r="J499" t="s">
        <v>6</v>
      </c>
      <c r="K499">
        <v>0</v>
      </c>
      <c r="L499" s="5" t="s">
        <v>654</v>
      </c>
      <c r="M499">
        <v>4787.3999999999996</v>
      </c>
      <c r="N499" t="s">
        <v>20</v>
      </c>
      <c r="O499" t="str">
        <f t="shared" si="38"/>
        <v>ng*h/mL</v>
      </c>
      <c r="T499" t="s">
        <v>523</v>
      </c>
      <c r="U499">
        <v>400</v>
      </c>
      <c r="V499" t="s">
        <v>22</v>
      </c>
      <c r="W499" t="s">
        <v>23</v>
      </c>
      <c r="X499">
        <v>0</v>
      </c>
      <c r="Y499">
        <v>1</v>
      </c>
      <c r="AA499" t="s">
        <v>655</v>
      </c>
      <c r="AD499">
        <v>70</v>
      </c>
    </row>
    <row r="500" spans="1:31" x14ac:dyDescent="0.3">
      <c r="A500" t="s">
        <v>1153</v>
      </c>
      <c r="B500" t="s">
        <v>1154</v>
      </c>
      <c r="C500" t="b">
        <v>1</v>
      </c>
      <c r="D500" t="s">
        <v>290</v>
      </c>
      <c r="E500" t="s">
        <v>519</v>
      </c>
      <c r="F500" t="s">
        <v>292</v>
      </c>
      <c r="G500" t="s">
        <v>293</v>
      </c>
      <c r="H500" t="s">
        <v>292</v>
      </c>
      <c r="I500">
        <v>10</v>
      </c>
      <c r="J500" t="s">
        <v>6</v>
      </c>
      <c r="K500">
        <v>0</v>
      </c>
      <c r="L500" s="5">
        <v>10</v>
      </c>
      <c r="M500">
        <v>4010</v>
      </c>
      <c r="N500" t="s">
        <v>20</v>
      </c>
      <c r="O500" t="str">
        <f t="shared" si="38"/>
        <v>ng*h/mL</v>
      </c>
      <c r="T500" t="s">
        <v>521</v>
      </c>
      <c r="U500">
        <v>400</v>
      </c>
      <c r="V500" t="s">
        <v>22</v>
      </c>
      <c r="W500" t="s">
        <v>23</v>
      </c>
      <c r="X500">
        <v>0</v>
      </c>
      <c r="Y500">
        <v>1</v>
      </c>
      <c r="AA500" t="s">
        <v>655</v>
      </c>
      <c r="AD500">
        <v>70</v>
      </c>
    </row>
    <row r="501" spans="1:31" x14ac:dyDescent="0.3">
      <c r="A501" t="s">
        <v>1153</v>
      </c>
      <c r="B501" t="s">
        <v>1154</v>
      </c>
      <c r="C501" t="b">
        <v>1</v>
      </c>
      <c r="D501" t="s">
        <v>290</v>
      </c>
      <c r="E501" t="s">
        <v>519</v>
      </c>
      <c r="F501" t="s">
        <v>292</v>
      </c>
      <c r="G501" t="s">
        <v>293</v>
      </c>
      <c r="H501" t="s">
        <v>292</v>
      </c>
      <c r="I501">
        <v>10</v>
      </c>
      <c r="J501" t="s">
        <v>7</v>
      </c>
      <c r="K501">
        <v>0</v>
      </c>
      <c r="L501" s="5">
        <v>10</v>
      </c>
      <c r="M501">
        <v>1519.2</v>
      </c>
      <c r="N501" t="s">
        <v>21</v>
      </c>
      <c r="O501" t="str">
        <f t="shared" si="38"/>
        <v>nM</v>
      </c>
      <c r="R501">
        <v>1115</v>
      </c>
      <c r="S501" t="s">
        <v>661</v>
      </c>
      <c r="T501" t="s">
        <v>520</v>
      </c>
      <c r="U501">
        <v>400</v>
      </c>
      <c r="V501" t="s">
        <v>22</v>
      </c>
      <c r="W501" t="s">
        <v>23</v>
      </c>
      <c r="X501">
        <v>0</v>
      </c>
      <c r="Y501">
        <v>1</v>
      </c>
      <c r="AA501" t="s">
        <v>655</v>
      </c>
      <c r="AD501">
        <v>70</v>
      </c>
    </row>
    <row r="502" spans="1:31" x14ac:dyDescent="0.3">
      <c r="A502" t="s">
        <v>1155</v>
      </c>
      <c r="B502" t="s">
        <v>1156</v>
      </c>
      <c r="C502" t="b">
        <v>1</v>
      </c>
      <c r="D502" t="s">
        <v>524</v>
      </c>
      <c r="E502" t="s">
        <v>519</v>
      </c>
      <c r="F502" t="s">
        <v>527</v>
      </c>
      <c r="G502" t="s">
        <v>527</v>
      </c>
      <c r="H502" t="s">
        <v>527</v>
      </c>
      <c r="I502">
        <v>72</v>
      </c>
      <c r="J502" t="s">
        <v>6</v>
      </c>
      <c r="K502">
        <v>0</v>
      </c>
      <c r="L502" s="5" t="s">
        <v>654</v>
      </c>
      <c r="M502">
        <v>7990.7</v>
      </c>
      <c r="N502" t="s">
        <v>20</v>
      </c>
      <c r="O502" t="str">
        <f t="shared" si="38"/>
        <v>ng*h/mL</v>
      </c>
      <c r="T502" t="s">
        <v>530</v>
      </c>
      <c r="U502">
        <v>500</v>
      </c>
      <c r="V502" t="s">
        <v>22</v>
      </c>
      <c r="W502" t="s">
        <v>23</v>
      </c>
      <c r="X502">
        <v>0</v>
      </c>
      <c r="Y502">
        <v>1</v>
      </c>
      <c r="AA502" t="s">
        <v>655</v>
      </c>
      <c r="AD502">
        <v>70</v>
      </c>
    </row>
    <row r="503" spans="1:31" x14ac:dyDescent="0.3">
      <c r="A503" t="s">
        <v>1155</v>
      </c>
      <c r="B503" t="s">
        <v>1156</v>
      </c>
      <c r="C503" t="b">
        <v>1</v>
      </c>
      <c r="D503" t="s">
        <v>524</v>
      </c>
      <c r="E503" t="s">
        <v>519</v>
      </c>
      <c r="F503" t="s">
        <v>527</v>
      </c>
      <c r="G503" t="s">
        <v>527</v>
      </c>
      <c r="H503" t="s">
        <v>527</v>
      </c>
      <c r="I503">
        <v>72</v>
      </c>
      <c r="J503" t="s">
        <v>6</v>
      </c>
      <c r="K503">
        <v>0</v>
      </c>
      <c r="L503" s="5">
        <v>72</v>
      </c>
      <c r="M503">
        <v>7575.4</v>
      </c>
      <c r="N503" t="s">
        <v>20</v>
      </c>
      <c r="O503" t="str">
        <f t="shared" si="38"/>
        <v>ng*h/mL</v>
      </c>
      <c r="T503" t="s">
        <v>525</v>
      </c>
      <c r="U503">
        <v>500</v>
      </c>
      <c r="V503" t="s">
        <v>22</v>
      </c>
      <c r="W503" t="s">
        <v>23</v>
      </c>
      <c r="X503">
        <v>0</v>
      </c>
      <c r="Y503">
        <v>1</v>
      </c>
      <c r="AA503" t="s">
        <v>655</v>
      </c>
      <c r="AD503">
        <v>70</v>
      </c>
    </row>
    <row r="504" spans="1:31" x14ac:dyDescent="0.3">
      <c r="A504" t="s">
        <v>1155</v>
      </c>
      <c r="B504" t="s">
        <v>1156</v>
      </c>
      <c r="C504" t="b">
        <v>1</v>
      </c>
      <c r="D504" t="s">
        <v>524</v>
      </c>
      <c r="E504" t="s">
        <v>519</v>
      </c>
      <c r="F504" t="s">
        <v>527</v>
      </c>
      <c r="G504" t="s">
        <v>527</v>
      </c>
      <c r="H504" t="s">
        <v>527</v>
      </c>
      <c r="I504">
        <v>72</v>
      </c>
      <c r="J504" t="s">
        <v>7</v>
      </c>
      <c r="K504">
        <v>0</v>
      </c>
      <c r="L504" s="5">
        <v>72</v>
      </c>
      <c r="M504">
        <v>649.4</v>
      </c>
      <c r="N504" t="s">
        <v>21</v>
      </c>
      <c r="O504" t="str">
        <f t="shared" si="38"/>
        <v>nM</v>
      </c>
      <c r="R504">
        <v>486.4</v>
      </c>
      <c r="S504" t="s">
        <v>661</v>
      </c>
      <c r="T504" t="s">
        <v>526</v>
      </c>
      <c r="U504">
        <v>500</v>
      </c>
      <c r="V504" t="s">
        <v>22</v>
      </c>
      <c r="W504" t="s">
        <v>23</v>
      </c>
      <c r="X504">
        <v>0</v>
      </c>
      <c r="Y504">
        <v>1</v>
      </c>
      <c r="AA504" t="s">
        <v>655</v>
      </c>
      <c r="AD504">
        <v>70</v>
      </c>
    </row>
    <row r="505" spans="1:31" x14ac:dyDescent="0.3">
      <c r="A505" t="s">
        <v>1157</v>
      </c>
      <c r="B505" t="s">
        <v>1158</v>
      </c>
      <c r="C505" t="b">
        <v>1</v>
      </c>
      <c r="D505" t="s">
        <v>524</v>
      </c>
      <c r="E505" t="s">
        <v>519</v>
      </c>
      <c r="F505" t="s">
        <v>527</v>
      </c>
      <c r="G505" t="s">
        <v>527</v>
      </c>
      <c r="H505" t="s">
        <v>527</v>
      </c>
      <c r="I505">
        <v>72</v>
      </c>
      <c r="J505" t="s">
        <v>6</v>
      </c>
      <c r="K505">
        <v>0</v>
      </c>
      <c r="L505" s="5" t="s">
        <v>654</v>
      </c>
      <c r="M505">
        <v>8436.7999999999993</v>
      </c>
      <c r="N505" t="s">
        <v>20</v>
      </c>
      <c r="O505" t="str">
        <f t="shared" si="38"/>
        <v>ng*h/mL</v>
      </c>
      <c r="T505" t="s">
        <v>531</v>
      </c>
      <c r="U505">
        <v>500</v>
      </c>
      <c r="V505" t="s">
        <v>22</v>
      </c>
      <c r="W505" t="s">
        <v>23</v>
      </c>
      <c r="X505">
        <v>0</v>
      </c>
      <c r="Y505">
        <v>1</v>
      </c>
      <c r="AA505" t="s">
        <v>655</v>
      </c>
      <c r="AD505">
        <v>70</v>
      </c>
    </row>
    <row r="506" spans="1:31" x14ac:dyDescent="0.3">
      <c r="A506" t="s">
        <v>1157</v>
      </c>
      <c r="B506" t="s">
        <v>1158</v>
      </c>
      <c r="C506" t="b">
        <v>1</v>
      </c>
      <c r="D506" t="s">
        <v>524</v>
      </c>
      <c r="E506" t="s">
        <v>519</v>
      </c>
      <c r="F506" t="s">
        <v>527</v>
      </c>
      <c r="G506" t="s">
        <v>527</v>
      </c>
      <c r="H506" t="s">
        <v>527</v>
      </c>
      <c r="I506">
        <v>72</v>
      </c>
      <c r="J506" t="s">
        <v>6</v>
      </c>
      <c r="K506">
        <v>0</v>
      </c>
      <c r="L506" s="5">
        <v>72</v>
      </c>
      <c r="M506">
        <v>8046.4</v>
      </c>
      <c r="N506" t="s">
        <v>20</v>
      </c>
      <c r="O506" t="str">
        <f t="shared" si="38"/>
        <v>ng*h/mL</v>
      </c>
      <c r="T506" t="s">
        <v>529</v>
      </c>
      <c r="U506">
        <v>500</v>
      </c>
      <c r="V506" t="s">
        <v>22</v>
      </c>
      <c r="W506" t="s">
        <v>23</v>
      </c>
      <c r="X506">
        <v>0</v>
      </c>
      <c r="Y506">
        <v>1</v>
      </c>
      <c r="AA506" t="s">
        <v>655</v>
      </c>
      <c r="AD506">
        <v>70</v>
      </c>
    </row>
    <row r="507" spans="1:31" x14ac:dyDescent="0.3">
      <c r="A507" t="s">
        <v>1157</v>
      </c>
      <c r="B507" t="s">
        <v>1158</v>
      </c>
      <c r="C507" t="b">
        <v>1</v>
      </c>
      <c r="D507" t="s">
        <v>524</v>
      </c>
      <c r="E507" t="s">
        <v>519</v>
      </c>
      <c r="F507" t="s">
        <v>527</v>
      </c>
      <c r="G507" t="s">
        <v>527</v>
      </c>
      <c r="H507" t="s">
        <v>527</v>
      </c>
      <c r="I507">
        <v>72</v>
      </c>
      <c r="J507" t="s">
        <v>7</v>
      </c>
      <c r="K507">
        <v>0</v>
      </c>
      <c r="L507" s="5">
        <v>72</v>
      </c>
      <c r="M507">
        <v>651.66999999999996</v>
      </c>
      <c r="N507" t="s">
        <v>21</v>
      </c>
      <c r="O507" t="str">
        <f t="shared" si="38"/>
        <v>nM</v>
      </c>
      <c r="R507">
        <v>488.1</v>
      </c>
      <c r="S507" t="s">
        <v>661</v>
      </c>
      <c r="T507" t="s">
        <v>528</v>
      </c>
      <c r="U507">
        <v>500</v>
      </c>
      <c r="V507" t="s">
        <v>22</v>
      </c>
      <c r="W507" t="s">
        <v>23</v>
      </c>
      <c r="X507">
        <v>0</v>
      </c>
      <c r="Y507">
        <v>1</v>
      </c>
      <c r="AA507" t="s">
        <v>655</v>
      </c>
      <c r="AD507">
        <v>70</v>
      </c>
    </row>
    <row r="508" spans="1:31" x14ac:dyDescent="0.3">
      <c r="A508" t="s">
        <v>1159</v>
      </c>
      <c r="B508" t="s">
        <v>1160</v>
      </c>
      <c r="C508" t="b">
        <v>1</v>
      </c>
      <c r="D508" t="s">
        <v>532</v>
      </c>
      <c r="E508" t="s">
        <v>535</v>
      </c>
      <c r="F508" t="s">
        <v>536</v>
      </c>
      <c r="G508" t="s">
        <v>952</v>
      </c>
      <c r="H508" t="s">
        <v>536</v>
      </c>
      <c r="I508">
        <v>36</v>
      </c>
      <c r="J508" t="s">
        <v>6</v>
      </c>
      <c r="K508">
        <v>0</v>
      </c>
      <c r="L508" s="5" t="s">
        <v>654</v>
      </c>
      <c r="M508">
        <v>387.33</v>
      </c>
      <c r="N508" t="s">
        <v>20</v>
      </c>
      <c r="O508" t="str">
        <f t="shared" si="38"/>
        <v>ng*h/mL</v>
      </c>
      <c r="P508">
        <f>M508/R508</f>
        <v>372.43269230769226</v>
      </c>
      <c r="R508">
        <v>1.04</v>
      </c>
      <c r="S508" t="s">
        <v>789</v>
      </c>
      <c r="T508" t="s">
        <v>533</v>
      </c>
      <c r="U508">
        <v>10</v>
      </c>
      <c r="V508" t="s">
        <v>22</v>
      </c>
      <c r="W508" t="s">
        <v>23</v>
      </c>
      <c r="X508">
        <v>0</v>
      </c>
      <c r="Y508">
        <v>1</v>
      </c>
      <c r="AA508" t="s">
        <v>655</v>
      </c>
    </row>
    <row r="509" spans="1:31" x14ac:dyDescent="0.3">
      <c r="A509" t="s">
        <v>1159</v>
      </c>
      <c r="B509" t="s">
        <v>1160</v>
      </c>
      <c r="C509" t="b">
        <v>1</v>
      </c>
      <c r="D509" t="s">
        <v>532</v>
      </c>
      <c r="E509" t="s">
        <v>535</v>
      </c>
      <c r="F509" t="s">
        <v>536</v>
      </c>
      <c r="G509" t="s">
        <v>952</v>
      </c>
      <c r="H509" t="s">
        <v>536</v>
      </c>
      <c r="I509">
        <v>36</v>
      </c>
      <c r="J509" t="s">
        <v>6</v>
      </c>
      <c r="K509">
        <v>0</v>
      </c>
      <c r="L509" s="5">
        <v>36</v>
      </c>
      <c r="M509">
        <v>353.81</v>
      </c>
      <c r="N509" t="s">
        <v>20</v>
      </c>
      <c r="O509" t="str">
        <f t="shared" si="38"/>
        <v>ng*h/mL</v>
      </c>
      <c r="R509">
        <v>0.95</v>
      </c>
      <c r="S509" t="s">
        <v>789</v>
      </c>
      <c r="T509" t="s">
        <v>946</v>
      </c>
      <c r="U509">
        <v>10</v>
      </c>
      <c r="V509" t="s">
        <v>22</v>
      </c>
      <c r="W509" t="s">
        <v>23</v>
      </c>
      <c r="X509">
        <v>0</v>
      </c>
      <c r="Y509">
        <v>1</v>
      </c>
      <c r="AA509" t="s">
        <v>655</v>
      </c>
    </row>
    <row r="510" spans="1:31" x14ac:dyDescent="0.3">
      <c r="A510" t="s">
        <v>1159</v>
      </c>
      <c r="B510" t="s">
        <v>1160</v>
      </c>
      <c r="C510" t="b">
        <v>1</v>
      </c>
      <c r="D510" t="s">
        <v>532</v>
      </c>
      <c r="E510" t="s">
        <v>535</v>
      </c>
      <c r="F510" t="s">
        <v>536</v>
      </c>
      <c r="G510" t="s">
        <v>952</v>
      </c>
      <c r="H510" t="s">
        <v>536</v>
      </c>
      <c r="I510">
        <v>36</v>
      </c>
      <c r="J510" t="s">
        <v>7</v>
      </c>
      <c r="K510">
        <v>0</v>
      </c>
      <c r="L510" s="5">
        <v>36</v>
      </c>
      <c r="M510">
        <v>200</v>
      </c>
      <c r="N510" t="s">
        <v>21</v>
      </c>
      <c r="O510" t="str">
        <f t="shared" si="38"/>
        <v>nM</v>
      </c>
      <c r="T510" t="s">
        <v>534</v>
      </c>
      <c r="U510">
        <v>10</v>
      </c>
      <c r="V510" t="s">
        <v>22</v>
      </c>
      <c r="W510" t="s">
        <v>23</v>
      </c>
      <c r="X510">
        <v>0</v>
      </c>
      <c r="Y510">
        <v>1</v>
      </c>
      <c r="AA510" t="s">
        <v>655</v>
      </c>
    </row>
    <row r="511" spans="1:31" x14ac:dyDescent="0.3">
      <c r="A511" t="s">
        <v>1161</v>
      </c>
      <c r="B511" t="s">
        <v>1162</v>
      </c>
      <c r="C511" t="b">
        <v>1</v>
      </c>
      <c r="D511" t="s">
        <v>532</v>
      </c>
      <c r="E511" t="s">
        <v>535</v>
      </c>
      <c r="F511" t="s">
        <v>536</v>
      </c>
      <c r="G511" t="s">
        <v>952</v>
      </c>
      <c r="H511" t="s">
        <v>536</v>
      </c>
      <c r="I511">
        <v>36</v>
      </c>
      <c r="J511" t="s">
        <v>6</v>
      </c>
      <c r="K511">
        <v>0</v>
      </c>
      <c r="L511" s="5" t="s">
        <v>654</v>
      </c>
      <c r="M511">
        <v>305.39</v>
      </c>
      <c r="N511" t="s">
        <v>20</v>
      </c>
      <c r="O511" t="str">
        <f t="shared" si="38"/>
        <v>ng*h/mL</v>
      </c>
      <c r="R511">
        <v>0.82</v>
      </c>
      <c r="S511" t="s">
        <v>789</v>
      </c>
      <c r="T511" t="s">
        <v>541</v>
      </c>
      <c r="U511">
        <v>10</v>
      </c>
      <c r="V511" t="s">
        <v>22</v>
      </c>
      <c r="W511" t="s">
        <v>23</v>
      </c>
      <c r="X511">
        <v>0</v>
      </c>
      <c r="Y511">
        <v>1</v>
      </c>
      <c r="AA511" t="s">
        <v>655</v>
      </c>
      <c r="AE511" t="b">
        <v>0</v>
      </c>
    </row>
    <row r="512" spans="1:31" x14ac:dyDescent="0.3">
      <c r="A512" t="s">
        <v>1161</v>
      </c>
      <c r="B512" t="s">
        <v>1162</v>
      </c>
      <c r="C512" t="b">
        <v>1</v>
      </c>
      <c r="D512" t="s">
        <v>532</v>
      </c>
      <c r="E512" t="s">
        <v>535</v>
      </c>
      <c r="F512" t="s">
        <v>536</v>
      </c>
      <c r="G512" t="s">
        <v>952</v>
      </c>
      <c r="H512" t="s">
        <v>536</v>
      </c>
      <c r="I512">
        <v>36</v>
      </c>
      <c r="J512" t="s">
        <v>6</v>
      </c>
      <c r="K512">
        <v>0</v>
      </c>
      <c r="L512" s="5">
        <v>36</v>
      </c>
      <c r="M512">
        <v>271.88</v>
      </c>
      <c r="N512" t="s">
        <v>20</v>
      </c>
      <c r="O512" t="str">
        <f t="shared" si="38"/>
        <v>ng*h/mL</v>
      </c>
      <c r="R512">
        <v>0.73</v>
      </c>
      <c r="S512" t="s">
        <v>789</v>
      </c>
      <c r="T512" t="s">
        <v>947</v>
      </c>
      <c r="U512">
        <v>10</v>
      </c>
      <c r="V512" t="s">
        <v>22</v>
      </c>
      <c r="W512" t="s">
        <v>23</v>
      </c>
      <c r="X512">
        <v>0</v>
      </c>
      <c r="Y512">
        <v>1</v>
      </c>
      <c r="AA512" t="s">
        <v>655</v>
      </c>
      <c r="AE512" t="b">
        <v>0</v>
      </c>
    </row>
    <row r="513" spans="1:31" x14ac:dyDescent="0.3">
      <c r="A513" t="s">
        <v>1161</v>
      </c>
      <c r="B513" t="s">
        <v>1162</v>
      </c>
      <c r="C513" t="b">
        <v>1</v>
      </c>
      <c r="D513" t="s">
        <v>532</v>
      </c>
      <c r="E513" t="s">
        <v>535</v>
      </c>
      <c r="F513" t="s">
        <v>536</v>
      </c>
      <c r="G513" t="s">
        <v>952</v>
      </c>
      <c r="H513" t="s">
        <v>536</v>
      </c>
      <c r="I513">
        <v>36</v>
      </c>
      <c r="J513" t="s">
        <v>7</v>
      </c>
      <c r="K513">
        <v>0</v>
      </c>
      <c r="L513" s="5">
        <v>36</v>
      </c>
      <c r="M513">
        <v>140</v>
      </c>
      <c r="N513" t="s">
        <v>21</v>
      </c>
      <c r="O513" t="str">
        <f t="shared" si="38"/>
        <v>nM</v>
      </c>
      <c r="T513" t="s">
        <v>537</v>
      </c>
      <c r="U513">
        <v>10</v>
      </c>
      <c r="V513" t="s">
        <v>22</v>
      </c>
      <c r="W513" t="s">
        <v>23</v>
      </c>
      <c r="X513">
        <v>0</v>
      </c>
      <c r="Y513">
        <v>1</v>
      </c>
      <c r="AA513" t="s">
        <v>655</v>
      </c>
      <c r="AE513" t="b">
        <v>0</v>
      </c>
    </row>
    <row r="514" spans="1:31" x14ac:dyDescent="0.3">
      <c r="A514" t="s">
        <v>1163</v>
      </c>
      <c r="B514" t="s">
        <v>1164</v>
      </c>
      <c r="C514" t="b">
        <v>1</v>
      </c>
      <c r="D514" t="s">
        <v>532</v>
      </c>
      <c r="E514" t="s">
        <v>535</v>
      </c>
      <c r="F514" t="s">
        <v>536</v>
      </c>
      <c r="G514" t="s">
        <v>952</v>
      </c>
      <c r="H514" t="s">
        <v>536</v>
      </c>
      <c r="I514">
        <v>36</v>
      </c>
      <c r="J514" t="s">
        <v>6</v>
      </c>
      <c r="K514">
        <v>0</v>
      </c>
      <c r="L514" s="5" t="s">
        <v>654</v>
      </c>
      <c r="M514">
        <v>327.74</v>
      </c>
      <c r="N514" t="s">
        <v>20</v>
      </c>
      <c r="O514" t="str">
        <f t="shared" si="38"/>
        <v>ng*h/mL</v>
      </c>
      <c r="R514">
        <v>0.88</v>
      </c>
      <c r="S514" t="s">
        <v>789</v>
      </c>
      <c r="T514" t="s">
        <v>542</v>
      </c>
      <c r="U514">
        <v>10</v>
      </c>
      <c r="V514" t="s">
        <v>22</v>
      </c>
      <c r="W514" t="s">
        <v>23</v>
      </c>
      <c r="X514">
        <v>0</v>
      </c>
      <c r="Y514">
        <v>1</v>
      </c>
      <c r="AA514" t="s">
        <v>655</v>
      </c>
      <c r="AE514" t="b">
        <v>1</v>
      </c>
    </row>
    <row r="515" spans="1:31" x14ac:dyDescent="0.3">
      <c r="A515" t="s">
        <v>1163</v>
      </c>
      <c r="B515" t="s">
        <v>1164</v>
      </c>
      <c r="C515" t="b">
        <v>1</v>
      </c>
      <c r="D515" t="s">
        <v>532</v>
      </c>
      <c r="E515" t="s">
        <v>535</v>
      </c>
      <c r="F515" t="s">
        <v>536</v>
      </c>
      <c r="G515" t="s">
        <v>952</v>
      </c>
      <c r="H515" t="s">
        <v>536</v>
      </c>
      <c r="I515">
        <v>36</v>
      </c>
      <c r="J515" t="s">
        <v>6</v>
      </c>
      <c r="K515">
        <v>0</v>
      </c>
      <c r="L515" s="5">
        <v>36</v>
      </c>
      <c r="M515">
        <v>294.22000000000003</v>
      </c>
      <c r="N515" t="s">
        <v>20</v>
      </c>
      <c r="O515" t="str">
        <f t="shared" ref="O515:O525" si="44">IF(EXACT(N515,"ng.hr.mL-1"),"ng*h/mL",IF(EXACT(N515,"ug.mL-1"),"ug/mL",N515))</f>
        <v>ng*h/mL</v>
      </c>
      <c r="R515">
        <v>0.79</v>
      </c>
      <c r="S515" t="s">
        <v>789</v>
      </c>
      <c r="T515" t="s">
        <v>948</v>
      </c>
      <c r="U515">
        <v>10</v>
      </c>
      <c r="V515" t="s">
        <v>22</v>
      </c>
      <c r="W515" t="s">
        <v>23</v>
      </c>
      <c r="X515">
        <v>0</v>
      </c>
      <c r="Y515">
        <v>1</v>
      </c>
      <c r="AA515" t="s">
        <v>655</v>
      </c>
      <c r="AE515" t="b">
        <v>1</v>
      </c>
    </row>
    <row r="516" spans="1:31" x14ac:dyDescent="0.3">
      <c r="A516" t="s">
        <v>1163</v>
      </c>
      <c r="B516" t="s">
        <v>1164</v>
      </c>
      <c r="C516" t="b">
        <v>1</v>
      </c>
      <c r="D516" t="s">
        <v>532</v>
      </c>
      <c r="E516" t="s">
        <v>535</v>
      </c>
      <c r="F516" t="s">
        <v>536</v>
      </c>
      <c r="G516" t="s">
        <v>952</v>
      </c>
      <c r="H516" t="s">
        <v>536</v>
      </c>
      <c r="I516">
        <v>36</v>
      </c>
      <c r="J516" t="s">
        <v>7</v>
      </c>
      <c r="K516">
        <v>0</v>
      </c>
      <c r="L516" s="5">
        <v>36</v>
      </c>
      <c r="M516">
        <v>140</v>
      </c>
      <c r="N516" t="s">
        <v>21</v>
      </c>
      <c r="O516" t="str">
        <f t="shared" si="44"/>
        <v>nM</v>
      </c>
      <c r="T516" t="s">
        <v>538</v>
      </c>
      <c r="U516">
        <v>10</v>
      </c>
      <c r="V516" t="s">
        <v>22</v>
      </c>
      <c r="W516" t="s">
        <v>23</v>
      </c>
      <c r="X516">
        <v>0</v>
      </c>
      <c r="Y516">
        <v>1</v>
      </c>
      <c r="AA516" t="s">
        <v>655</v>
      </c>
      <c r="AE516" t="b">
        <v>1</v>
      </c>
    </row>
    <row r="517" spans="1:31" x14ac:dyDescent="0.3">
      <c r="A517" t="s">
        <v>1165</v>
      </c>
      <c r="B517" t="s">
        <v>1166</v>
      </c>
      <c r="C517" t="b">
        <v>1</v>
      </c>
      <c r="D517" t="s">
        <v>532</v>
      </c>
      <c r="E517" t="s">
        <v>535</v>
      </c>
      <c r="F517" t="s">
        <v>536</v>
      </c>
      <c r="G517" t="s">
        <v>952</v>
      </c>
      <c r="H517" t="s">
        <v>536</v>
      </c>
      <c r="I517">
        <v>36</v>
      </c>
      <c r="J517" t="s">
        <v>6</v>
      </c>
      <c r="K517">
        <v>0</v>
      </c>
      <c r="L517" s="5" t="s">
        <v>654</v>
      </c>
      <c r="M517">
        <v>1333.3</v>
      </c>
      <c r="N517" t="s">
        <v>20</v>
      </c>
      <c r="O517" t="str">
        <f t="shared" si="44"/>
        <v>ng*h/mL</v>
      </c>
      <c r="R517">
        <v>3.58</v>
      </c>
      <c r="S517" t="s">
        <v>789</v>
      </c>
      <c r="T517" t="s">
        <v>539</v>
      </c>
      <c r="U517">
        <v>50</v>
      </c>
      <c r="V517" t="s">
        <v>22</v>
      </c>
      <c r="W517" t="s">
        <v>23</v>
      </c>
      <c r="X517">
        <v>0</v>
      </c>
      <c r="Y517">
        <v>1</v>
      </c>
      <c r="AA517" t="s">
        <v>655</v>
      </c>
    </row>
    <row r="518" spans="1:31" x14ac:dyDescent="0.3">
      <c r="A518" t="s">
        <v>1165</v>
      </c>
      <c r="B518" t="s">
        <v>1166</v>
      </c>
      <c r="C518" t="b">
        <v>1</v>
      </c>
      <c r="D518" t="s">
        <v>532</v>
      </c>
      <c r="E518" t="s">
        <v>535</v>
      </c>
      <c r="F518" t="s">
        <v>536</v>
      </c>
      <c r="G518" t="s">
        <v>952</v>
      </c>
      <c r="H518" t="s">
        <v>536</v>
      </c>
      <c r="I518">
        <v>36</v>
      </c>
      <c r="J518" t="s">
        <v>6</v>
      </c>
      <c r="K518">
        <v>0</v>
      </c>
      <c r="L518" s="5">
        <v>36</v>
      </c>
      <c r="M518">
        <v>1266.27</v>
      </c>
      <c r="N518" t="s">
        <v>20</v>
      </c>
      <c r="O518" t="str">
        <f t="shared" si="44"/>
        <v>ng*h/mL</v>
      </c>
      <c r="R518">
        <v>3.4</v>
      </c>
      <c r="S518" t="s">
        <v>789</v>
      </c>
      <c r="T518" t="s">
        <v>949</v>
      </c>
      <c r="U518">
        <v>50</v>
      </c>
      <c r="V518" t="s">
        <v>22</v>
      </c>
      <c r="W518" t="s">
        <v>23</v>
      </c>
      <c r="X518">
        <v>0</v>
      </c>
      <c r="Y518">
        <v>1</v>
      </c>
      <c r="AA518" t="s">
        <v>655</v>
      </c>
    </row>
    <row r="519" spans="1:31" x14ac:dyDescent="0.3">
      <c r="A519" t="s">
        <v>1165</v>
      </c>
      <c r="B519" t="s">
        <v>1166</v>
      </c>
      <c r="C519" t="b">
        <v>1</v>
      </c>
      <c r="D519" t="s">
        <v>532</v>
      </c>
      <c r="E519" t="s">
        <v>535</v>
      </c>
      <c r="F519" t="s">
        <v>536</v>
      </c>
      <c r="G519" t="s">
        <v>952</v>
      </c>
      <c r="H519" t="s">
        <v>536</v>
      </c>
      <c r="I519">
        <v>36</v>
      </c>
      <c r="J519" t="s">
        <v>7</v>
      </c>
      <c r="K519">
        <v>0</v>
      </c>
      <c r="L519" s="5">
        <v>36</v>
      </c>
      <c r="M519">
        <v>590</v>
      </c>
      <c r="N519" t="s">
        <v>21</v>
      </c>
      <c r="O519" t="str">
        <f t="shared" si="44"/>
        <v>nM</v>
      </c>
      <c r="T519" t="s">
        <v>540</v>
      </c>
      <c r="U519">
        <v>50</v>
      </c>
      <c r="V519" t="s">
        <v>22</v>
      </c>
      <c r="W519" t="s">
        <v>23</v>
      </c>
      <c r="X519">
        <v>0</v>
      </c>
      <c r="Y519">
        <v>1</v>
      </c>
      <c r="AA519" t="s">
        <v>655</v>
      </c>
    </row>
    <row r="520" spans="1:31" x14ac:dyDescent="0.3">
      <c r="A520" t="s">
        <v>1167</v>
      </c>
      <c r="B520" t="s">
        <v>1168</v>
      </c>
      <c r="C520" t="b">
        <v>1</v>
      </c>
      <c r="D520" t="s">
        <v>532</v>
      </c>
      <c r="E520" t="s">
        <v>535</v>
      </c>
      <c r="F520" t="s">
        <v>536</v>
      </c>
      <c r="G520" t="s">
        <v>952</v>
      </c>
      <c r="H520" t="s">
        <v>536</v>
      </c>
      <c r="I520">
        <v>36</v>
      </c>
      <c r="J520" t="s">
        <v>6</v>
      </c>
      <c r="K520">
        <v>0</v>
      </c>
      <c r="L520" s="5" t="s">
        <v>654</v>
      </c>
      <c r="M520">
        <v>834.24</v>
      </c>
      <c r="N520" t="s">
        <v>20</v>
      </c>
      <c r="O520" t="str">
        <f t="shared" si="44"/>
        <v>ng*h/mL</v>
      </c>
      <c r="R520">
        <v>2.2400000000000002</v>
      </c>
      <c r="S520" t="s">
        <v>789</v>
      </c>
      <c r="T520" t="s">
        <v>543</v>
      </c>
      <c r="U520">
        <v>20</v>
      </c>
      <c r="V520" t="s">
        <v>22</v>
      </c>
      <c r="W520" t="s">
        <v>23</v>
      </c>
      <c r="X520">
        <v>0</v>
      </c>
      <c r="Y520">
        <v>1</v>
      </c>
      <c r="AA520" t="s">
        <v>655</v>
      </c>
    </row>
    <row r="521" spans="1:31" x14ac:dyDescent="0.3">
      <c r="A521" t="s">
        <v>1167</v>
      </c>
      <c r="B521" t="s">
        <v>1168</v>
      </c>
      <c r="C521" t="b">
        <v>1</v>
      </c>
      <c r="D521" t="s">
        <v>532</v>
      </c>
      <c r="E521" t="s">
        <v>535</v>
      </c>
      <c r="F521" t="s">
        <v>536</v>
      </c>
      <c r="G521" t="s">
        <v>952</v>
      </c>
      <c r="H521" t="s">
        <v>536</v>
      </c>
      <c r="I521">
        <v>36</v>
      </c>
      <c r="J521" t="s">
        <v>6</v>
      </c>
      <c r="K521">
        <v>0</v>
      </c>
      <c r="L521" s="5">
        <v>36</v>
      </c>
      <c r="M521">
        <v>741.14</v>
      </c>
      <c r="N521" t="s">
        <v>20</v>
      </c>
      <c r="O521" t="str">
        <f t="shared" si="44"/>
        <v>ng*h/mL</v>
      </c>
      <c r="R521">
        <v>1.99</v>
      </c>
      <c r="S521" t="s">
        <v>789</v>
      </c>
      <c r="T521" t="s">
        <v>950</v>
      </c>
      <c r="U521">
        <v>20</v>
      </c>
      <c r="V521" t="s">
        <v>22</v>
      </c>
      <c r="W521" t="s">
        <v>23</v>
      </c>
      <c r="X521">
        <v>0</v>
      </c>
      <c r="Y521">
        <v>1</v>
      </c>
      <c r="AA521" t="s">
        <v>655</v>
      </c>
    </row>
    <row r="522" spans="1:31" x14ac:dyDescent="0.3">
      <c r="A522" t="s">
        <v>1167</v>
      </c>
      <c r="B522" t="s">
        <v>1168</v>
      </c>
      <c r="C522" t="b">
        <v>1</v>
      </c>
      <c r="D522" t="s">
        <v>532</v>
      </c>
      <c r="E522" t="s">
        <v>535</v>
      </c>
      <c r="F522" t="s">
        <v>536</v>
      </c>
      <c r="G522" t="s">
        <v>952</v>
      </c>
      <c r="H522" t="s">
        <v>536</v>
      </c>
      <c r="I522">
        <v>36</v>
      </c>
      <c r="J522" t="s">
        <v>7</v>
      </c>
      <c r="K522">
        <v>0</v>
      </c>
      <c r="L522" s="5">
        <v>36</v>
      </c>
      <c r="M522">
        <v>310</v>
      </c>
      <c r="N522" t="s">
        <v>21</v>
      </c>
      <c r="O522" t="str">
        <f t="shared" si="44"/>
        <v>nM</v>
      </c>
      <c r="T522" t="s">
        <v>544</v>
      </c>
      <c r="U522">
        <v>20</v>
      </c>
      <c r="V522" t="s">
        <v>22</v>
      </c>
      <c r="W522" t="s">
        <v>23</v>
      </c>
      <c r="X522">
        <v>0</v>
      </c>
      <c r="Y522">
        <v>1</v>
      </c>
      <c r="AA522" t="s">
        <v>655</v>
      </c>
    </row>
    <row r="523" spans="1:31" x14ac:dyDescent="0.3">
      <c r="A523" t="s">
        <v>1169</v>
      </c>
      <c r="B523" t="s">
        <v>1170</v>
      </c>
      <c r="C523" t="b">
        <v>1</v>
      </c>
      <c r="D523" t="s">
        <v>532</v>
      </c>
      <c r="E523" t="s">
        <v>535</v>
      </c>
      <c r="F523" t="s">
        <v>536</v>
      </c>
      <c r="G523" t="s">
        <v>952</v>
      </c>
      <c r="H523" t="s">
        <v>536</v>
      </c>
      <c r="I523">
        <v>36</v>
      </c>
      <c r="J523" t="s">
        <v>6</v>
      </c>
      <c r="K523">
        <v>0</v>
      </c>
      <c r="L523" s="5" t="s">
        <v>654</v>
      </c>
      <c r="M523">
        <v>1135.9100000000001</v>
      </c>
      <c r="N523" t="s">
        <v>20</v>
      </c>
      <c r="O523" t="str">
        <f t="shared" si="44"/>
        <v>ng*h/mL</v>
      </c>
      <c r="R523">
        <v>3.05</v>
      </c>
      <c r="S523" t="s">
        <v>789</v>
      </c>
      <c r="T523" t="s">
        <v>545</v>
      </c>
      <c r="U523">
        <v>30</v>
      </c>
      <c r="V523" t="s">
        <v>22</v>
      </c>
      <c r="W523" t="s">
        <v>23</v>
      </c>
      <c r="X523">
        <v>0</v>
      </c>
      <c r="Y523">
        <v>1</v>
      </c>
      <c r="AA523" t="s">
        <v>655</v>
      </c>
    </row>
    <row r="524" spans="1:31" x14ac:dyDescent="0.3">
      <c r="A524" t="s">
        <v>1169</v>
      </c>
      <c r="B524" t="s">
        <v>1170</v>
      </c>
      <c r="C524" t="b">
        <v>1</v>
      </c>
      <c r="D524" t="s">
        <v>532</v>
      </c>
      <c r="E524" t="s">
        <v>535</v>
      </c>
      <c r="F524" t="s">
        <v>536</v>
      </c>
      <c r="G524" t="s">
        <v>952</v>
      </c>
      <c r="H524" t="s">
        <v>536</v>
      </c>
      <c r="I524">
        <v>36</v>
      </c>
      <c r="J524" t="s">
        <v>6</v>
      </c>
      <c r="K524">
        <v>0</v>
      </c>
      <c r="L524" s="5">
        <v>36</v>
      </c>
      <c r="M524">
        <v>986.95</v>
      </c>
      <c r="N524" t="s">
        <v>20</v>
      </c>
      <c r="O524" t="str">
        <f t="shared" si="44"/>
        <v>ng*h/mL</v>
      </c>
      <c r="R524">
        <v>2.65</v>
      </c>
      <c r="S524" t="s">
        <v>789</v>
      </c>
      <c r="T524" t="s">
        <v>951</v>
      </c>
      <c r="U524">
        <v>30</v>
      </c>
      <c r="V524" t="s">
        <v>22</v>
      </c>
      <c r="W524" t="s">
        <v>23</v>
      </c>
      <c r="X524">
        <v>0</v>
      </c>
      <c r="Y524">
        <v>1</v>
      </c>
      <c r="AA524" t="s">
        <v>655</v>
      </c>
    </row>
    <row r="525" spans="1:31" x14ac:dyDescent="0.3">
      <c r="A525" t="s">
        <v>1169</v>
      </c>
      <c r="B525" t="s">
        <v>1170</v>
      </c>
      <c r="C525" t="b">
        <v>1</v>
      </c>
      <c r="D525" t="s">
        <v>532</v>
      </c>
      <c r="E525" t="s">
        <v>535</v>
      </c>
      <c r="F525" t="s">
        <v>536</v>
      </c>
      <c r="G525" t="s">
        <v>952</v>
      </c>
      <c r="H525" t="s">
        <v>536</v>
      </c>
      <c r="I525">
        <v>36</v>
      </c>
      <c r="J525" t="s">
        <v>7</v>
      </c>
      <c r="K525">
        <v>0</v>
      </c>
      <c r="L525" s="5">
        <v>36</v>
      </c>
      <c r="M525">
        <v>420</v>
      </c>
      <c r="N525" t="s">
        <v>21</v>
      </c>
      <c r="O525" t="str">
        <f t="shared" si="44"/>
        <v>nM</v>
      </c>
      <c r="T525" t="s">
        <v>546</v>
      </c>
      <c r="U525">
        <v>30</v>
      </c>
      <c r="V525" t="s">
        <v>22</v>
      </c>
      <c r="W525" t="s">
        <v>23</v>
      </c>
      <c r="X525">
        <v>0</v>
      </c>
      <c r="Y525">
        <v>1</v>
      </c>
      <c r="AA525" t="s">
        <v>655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4317-CE8A-4A39-B670-41648458EB6A}">
  <dimension ref="A1:R233"/>
  <sheetViews>
    <sheetView topLeftCell="A163" zoomScaleNormal="100" workbookViewId="0">
      <selection activeCell="D178" sqref="D178"/>
    </sheetView>
  </sheetViews>
  <sheetFormatPr defaultRowHeight="14.4" x14ac:dyDescent="0.3"/>
  <cols>
    <col min="1" max="1" width="13.5546875" customWidth="1"/>
    <col min="2" max="2" width="49.44140625" customWidth="1"/>
    <col min="3" max="3" width="19.88671875" customWidth="1"/>
    <col min="4" max="5" width="18.5546875" customWidth="1"/>
    <col min="6" max="6" width="8.44140625" customWidth="1"/>
    <col min="10" max="10" width="6.77734375" customWidth="1"/>
    <col min="11" max="11" width="5.88671875" customWidth="1"/>
    <col min="12" max="12" width="18.6640625" customWidth="1"/>
    <col min="13" max="13" width="11.77734375" customWidth="1"/>
    <col min="14" max="14" width="5.6640625" customWidth="1"/>
    <col min="15" max="15" width="4.5546875" customWidth="1"/>
    <col min="16" max="17" width="7.21875" customWidth="1"/>
  </cols>
  <sheetData>
    <row r="1" spans="1:18" s="1" customFormat="1" x14ac:dyDescent="0.3">
      <c r="A1" s="1" t="s">
        <v>670</v>
      </c>
      <c r="B1" s="1" t="s">
        <v>0</v>
      </c>
      <c r="C1" s="1" t="s">
        <v>3</v>
      </c>
      <c r="D1" s="1" t="s">
        <v>4</v>
      </c>
      <c r="E1" s="1" t="s">
        <v>1171</v>
      </c>
      <c r="F1" s="1" t="s">
        <v>1172</v>
      </c>
      <c r="G1" s="1" t="s">
        <v>9</v>
      </c>
      <c r="H1" s="1" t="s">
        <v>1173</v>
      </c>
      <c r="I1" s="1" t="s">
        <v>11</v>
      </c>
      <c r="J1" s="1" t="s">
        <v>12</v>
      </c>
      <c r="K1" s="1" t="s">
        <v>549</v>
      </c>
      <c r="L1" s="1" t="s">
        <v>548</v>
      </c>
      <c r="M1" s="1" t="s">
        <v>13</v>
      </c>
      <c r="N1" s="1" t="s">
        <v>550</v>
      </c>
      <c r="O1" s="1" t="s">
        <v>551</v>
      </c>
      <c r="P1" s="1" t="s">
        <v>659</v>
      </c>
      <c r="Q1" s="1" t="s">
        <v>782</v>
      </c>
      <c r="R1" s="1" t="s">
        <v>552</v>
      </c>
    </row>
    <row r="2" spans="1:18" x14ac:dyDescent="0.3">
      <c r="A2" t="s">
        <v>671</v>
      </c>
      <c r="B2" t="s">
        <v>14</v>
      </c>
      <c r="C2" t="s">
        <v>18</v>
      </c>
      <c r="D2" t="s">
        <v>19</v>
      </c>
      <c r="E2">
        <f>IF(EXACT(H2, "mg"), G2/P2,G2)</f>
        <v>0.625</v>
      </c>
      <c r="F2" t="str">
        <f>IF(EXACT(H2, "mg"), "mg/kg", H2)</f>
        <v>mg/kg</v>
      </c>
      <c r="G2">
        <v>50</v>
      </c>
      <c r="H2" t="s">
        <v>22</v>
      </c>
      <c r="I2" t="s">
        <v>23</v>
      </c>
      <c r="J2">
        <v>0</v>
      </c>
      <c r="K2">
        <v>1</v>
      </c>
      <c r="M2" t="s">
        <v>655</v>
      </c>
      <c r="P2">
        <v>80</v>
      </c>
      <c r="Q2" t="b">
        <v>0</v>
      </c>
    </row>
    <row r="3" spans="1:18" x14ac:dyDescent="0.3">
      <c r="A3" t="s">
        <v>672</v>
      </c>
      <c r="B3" t="s">
        <v>14</v>
      </c>
      <c r="C3" t="s">
        <v>18</v>
      </c>
      <c r="D3" t="s">
        <v>19</v>
      </c>
      <c r="E3">
        <f t="shared" ref="E3:E49" si="0">IF(EXACT(H3, "mg"), G3/P3,G3)</f>
        <v>1.25</v>
      </c>
      <c r="F3" t="str">
        <f t="shared" ref="F3:F41" si="1">IF(EXACT(H3, "mg"), "mg/kg", H3)</f>
        <v>mg/kg</v>
      </c>
      <c r="G3">
        <v>100</v>
      </c>
      <c r="H3" t="s">
        <v>22</v>
      </c>
      <c r="I3" t="s">
        <v>23</v>
      </c>
      <c r="J3">
        <v>0</v>
      </c>
      <c r="K3">
        <v>1</v>
      </c>
      <c r="M3" t="s">
        <v>655</v>
      </c>
      <c r="P3">
        <v>80</v>
      </c>
      <c r="Q3" t="b">
        <v>0</v>
      </c>
    </row>
    <row r="4" spans="1:18" x14ac:dyDescent="0.3">
      <c r="A4" t="s">
        <v>673</v>
      </c>
      <c r="B4" t="s">
        <v>14</v>
      </c>
      <c r="C4" t="s">
        <v>18</v>
      </c>
      <c r="D4" t="s">
        <v>19</v>
      </c>
      <c r="E4">
        <f t="shared" si="0"/>
        <v>1.25</v>
      </c>
      <c r="F4" t="str">
        <f t="shared" si="1"/>
        <v>mg/kg</v>
      </c>
      <c r="G4">
        <v>100</v>
      </c>
      <c r="H4" t="s">
        <v>22</v>
      </c>
      <c r="I4" t="s">
        <v>23</v>
      </c>
      <c r="J4">
        <v>0</v>
      </c>
      <c r="K4">
        <v>7</v>
      </c>
      <c r="L4">
        <v>12</v>
      </c>
      <c r="M4" t="s">
        <v>655</v>
      </c>
      <c r="P4">
        <v>80</v>
      </c>
      <c r="Q4" t="b">
        <v>0</v>
      </c>
    </row>
    <row r="5" spans="1:18" x14ac:dyDescent="0.3">
      <c r="A5" t="s">
        <v>674</v>
      </c>
      <c r="B5" t="s">
        <v>14</v>
      </c>
      <c r="C5" t="s">
        <v>18</v>
      </c>
      <c r="D5" t="s">
        <v>19</v>
      </c>
      <c r="E5">
        <f t="shared" si="0"/>
        <v>2.5</v>
      </c>
      <c r="F5" t="str">
        <f t="shared" si="1"/>
        <v>mg/kg</v>
      </c>
      <c r="G5">
        <v>200</v>
      </c>
      <c r="H5" t="s">
        <v>22</v>
      </c>
      <c r="I5" t="s">
        <v>23</v>
      </c>
      <c r="J5">
        <v>0</v>
      </c>
      <c r="K5">
        <v>1</v>
      </c>
      <c r="M5" t="s">
        <v>655</v>
      </c>
      <c r="P5">
        <v>80</v>
      </c>
      <c r="Q5" t="b">
        <v>0</v>
      </c>
    </row>
    <row r="6" spans="1:18" x14ac:dyDescent="0.3">
      <c r="A6" t="s">
        <v>675</v>
      </c>
      <c r="B6" t="s">
        <v>14</v>
      </c>
      <c r="C6" t="s">
        <v>18</v>
      </c>
      <c r="D6" t="s">
        <v>19</v>
      </c>
      <c r="E6">
        <f t="shared" si="0"/>
        <v>2.5</v>
      </c>
      <c r="F6" t="str">
        <f t="shared" si="1"/>
        <v>mg/kg</v>
      </c>
      <c r="G6">
        <v>200</v>
      </c>
      <c r="H6" t="s">
        <v>22</v>
      </c>
      <c r="I6" t="s">
        <v>23</v>
      </c>
      <c r="J6">
        <v>0</v>
      </c>
      <c r="K6">
        <v>7</v>
      </c>
      <c r="L6">
        <v>12</v>
      </c>
      <c r="M6" t="s">
        <v>655</v>
      </c>
      <c r="P6">
        <v>80</v>
      </c>
      <c r="Q6" t="b">
        <v>0</v>
      </c>
    </row>
    <row r="7" spans="1:18" x14ac:dyDescent="0.3">
      <c r="A7" t="s">
        <v>676</v>
      </c>
      <c r="B7" t="s">
        <v>14</v>
      </c>
      <c r="C7" t="s">
        <v>18</v>
      </c>
      <c r="D7" t="s">
        <v>19</v>
      </c>
      <c r="E7">
        <f t="shared" si="0"/>
        <v>5</v>
      </c>
      <c r="F7" t="str">
        <f t="shared" si="1"/>
        <v>mg/kg</v>
      </c>
      <c r="G7">
        <v>400</v>
      </c>
      <c r="H7" t="s">
        <v>22</v>
      </c>
      <c r="I7" t="s">
        <v>23</v>
      </c>
      <c r="J7">
        <v>0</v>
      </c>
      <c r="K7">
        <v>1</v>
      </c>
      <c r="M7" t="s">
        <v>655</v>
      </c>
      <c r="P7">
        <v>80</v>
      </c>
      <c r="Q7" t="b">
        <v>0</v>
      </c>
    </row>
    <row r="8" spans="1:18" x14ac:dyDescent="0.3">
      <c r="A8" t="s">
        <v>677</v>
      </c>
      <c r="B8" t="s">
        <v>14</v>
      </c>
      <c r="C8" t="s">
        <v>18</v>
      </c>
      <c r="D8" t="s">
        <v>19</v>
      </c>
      <c r="E8">
        <f t="shared" si="0"/>
        <v>5</v>
      </c>
      <c r="F8" t="str">
        <f t="shared" si="1"/>
        <v>mg/kg</v>
      </c>
      <c r="G8">
        <v>400</v>
      </c>
      <c r="H8" t="s">
        <v>22</v>
      </c>
      <c r="I8" t="s">
        <v>23</v>
      </c>
      <c r="J8">
        <v>0</v>
      </c>
      <c r="K8">
        <v>7</v>
      </c>
      <c r="L8">
        <v>12</v>
      </c>
      <c r="M8" t="s">
        <v>655</v>
      </c>
      <c r="P8">
        <v>80</v>
      </c>
      <c r="Q8" t="b">
        <v>0</v>
      </c>
    </row>
    <row r="9" spans="1:18" x14ac:dyDescent="0.3">
      <c r="A9" t="s">
        <v>678</v>
      </c>
      <c r="B9" t="s">
        <v>36</v>
      </c>
      <c r="C9" t="s">
        <v>40</v>
      </c>
      <c r="D9" t="s">
        <v>41</v>
      </c>
      <c r="E9">
        <f t="shared" si="0"/>
        <v>0.28735632183908044</v>
      </c>
      <c r="F9" t="str">
        <f t="shared" si="1"/>
        <v>mg/kg</v>
      </c>
      <c r="G9">
        <v>25</v>
      </c>
      <c r="H9" t="s">
        <v>22</v>
      </c>
      <c r="I9" t="s">
        <v>23</v>
      </c>
      <c r="J9">
        <v>0</v>
      </c>
      <c r="K9">
        <v>1</v>
      </c>
      <c r="M9" t="s">
        <v>655</v>
      </c>
      <c r="P9">
        <v>87</v>
      </c>
    </row>
    <row r="10" spans="1:18" x14ac:dyDescent="0.3">
      <c r="A10" t="s">
        <v>679</v>
      </c>
      <c r="B10" t="s">
        <v>36</v>
      </c>
      <c r="C10" t="s">
        <v>40</v>
      </c>
      <c r="D10" t="s">
        <v>41</v>
      </c>
      <c r="E10">
        <f t="shared" si="0"/>
        <v>0.59453032104637338</v>
      </c>
      <c r="F10" t="str">
        <f t="shared" si="1"/>
        <v>mg/kg</v>
      </c>
      <c r="G10">
        <v>50</v>
      </c>
      <c r="H10" t="s">
        <v>22</v>
      </c>
      <c r="I10" t="s">
        <v>23</v>
      </c>
      <c r="J10">
        <v>0</v>
      </c>
      <c r="K10">
        <v>1</v>
      </c>
      <c r="M10" t="s">
        <v>655</v>
      </c>
      <c r="P10">
        <v>84.1</v>
      </c>
    </row>
    <row r="11" spans="1:18" x14ac:dyDescent="0.3">
      <c r="A11" t="s">
        <v>680</v>
      </c>
      <c r="B11" t="s">
        <v>36</v>
      </c>
      <c r="C11" t="s">
        <v>40</v>
      </c>
      <c r="D11" t="s">
        <v>41</v>
      </c>
      <c r="E11">
        <f t="shared" si="0"/>
        <v>1.287001287001287</v>
      </c>
      <c r="F11" t="str">
        <f t="shared" si="1"/>
        <v>mg/kg</v>
      </c>
      <c r="G11">
        <v>100</v>
      </c>
      <c r="H11" t="s">
        <v>22</v>
      </c>
      <c r="I11" t="s">
        <v>23</v>
      </c>
      <c r="J11">
        <v>0</v>
      </c>
      <c r="K11">
        <v>1</v>
      </c>
      <c r="M11" t="s">
        <v>655</v>
      </c>
      <c r="P11">
        <v>77.7</v>
      </c>
    </row>
    <row r="12" spans="1:18" x14ac:dyDescent="0.3">
      <c r="A12" t="s">
        <v>681</v>
      </c>
      <c r="B12" t="s">
        <v>36</v>
      </c>
      <c r="C12" t="s">
        <v>40</v>
      </c>
      <c r="D12" t="s">
        <v>41</v>
      </c>
      <c r="E12">
        <f t="shared" si="0"/>
        <v>3.2133676092544987</v>
      </c>
      <c r="F12" t="str">
        <f t="shared" si="1"/>
        <v>mg/kg</v>
      </c>
      <c r="G12">
        <v>250</v>
      </c>
      <c r="H12" t="s">
        <v>22</v>
      </c>
      <c r="I12" t="s">
        <v>23</v>
      </c>
      <c r="J12">
        <v>0</v>
      </c>
      <c r="K12">
        <v>1</v>
      </c>
      <c r="M12" t="s">
        <v>655</v>
      </c>
      <c r="P12">
        <v>77.8</v>
      </c>
    </row>
    <row r="13" spans="1:18" x14ac:dyDescent="0.3">
      <c r="A13" t="s">
        <v>682</v>
      </c>
      <c r="B13" t="s">
        <v>48</v>
      </c>
      <c r="C13" t="s">
        <v>50</v>
      </c>
      <c r="D13" t="s">
        <v>51</v>
      </c>
      <c r="E13">
        <f t="shared" si="0"/>
        <v>4</v>
      </c>
      <c r="F13" t="str">
        <f t="shared" si="1"/>
        <v>mg/kg</v>
      </c>
      <c r="G13">
        <v>4</v>
      </c>
      <c r="H13" t="s">
        <v>115</v>
      </c>
      <c r="I13" t="s">
        <v>663</v>
      </c>
      <c r="J13">
        <v>0</v>
      </c>
      <c r="K13">
        <v>1</v>
      </c>
      <c r="M13" t="s">
        <v>655</v>
      </c>
      <c r="N13">
        <v>30</v>
      </c>
      <c r="O13" t="s">
        <v>664</v>
      </c>
      <c r="P13">
        <v>58.8</v>
      </c>
    </row>
    <row r="14" spans="1:18" x14ac:dyDescent="0.3">
      <c r="A14" t="s">
        <v>683</v>
      </c>
      <c r="B14" t="s">
        <v>52</v>
      </c>
      <c r="C14" t="s">
        <v>56</v>
      </c>
      <c r="D14" t="s">
        <v>57</v>
      </c>
      <c r="E14">
        <f t="shared" si="0"/>
        <v>0.64935064935064934</v>
      </c>
      <c r="F14" t="str">
        <f t="shared" si="1"/>
        <v>mg/kg</v>
      </c>
      <c r="G14">
        <v>50</v>
      </c>
      <c r="H14" t="s">
        <v>22</v>
      </c>
      <c r="I14" t="s">
        <v>23</v>
      </c>
      <c r="J14">
        <v>0</v>
      </c>
      <c r="K14">
        <v>1</v>
      </c>
      <c r="M14" t="s">
        <v>655</v>
      </c>
      <c r="P14">
        <v>77</v>
      </c>
      <c r="Q14" t="b">
        <v>0</v>
      </c>
    </row>
    <row r="15" spans="1:18" x14ac:dyDescent="0.3">
      <c r="A15" t="s">
        <v>684</v>
      </c>
      <c r="B15" t="s">
        <v>52</v>
      </c>
      <c r="C15" t="s">
        <v>56</v>
      </c>
      <c r="D15" t="s">
        <v>57</v>
      </c>
      <c r="E15">
        <f t="shared" si="0"/>
        <v>1.2987012987012987</v>
      </c>
      <c r="F15" t="str">
        <f t="shared" si="1"/>
        <v>mg/kg</v>
      </c>
      <c r="G15">
        <v>100</v>
      </c>
      <c r="H15" t="s">
        <v>22</v>
      </c>
      <c r="I15" t="s">
        <v>23</v>
      </c>
      <c r="J15">
        <v>0</v>
      </c>
      <c r="K15">
        <v>1</v>
      </c>
      <c r="M15" t="s">
        <v>655</v>
      </c>
      <c r="P15">
        <v>77</v>
      </c>
      <c r="Q15" t="b">
        <v>0</v>
      </c>
    </row>
    <row r="16" spans="1:18" x14ac:dyDescent="0.3">
      <c r="A16" t="s">
        <v>954</v>
      </c>
      <c r="B16" t="s">
        <v>52</v>
      </c>
      <c r="C16" t="s">
        <v>56</v>
      </c>
      <c r="D16" t="s">
        <v>57</v>
      </c>
      <c r="E16">
        <f t="shared" si="0"/>
        <v>2.5974025974025974</v>
      </c>
      <c r="F16" t="str">
        <f t="shared" si="1"/>
        <v>mg/kg</v>
      </c>
      <c r="G16">
        <v>200</v>
      </c>
      <c r="H16" t="s">
        <v>22</v>
      </c>
      <c r="I16" t="s">
        <v>23</v>
      </c>
      <c r="J16">
        <v>0</v>
      </c>
      <c r="K16">
        <v>1</v>
      </c>
      <c r="M16" t="s">
        <v>655</v>
      </c>
      <c r="P16">
        <v>77</v>
      </c>
      <c r="Q16" t="b">
        <v>0</v>
      </c>
    </row>
    <row r="17" spans="1:18" x14ac:dyDescent="0.3">
      <c r="A17" t="s">
        <v>956</v>
      </c>
      <c r="B17" t="s">
        <v>52</v>
      </c>
      <c r="C17" t="s">
        <v>56</v>
      </c>
      <c r="D17" t="s">
        <v>57</v>
      </c>
      <c r="E17">
        <f t="shared" si="0"/>
        <v>5.1948051948051948</v>
      </c>
      <c r="F17" t="str">
        <f t="shared" si="1"/>
        <v>mg/kg</v>
      </c>
      <c r="G17">
        <v>400</v>
      </c>
      <c r="H17" t="s">
        <v>22</v>
      </c>
      <c r="I17" t="s">
        <v>23</v>
      </c>
      <c r="J17">
        <v>0</v>
      </c>
      <c r="K17">
        <v>1</v>
      </c>
      <c r="M17" t="s">
        <v>655</v>
      </c>
      <c r="P17">
        <v>77</v>
      </c>
      <c r="Q17" t="b">
        <v>0</v>
      </c>
    </row>
    <row r="18" spans="1:18" x14ac:dyDescent="0.3">
      <c r="A18" t="s">
        <v>685</v>
      </c>
      <c r="B18" t="s">
        <v>52</v>
      </c>
      <c r="C18" t="s">
        <v>56</v>
      </c>
      <c r="D18" t="s">
        <v>57</v>
      </c>
      <c r="E18">
        <f t="shared" si="0"/>
        <v>0.64102564102564108</v>
      </c>
      <c r="F18" t="str">
        <f t="shared" si="1"/>
        <v>mg/kg</v>
      </c>
      <c r="G18">
        <v>50</v>
      </c>
      <c r="H18" t="s">
        <v>22</v>
      </c>
      <c r="I18" t="s">
        <v>23</v>
      </c>
      <c r="J18">
        <v>0</v>
      </c>
      <c r="K18">
        <v>1</v>
      </c>
      <c r="M18" t="s">
        <v>655</v>
      </c>
      <c r="P18">
        <v>78</v>
      </c>
      <c r="Q18" t="b">
        <v>1</v>
      </c>
      <c r="R18" t="s">
        <v>778</v>
      </c>
    </row>
    <row r="19" spans="1:18" x14ac:dyDescent="0.3">
      <c r="A19" t="s">
        <v>685</v>
      </c>
      <c r="B19" t="s">
        <v>52</v>
      </c>
      <c r="C19" t="s">
        <v>56</v>
      </c>
      <c r="D19" t="s">
        <v>57</v>
      </c>
      <c r="E19">
        <f t="shared" si="0"/>
        <v>0.64102564102564108</v>
      </c>
      <c r="F19" t="str">
        <f t="shared" si="1"/>
        <v>mg/kg</v>
      </c>
      <c r="G19">
        <v>50</v>
      </c>
      <c r="H19" t="s">
        <v>22</v>
      </c>
      <c r="I19" t="s">
        <v>23</v>
      </c>
      <c r="J19">
        <v>24</v>
      </c>
      <c r="K19">
        <v>13</v>
      </c>
      <c r="L19">
        <v>12</v>
      </c>
      <c r="M19" t="s">
        <v>655</v>
      </c>
      <c r="P19">
        <v>78</v>
      </c>
      <c r="Q19" t="b">
        <v>1</v>
      </c>
      <c r="R19" t="s">
        <v>778</v>
      </c>
    </row>
    <row r="20" spans="1:18" x14ac:dyDescent="0.3">
      <c r="A20" t="s">
        <v>958</v>
      </c>
      <c r="B20" t="s">
        <v>52</v>
      </c>
      <c r="C20" t="s">
        <v>56</v>
      </c>
      <c r="D20" t="s">
        <v>57</v>
      </c>
      <c r="E20">
        <f t="shared" si="0"/>
        <v>1.2820512820512822</v>
      </c>
      <c r="F20" t="str">
        <f t="shared" si="1"/>
        <v>mg/kg</v>
      </c>
      <c r="G20">
        <v>100</v>
      </c>
      <c r="H20" t="s">
        <v>22</v>
      </c>
      <c r="I20" t="s">
        <v>23</v>
      </c>
      <c r="J20">
        <v>0</v>
      </c>
      <c r="K20">
        <v>1</v>
      </c>
      <c r="M20" t="s">
        <v>655</v>
      </c>
      <c r="P20">
        <v>78</v>
      </c>
      <c r="Q20" t="b">
        <v>1</v>
      </c>
      <c r="R20" t="s">
        <v>779</v>
      </c>
    </row>
    <row r="21" spans="1:18" x14ac:dyDescent="0.3">
      <c r="A21" t="s">
        <v>958</v>
      </c>
      <c r="B21" t="s">
        <v>52</v>
      </c>
      <c r="C21" t="s">
        <v>56</v>
      </c>
      <c r="D21" t="s">
        <v>57</v>
      </c>
      <c r="E21">
        <f t="shared" si="0"/>
        <v>1.2820512820512822</v>
      </c>
      <c r="F21" t="str">
        <f t="shared" si="1"/>
        <v>mg/kg</v>
      </c>
      <c r="G21">
        <v>100</v>
      </c>
      <c r="H21" t="s">
        <v>22</v>
      </c>
      <c r="I21" t="s">
        <v>23</v>
      </c>
      <c r="J21">
        <v>24</v>
      </c>
      <c r="K21">
        <v>13</v>
      </c>
      <c r="L21">
        <v>12</v>
      </c>
      <c r="M21" t="s">
        <v>655</v>
      </c>
      <c r="P21">
        <v>78</v>
      </c>
      <c r="Q21" t="b">
        <v>1</v>
      </c>
      <c r="R21" t="s">
        <v>779</v>
      </c>
    </row>
    <row r="22" spans="1:18" x14ac:dyDescent="0.3">
      <c r="A22" t="s">
        <v>960</v>
      </c>
      <c r="B22" t="s">
        <v>52</v>
      </c>
      <c r="C22" t="s">
        <v>56</v>
      </c>
      <c r="D22" t="s">
        <v>57</v>
      </c>
      <c r="E22">
        <f t="shared" si="0"/>
        <v>2.5974025974025974</v>
      </c>
      <c r="F22" t="str">
        <f t="shared" si="1"/>
        <v>mg/kg</v>
      </c>
      <c r="G22">
        <v>200</v>
      </c>
      <c r="H22" t="s">
        <v>22</v>
      </c>
      <c r="I22" t="s">
        <v>23</v>
      </c>
      <c r="J22">
        <v>0</v>
      </c>
      <c r="K22">
        <v>1</v>
      </c>
      <c r="M22" t="s">
        <v>655</v>
      </c>
      <c r="P22">
        <v>77</v>
      </c>
      <c r="Q22" t="b">
        <v>1</v>
      </c>
    </row>
    <row r="23" spans="1:18" x14ac:dyDescent="0.3">
      <c r="A23" t="s">
        <v>686</v>
      </c>
      <c r="B23" t="s">
        <v>52</v>
      </c>
      <c r="C23" t="s">
        <v>56</v>
      </c>
      <c r="D23" t="s">
        <v>57</v>
      </c>
      <c r="E23">
        <f t="shared" si="0"/>
        <v>2.5641025641025643</v>
      </c>
      <c r="F23" t="str">
        <f t="shared" si="1"/>
        <v>mg/kg</v>
      </c>
      <c r="G23">
        <v>200</v>
      </c>
      <c r="H23" t="s">
        <v>22</v>
      </c>
      <c r="I23" t="s">
        <v>23</v>
      </c>
      <c r="J23">
        <v>0</v>
      </c>
      <c r="K23">
        <v>1</v>
      </c>
      <c r="M23" t="s">
        <v>655</v>
      </c>
      <c r="P23">
        <v>78</v>
      </c>
      <c r="Q23" t="b">
        <v>1</v>
      </c>
      <c r="R23" t="s">
        <v>780</v>
      </c>
    </row>
    <row r="24" spans="1:18" x14ac:dyDescent="0.3">
      <c r="A24" t="s">
        <v>686</v>
      </c>
      <c r="B24" t="s">
        <v>52</v>
      </c>
      <c r="C24" t="s">
        <v>56</v>
      </c>
      <c r="D24" t="s">
        <v>57</v>
      </c>
      <c r="E24">
        <f t="shared" si="0"/>
        <v>2.5641025641025643</v>
      </c>
      <c r="F24" t="str">
        <f t="shared" si="1"/>
        <v>mg/kg</v>
      </c>
      <c r="G24">
        <v>200</v>
      </c>
      <c r="H24" t="s">
        <v>22</v>
      </c>
      <c r="I24" t="s">
        <v>23</v>
      </c>
      <c r="J24">
        <v>24</v>
      </c>
      <c r="K24">
        <v>13</v>
      </c>
      <c r="L24">
        <v>12</v>
      </c>
      <c r="M24" t="s">
        <v>655</v>
      </c>
      <c r="P24">
        <v>78</v>
      </c>
      <c r="Q24" t="b">
        <v>1</v>
      </c>
      <c r="R24" t="s">
        <v>780</v>
      </c>
    </row>
    <row r="25" spans="1:18" x14ac:dyDescent="0.3">
      <c r="A25" t="s">
        <v>962</v>
      </c>
      <c r="B25" t="s">
        <v>52</v>
      </c>
      <c r="C25" t="s">
        <v>56</v>
      </c>
      <c r="D25" t="s">
        <v>57</v>
      </c>
      <c r="E25">
        <f t="shared" si="0"/>
        <v>2.5641025641025643</v>
      </c>
      <c r="F25" t="str">
        <f t="shared" si="1"/>
        <v>mg/kg</v>
      </c>
      <c r="G25">
        <v>200</v>
      </c>
      <c r="H25" t="s">
        <v>22</v>
      </c>
      <c r="I25" t="s">
        <v>23</v>
      </c>
      <c r="J25">
        <v>0</v>
      </c>
      <c r="K25">
        <v>1</v>
      </c>
      <c r="M25" t="s">
        <v>655</v>
      </c>
      <c r="P25">
        <v>78</v>
      </c>
      <c r="Q25" t="b">
        <v>1</v>
      </c>
      <c r="R25" t="s">
        <v>781</v>
      </c>
    </row>
    <row r="26" spans="1:18" x14ac:dyDescent="0.3">
      <c r="A26" t="s">
        <v>962</v>
      </c>
      <c r="B26" t="s">
        <v>52</v>
      </c>
      <c r="C26" t="s">
        <v>56</v>
      </c>
      <c r="D26" t="s">
        <v>57</v>
      </c>
      <c r="E26">
        <f t="shared" si="0"/>
        <v>2.5641025641025643</v>
      </c>
      <c r="F26" t="str">
        <f t="shared" si="1"/>
        <v>mg/kg</v>
      </c>
      <c r="G26">
        <v>200</v>
      </c>
      <c r="H26" t="s">
        <v>22</v>
      </c>
      <c r="I26" t="s">
        <v>23</v>
      </c>
      <c r="J26">
        <v>24</v>
      </c>
      <c r="K26">
        <v>19</v>
      </c>
      <c r="L26">
        <v>8</v>
      </c>
      <c r="M26" t="s">
        <v>655</v>
      </c>
      <c r="P26">
        <v>78</v>
      </c>
      <c r="Q26" t="b">
        <v>1</v>
      </c>
      <c r="R26" t="s">
        <v>781</v>
      </c>
    </row>
    <row r="27" spans="1:18" x14ac:dyDescent="0.3">
      <c r="A27" t="s">
        <v>964</v>
      </c>
      <c r="B27" t="s">
        <v>52</v>
      </c>
      <c r="C27" t="s">
        <v>56</v>
      </c>
      <c r="D27" t="s">
        <v>57</v>
      </c>
      <c r="E27">
        <f t="shared" si="0"/>
        <v>5.1948051948051948</v>
      </c>
      <c r="F27" t="str">
        <f t="shared" si="1"/>
        <v>mg/kg</v>
      </c>
      <c r="G27">
        <v>400</v>
      </c>
      <c r="H27" t="s">
        <v>22</v>
      </c>
      <c r="I27" t="s">
        <v>23</v>
      </c>
      <c r="J27">
        <v>0</v>
      </c>
      <c r="K27">
        <v>1</v>
      </c>
      <c r="M27" t="s">
        <v>655</v>
      </c>
      <c r="P27">
        <v>77</v>
      </c>
      <c r="Q27" t="b">
        <v>1</v>
      </c>
    </row>
    <row r="28" spans="1:18" x14ac:dyDescent="0.3">
      <c r="A28" t="s">
        <v>966</v>
      </c>
      <c r="B28" t="s">
        <v>52</v>
      </c>
      <c r="C28" t="s">
        <v>56</v>
      </c>
      <c r="D28" t="s">
        <v>57</v>
      </c>
      <c r="E28">
        <f t="shared" si="0"/>
        <v>5.1282051282051286</v>
      </c>
      <c r="F28" t="str">
        <f t="shared" si="1"/>
        <v>mg/kg</v>
      </c>
      <c r="G28">
        <v>400</v>
      </c>
      <c r="H28" t="s">
        <v>22</v>
      </c>
      <c r="I28" t="s">
        <v>23</v>
      </c>
      <c r="J28">
        <v>0</v>
      </c>
      <c r="K28">
        <v>1</v>
      </c>
      <c r="M28" t="s">
        <v>655</v>
      </c>
      <c r="P28">
        <v>78</v>
      </c>
      <c r="Q28" t="b">
        <v>1</v>
      </c>
      <c r="R28" t="s">
        <v>1178</v>
      </c>
    </row>
    <row r="29" spans="1:18" x14ac:dyDescent="0.3">
      <c r="A29" t="s">
        <v>966</v>
      </c>
      <c r="B29" t="s">
        <v>52</v>
      </c>
      <c r="C29" t="s">
        <v>56</v>
      </c>
      <c r="D29" t="s">
        <v>57</v>
      </c>
      <c r="E29">
        <f t="shared" si="0"/>
        <v>5.1282051282051286</v>
      </c>
      <c r="F29" t="str">
        <f t="shared" si="1"/>
        <v>mg/kg</v>
      </c>
      <c r="G29">
        <v>400</v>
      </c>
      <c r="H29" t="s">
        <v>22</v>
      </c>
      <c r="I29" t="s">
        <v>23</v>
      </c>
      <c r="J29">
        <v>24</v>
      </c>
      <c r="K29">
        <v>7</v>
      </c>
      <c r="L29">
        <v>24</v>
      </c>
      <c r="M29" t="s">
        <v>655</v>
      </c>
      <c r="P29">
        <v>78</v>
      </c>
      <c r="Q29" t="b">
        <v>1</v>
      </c>
      <c r="R29" t="s">
        <v>1178</v>
      </c>
    </row>
    <row r="30" spans="1:18" x14ac:dyDescent="0.3">
      <c r="A30" t="s">
        <v>968</v>
      </c>
      <c r="B30" t="s">
        <v>52</v>
      </c>
      <c r="C30" t="s">
        <v>56</v>
      </c>
      <c r="D30" t="s">
        <v>57</v>
      </c>
      <c r="E30">
        <f t="shared" si="0"/>
        <v>0.64102564102564108</v>
      </c>
      <c r="F30" t="str">
        <f t="shared" si="1"/>
        <v>mg/kg</v>
      </c>
      <c r="G30">
        <v>50</v>
      </c>
      <c r="H30" t="s">
        <v>22</v>
      </c>
      <c r="I30" t="s">
        <v>23</v>
      </c>
      <c r="J30">
        <v>0</v>
      </c>
      <c r="K30">
        <v>1</v>
      </c>
      <c r="M30" t="s">
        <v>655</v>
      </c>
      <c r="P30">
        <v>78</v>
      </c>
      <c r="Q30" t="b">
        <v>1</v>
      </c>
      <c r="R30" t="s">
        <v>778</v>
      </c>
    </row>
    <row r="31" spans="1:18" x14ac:dyDescent="0.3">
      <c r="A31" t="s">
        <v>968</v>
      </c>
      <c r="B31" t="s">
        <v>52</v>
      </c>
      <c r="C31" t="s">
        <v>56</v>
      </c>
      <c r="D31" t="s">
        <v>57</v>
      </c>
      <c r="E31">
        <f t="shared" si="0"/>
        <v>0.64102564102564108</v>
      </c>
      <c r="F31" t="str">
        <f t="shared" si="1"/>
        <v>mg/kg</v>
      </c>
      <c r="G31">
        <v>50</v>
      </c>
      <c r="H31" t="s">
        <v>22</v>
      </c>
      <c r="I31" t="s">
        <v>23</v>
      </c>
      <c r="J31">
        <v>24</v>
      </c>
      <c r="K31">
        <v>13</v>
      </c>
      <c r="L31">
        <v>12</v>
      </c>
      <c r="M31" t="s">
        <v>655</v>
      </c>
      <c r="P31">
        <v>78</v>
      </c>
      <c r="Q31" t="b">
        <v>1</v>
      </c>
      <c r="R31" t="s">
        <v>778</v>
      </c>
    </row>
    <row r="32" spans="1:18" x14ac:dyDescent="0.3">
      <c r="A32" t="s">
        <v>970</v>
      </c>
      <c r="B32" t="s">
        <v>52</v>
      </c>
      <c r="C32" t="s">
        <v>56</v>
      </c>
      <c r="D32" t="s">
        <v>57</v>
      </c>
      <c r="E32">
        <f t="shared" si="0"/>
        <v>1.2820512820512822</v>
      </c>
      <c r="F32" t="str">
        <f t="shared" si="1"/>
        <v>mg/kg</v>
      </c>
      <c r="G32">
        <v>100</v>
      </c>
      <c r="H32" t="s">
        <v>22</v>
      </c>
      <c r="I32" t="s">
        <v>23</v>
      </c>
      <c r="J32">
        <v>0</v>
      </c>
      <c r="K32">
        <v>1</v>
      </c>
      <c r="M32" t="s">
        <v>655</v>
      </c>
      <c r="P32">
        <v>78</v>
      </c>
      <c r="Q32" t="b">
        <v>1</v>
      </c>
      <c r="R32" t="s">
        <v>779</v>
      </c>
    </row>
    <row r="33" spans="1:18" x14ac:dyDescent="0.3">
      <c r="A33" t="s">
        <v>970</v>
      </c>
      <c r="B33" t="s">
        <v>52</v>
      </c>
      <c r="C33" t="s">
        <v>56</v>
      </c>
      <c r="D33" t="s">
        <v>57</v>
      </c>
      <c r="E33">
        <f t="shared" si="0"/>
        <v>1.2820512820512822</v>
      </c>
      <c r="F33" t="str">
        <f t="shared" si="1"/>
        <v>mg/kg</v>
      </c>
      <c r="G33">
        <v>100</v>
      </c>
      <c r="H33" t="s">
        <v>22</v>
      </c>
      <c r="I33" t="s">
        <v>23</v>
      </c>
      <c r="J33">
        <v>24</v>
      </c>
      <c r="K33">
        <v>13</v>
      </c>
      <c r="L33">
        <v>12</v>
      </c>
      <c r="M33" t="s">
        <v>655</v>
      </c>
      <c r="P33">
        <v>78</v>
      </c>
      <c r="Q33" t="b">
        <v>1</v>
      </c>
      <c r="R33" t="s">
        <v>779</v>
      </c>
    </row>
    <row r="34" spans="1:18" x14ac:dyDescent="0.3">
      <c r="A34" t="s">
        <v>687</v>
      </c>
      <c r="B34" t="s">
        <v>52</v>
      </c>
      <c r="C34" t="s">
        <v>56</v>
      </c>
      <c r="D34" t="s">
        <v>57</v>
      </c>
      <c r="E34">
        <f t="shared" si="0"/>
        <v>2.5641025641025643</v>
      </c>
      <c r="F34" t="str">
        <f t="shared" si="1"/>
        <v>mg/kg</v>
      </c>
      <c r="G34">
        <v>200</v>
      </c>
      <c r="H34" t="s">
        <v>22</v>
      </c>
      <c r="I34" t="s">
        <v>23</v>
      </c>
      <c r="J34">
        <v>0</v>
      </c>
      <c r="K34">
        <v>1</v>
      </c>
      <c r="M34" t="s">
        <v>655</v>
      </c>
      <c r="P34">
        <v>78</v>
      </c>
      <c r="Q34" t="b">
        <v>1</v>
      </c>
      <c r="R34" t="s">
        <v>780</v>
      </c>
    </row>
    <row r="35" spans="1:18" x14ac:dyDescent="0.3">
      <c r="A35" t="s">
        <v>687</v>
      </c>
      <c r="B35" t="s">
        <v>52</v>
      </c>
      <c r="C35" t="s">
        <v>56</v>
      </c>
      <c r="D35" t="s">
        <v>57</v>
      </c>
      <c r="E35">
        <f t="shared" si="0"/>
        <v>2.5641025641025643</v>
      </c>
      <c r="F35" t="str">
        <f t="shared" si="1"/>
        <v>mg/kg</v>
      </c>
      <c r="G35">
        <v>200</v>
      </c>
      <c r="H35" t="s">
        <v>22</v>
      </c>
      <c r="I35" t="s">
        <v>23</v>
      </c>
      <c r="J35">
        <v>24</v>
      </c>
      <c r="K35">
        <v>13</v>
      </c>
      <c r="L35">
        <v>12</v>
      </c>
      <c r="M35" t="s">
        <v>655</v>
      </c>
      <c r="P35">
        <v>78</v>
      </c>
      <c r="Q35" t="b">
        <v>1</v>
      </c>
      <c r="R35" t="s">
        <v>780</v>
      </c>
    </row>
    <row r="36" spans="1:18" x14ac:dyDescent="0.3">
      <c r="A36" t="s">
        <v>972</v>
      </c>
      <c r="B36" t="s">
        <v>52</v>
      </c>
      <c r="C36" t="s">
        <v>56</v>
      </c>
      <c r="D36" t="s">
        <v>57</v>
      </c>
      <c r="E36">
        <f t="shared" si="0"/>
        <v>2.5641025641025643</v>
      </c>
      <c r="F36" t="str">
        <f t="shared" si="1"/>
        <v>mg/kg</v>
      </c>
      <c r="G36">
        <v>200</v>
      </c>
      <c r="H36" t="s">
        <v>22</v>
      </c>
      <c r="I36" t="s">
        <v>23</v>
      </c>
      <c r="J36">
        <v>0</v>
      </c>
      <c r="K36">
        <v>1</v>
      </c>
      <c r="M36" t="s">
        <v>655</v>
      </c>
      <c r="P36">
        <v>78</v>
      </c>
      <c r="Q36" t="b">
        <v>1</v>
      </c>
      <c r="R36" t="s">
        <v>781</v>
      </c>
    </row>
    <row r="37" spans="1:18" x14ac:dyDescent="0.3">
      <c r="A37" t="s">
        <v>972</v>
      </c>
      <c r="B37" t="s">
        <v>52</v>
      </c>
      <c r="C37" t="s">
        <v>56</v>
      </c>
      <c r="D37" t="s">
        <v>57</v>
      </c>
      <c r="E37">
        <f t="shared" si="0"/>
        <v>2.5641025641025643</v>
      </c>
      <c r="F37" t="str">
        <f t="shared" si="1"/>
        <v>mg/kg</v>
      </c>
      <c r="G37">
        <v>200</v>
      </c>
      <c r="H37" t="s">
        <v>22</v>
      </c>
      <c r="I37" t="s">
        <v>23</v>
      </c>
      <c r="J37">
        <v>24</v>
      </c>
      <c r="K37">
        <v>19</v>
      </c>
      <c r="L37">
        <v>8</v>
      </c>
      <c r="M37" t="s">
        <v>655</v>
      </c>
      <c r="P37">
        <v>78</v>
      </c>
      <c r="Q37" t="b">
        <v>1</v>
      </c>
      <c r="R37" t="s">
        <v>781</v>
      </c>
    </row>
    <row r="38" spans="1:18" x14ac:dyDescent="0.3">
      <c r="A38" t="s">
        <v>974</v>
      </c>
      <c r="B38" t="s">
        <v>52</v>
      </c>
      <c r="C38" t="s">
        <v>56</v>
      </c>
      <c r="D38" t="s">
        <v>57</v>
      </c>
      <c r="E38">
        <f t="shared" si="0"/>
        <v>5.1282051282051286</v>
      </c>
      <c r="F38" t="str">
        <f t="shared" si="1"/>
        <v>mg/kg</v>
      </c>
      <c r="G38">
        <v>400</v>
      </c>
      <c r="H38" t="s">
        <v>22</v>
      </c>
      <c r="I38" t="s">
        <v>23</v>
      </c>
      <c r="J38">
        <v>0</v>
      </c>
      <c r="K38">
        <v>1</v>
      </c>
      <c r="M38" t="s">
        <v>655</v>
      </c>
      <c r="P38">
        <v>78</v>
      </c>
      <c r="Q38" t="b">
        <v>1</v>
      </c>
      <c r="R38" t="s">
        <v>1178</v>
      </c>
    </row>
    <row r="39" spans="1:18" x14ac:dyDescent="0.3">
      <c r="A39" t="s">
        <v>974</v>
      </c>
      <c r="B39" t="s">
        <v>52</v>
      </c>
      <c r="C39" t="s">
        <v>56</v>
      </c>
      <c r="D39" t="s">
        <v>57</v>
      </c>
      <c r="E39">
        <f t="shared" si="0"/>
        <v>5.1282051282051286</v>
      </c>
      <c r="F39" t="str">
        <f t="shared" si="1"/>
        <v>mg/kg</v>
      </c>
      <c r="G39">
        <v>400</v>
      </c>
      <c r="H39" t="s">
        <v>22</v>
      </c>
      <c r="I39" t="s">
        <v>23</v>
      </c>
      <c r="J39">
        <v>0</v>
      </c>
      <c r="K39">
        <v>7</v>
      </c>
      <c r="L39">
        <v>24</v>
      </c>
      <c r="M39" t="s">
        <v>655</v>
      </c>
      <c r="P39">
        <v>78</v>
      </c>
      <c r="Q39" t="b">
        <v>1</v>
      </c>
      <c r="R39" t="s">
        <v>1178</v>
      </c>
    </row>
    <row r="40" spans="1:18" x14ac:dyDescent="0.3">
      <c r="A40" t="s">
        <v>976</v>
      </c>
      <c r="B40" t="s">
        <v>83</v>
      </c>
      <c r="C40" t="s">
        <v>87</v>
      </c>
      <c r="D40" t="s">
        <v>88</v>
      </c>
      <c r="E40">
        <f>IF(EXACT(H40, "mg"), G40/P40,G40)</f>
        <v>7.3710073710073702</v>
      </c>
      <c r="F40" t="str">
        <f t="shared" si="1"/>
        <v>mg/kg</v>
      </c>
      <c r="G40">
        <v>600</v>
      </c>
      <c r="H40" t="s">
        <v>22</v>
      </c>
      <c r="I40" t="s">
        <v>23</v>
      </c>
      <c r="J40">
        <v>0</v>
      </c>
      <c r="K40">
        <v>1</v>
      </c>
      <c r="M40" t="s">
        <v>655</v>
      </c>
      <c r="P40">
        <v>81.400000000000006</v>
      </c>
      <c r="Q40" t="b">
        <v>0</v>
      </c>
    </row>
    <row r="41" spans="1:18" x14ac:dyDescent="0.3">
      <c r="A41" t="s">
        <v>688</v>
      </c>
      <c r="B41" t="s">
        <v>89</v>
      </c>
      <c r="C41" t="s">
        <v>93</v>
      </c>
      <c r="D41" t="s">
        <v>94</v>
      </c>
      <c r="E41">
        <f t="shared" si="0"/>
        <v>2.6468330642386385E-2</v>
      </c>
      <c r="F41" t="str">
        <f t="shared" si="1"/>
        <v>mg/kg</v>
      </c>
      <c r="G41">
        <v>2</v>
      </c>
      <c r="H41" t="s">
        <v>22</v>
      </c>
      <c r="I41" t="s">
        <v>23</v>
      </c>
      <c r="J41">
        <v>0</v>
      </c>
      <c r="K41">
        <v>1</v>
      </c>
      <c r="M41" t="s">
        <v>655</v>
      </c>
      <c r="P41" s="3">
        <f>1/25*(20*25*1.766^2+5*25*1.624^2)</f>
        <v>75.561999999999998</v>
      </c>
      <c r="Q41" t="b">
        <v>0</v>
      </c>
    </row>
    <row r="42" spans="1:18" x14ac:dyDescent="0.3">
      <c r="A42" t="s">
        <v>689</v>
      </c>
      <c r="B42" t="s">
        <v>89</v>
      </c>
      <c r="C42" t="s">
        <v>93</v>
      </c>
      <c r="D42" t="s">
        <v>94</v>
      </c>
      <c r="E42">
        <f t="shared" si="0"/>
        <v>6.617082660596596E-2</v>
      </c>
      <c r="F42" t="str">
        <f t="shared" ref="F42:F70" si="2">IF(EXACT(H42, "mg"), "mg/kg", H42)</f>
        <v>mg/kg</v>
      </c>
      <c r="G42">
        <v>5</v>
      </c>
      <c r="H42" t="s">
        <v>22</v>
      </c>
      <c r="I42" t="s">
        <v>23</v>
      </c>
      <c r="J42">
        <v>0</v>
      </c>
      <c r="K42">
        <v>1</v>
      </c>
      <c r="M42" t="s">
        <v>655</v>
      </c>
      <c r="P42" s="3">
        <f t="shared" ref="P42:P46" si="3">1/25*(20*25*1.766^2+5*25*1.624^2)</f>
        <v>75.561999999999998</v>
      </c>
      <c r="Q42" t="b">
        <v>0</v>
      </c>
    </row>
    <row r="43" spans="1:18" x14ac:dyDescent="0.3">
      <c r="A43" t="s">
        <v>690</v>
      </c>
      <c r="B43" t="s">
        <v>89</v>
      </c>
      <c r="C43" t="s">
        <v>93</v>
      </c>
      <c r="D43" t="s">
        <v>94</v>
      </c>
      <c r="E43">
        <f t="shared" si="0"/>
        <v>0.13234165321193192</v>
      </c>
      <c r="F43" t="str">
        <f t="shared" si="2"/>
        <v>mg/kg</v>
      </c>
      <c r="G43">
        <v>10</v>
      </c>
      <c r="H43" t="s">
        <v>22</v>
      </c>
      <c r="I43" t="s">
        <v>23</v>
      </c>
      <c r="J43">
        <v>0</v>
      </c>
      <c r="K43">
        <v>1</v>
      </c>
      <c r="M43" t="s">
        <v>655</v>
      </c>
      <c r="P43" s="3">
        <f t="shared" si="3"/>
        <v>75.561999999999998</v>
      </c>
      <c r="Q43" t="b">
        <v>0</v>
      </c>
    </row>
    <row r="44" spans="1:18" x14ac:dyDescent="0.3">
      <c r="A44" t="s">
        <v>978</v>
      </c>
      <c r="B44" t="s">
        <v>89</v>
      </c>
      <c r="C44" t="s">
        <v>93</v>
      </c>
      <c r="D44" t="s">
        <v>94</v>
      </c>
      <c r="E44">
        <f t="shared" si="0"/>
        <v>0.3308541330298298</v>
      </c>
      <c r="F44" t="str">
        <f t="shared" si="2"/>
        <v>mg/kg</v>
      </c>
      <c r="G44">
        <v>25</v>
      </c>
      <c r="H44" t="s">
        <v>22</v>
      </c>
      <c r="I44" t="s">
        <v>23</v>
      </c>
      <c r="J44">
        <v>0</v>
      </c>
      <c r="K44">
        <v>1</v>
      </c>
      <c r="M44" t="s">
        <v>655</v>
      </c>
      <c r="P44" s="3">
        <f t="shared" si="3"/>
        <v>75.561999999999998</v>
      </c>
      <c r="Q44" t="b">
        <v>0</v>
      </c>
    </row>
    <row r="45" spans="1:18" x14ac:dyDescent="0.3">
      <c r="A45" t="s">
        <v>980</v>
      </c>
      <c r="B45" t="s">
        <v>89</v>
      </c>
      <c r="C45" t="s">
        <v>93</v>
      </c>
      <c r="D45" t="s">
        <v>94</v>
      </c>
      <c r="E45">
        <f t="shared" si="0"/>
        <v>0.6617082660596596</v>
      </c>
      <c r="F45" t="str">
        <f t="shared" si="2"/>
        <v>mg/kg</v>
      </c>
      <c r="G45">
        <v>50</v>
      </c>
      <c r="H45" t="s">
        <v>22</v>
      </c>
      <c r="I45" t="s">
        <v>23</v>
      </c>
      <c r="J45">
        <v>0</v>
      </c>
      <c r="K45">
        <v>1</v>
      </c>
      <c r="M45" t="s">
        <v>655</v>
      </c>
      <c r="P45" s="3">
        <f t="shared" si="3"/>
        <v>75.561999999999998</v>
      </c>
      <c r="Q45" t="b">
        <v>0</v>
      </c>
    </row>
    <row r="46" spans="1:18" x14ac:dyDescent="0.3">
      <c r="A46" t="s">
        <v>982</v>
      </c>
      <c r="B46" t="s">
        <v>89</v>
      </c>
      <c r="C46" t="s">
        <v>93</v>
      </c>
      <c r="D46" t="s">
        <v>94</v>
      </c>
      <c r="E46">
        <f t="shared" si="0"/>
        <v>1.3234165321193192</v>
      </c>
      <c r="F46" t="str">
        <f t="shared" si="2"/>
        <v>mg/kg</v>
      </c>
      <c r="G46">
        <v>100</v>
      </c>
      <c r="H46" t="s">
        <v>22</v>
      </c>
      <c r="I46" t="s">
        <v>23</v>
      </c>
      <c r="J46">
        <v>0</v>
      </c>
      <c r="K46">
        <v>1</v>
      </c>
      <c r="M46" t="s">
        <v>655</v>
      </c>
      <c r="P46" s="3">
        <f t="shared" si="3"/>
        <v>75.561999999999998</v>
      </c>
      <c r="Q46" t="b">
        <v>0</v>
      </c>
    </row>
    <row r="47" spans="1:18" x14ac:dyDescent="0.3">
      <c r="A47" t="s">
        <v>691</v>
      </c>
      <c r="B47" t="s">
        <v>89</v>
      </c>
      <c r="C47" t="s">
        <v>93</v>
      </c>
      <c r="D47" t="s">
        <v>94</v>
      </c>
      <c r="E47">
        <f t="shared" si="0"/>
        <v>0.13097293145704042</v>
      </c>
      <c r="F47" t="str">
        <f t="shared" si="2"/>
        <v>mg/kg</v>
      </c>
      <c r="G47">
        <v>10</v>
      </c>
      <c r="H47" t="s">
        <v>22</v>
      </c>
      <c r="I47" t="s">
        <v>23</v>
      </c>
      <c r="J47">
        <v>0</v>
      </c>
      <c r="K47">
        <v>10</v>
      </c>
      <c r="L47">
        <v>24</v>
      </c>
      <c r="M47" t="s">
        <v>655</v>
      </c>
      <c r="P47" s="3">
        <f>1/32 * (27*25.1*1.766^2+5*25*1.624^2)</f>
        <v>76.351654412499997</v>
      </c>
      <c r="Q47" t="b">
        <v>0</v>
      </c>
    </row>
    <row r="48" spans="1:18" x14ac:dyDescent="0.3">
      <c r="A48" t="s">
        <v>692</v>
      </c>
      <c r="B48" t="s">
        <v>89</v>
      </c>
      <c r="C48" t="s">
        <v>93</v>
      </c>
      <c r="D48" t="s">
        <v>94</v>
      </c>
      <c r="E48">
        <f t="shared" si="0"/>
        <v>0.32743232864260108</v>
      </c>
      <c r="F48" t="str">
        <f t="shared" si="2"/>
        <v>mg/kg</v>
      </c>
      <c r="G48">
        <v>25</v>
      </c>
      <c r="H48" t="s">
        <v>22</v>
      </c>
      <c r="I48" t="s">
        <v>23</v>
      </c>
      <c r="J48">
        <v>0</v>
      </c>
      <c r="K48">
        <v>10</v>
      </c>
      <c r="L48">
        <v>24</v>
      </c>
      <c r="M48" t="s">
        <v>655</v>
      </c>
      <c r="P48" s="3">
        <f>1/32 * (27*25.1*1.766^2+5*25*1.624^2)</f>
        <v>76.351654412499997</v>
      </c>
      <c r="Q48" t="b">
        <v>0</v>
      </c>
    </row>
    <row r="49" spans="1:17" x14ac:dyDescent="0.3">
      <c r="A49" t="s">
        <v>984</v>
      </c>
      <c r="B49" t="s">
        <v>89</v>
      </c>
      <c r="C49" t="s">
        <v>93</v>
      </c>
      <c r="D49" t="s">
        <v>94</v>
      </c>
      <c r="E49">
        <f t="shared" si="0"/>
        <v>0.65486465728520216</v>
      </c>
      <c r="F49" t="str">
        <f t="shared" si="2"/>
        <v>mg/kg</v>
      </c>
      <c r="G49">
        <v>50</v>
      </c>
      <c r="H49" t="s">
        <v>22</v>
      </c>
      <c r="I49" t="s">
        <v>23</v>
      </c>
      <c r="J49">
        <v>0</v>
      </c>
      <c r="K49">
        <v>10</v>
      </c>
      <c r="L49">
        <v>24</v>
      </c>
      <c r="M49" t="s">
        <v>655</v>
      </c>
      <c r="P49" s="3">
        <f>1/32 * (27*25.1*1.766^2+5*25*1.624^2)</f>
        <v>76.351654412499997</v>
      </c>
      <c r="Q49" t="b">
        <v>0</v>
      </c>
    </row>
    <row r="50" spans="1:17" x14ac:dyDescent="0.3">
      <c r="A50" t="s">
        <v>986</v>
      </c>
      <c r="B50" t="s">
        <v>109</v>
      </c>
      <c r="C50" t="s">
        <v>113</v>
      </c>
      <c r="D50" t="s">
        <v>114</v>
      </c>
      <c r="E50">
        <f t="shared" ref="E50:E70" si="4">IF(EXACT(H50, "mg"), G50/P50,G50)</f>
        <v>20.325203252032519</v>
      </c>
      <c r="F50" t="str">
        <f t="shared" si="2"/>
        <v>mg/kg</v>
      </c>
      <c r="G50">
        <v>1500</v>
      </c>
      <c r="H50" t="s">
        <v>22</v>
      </c>
      <c r="I50" t="s">
        <v>23</v>
      </c>
      <c r="J50">
        <v>0</v>
      </c>
      <c r="K50">
        <v>1</v>
      </c>
      <c r="M50" t="s">
        <v>655</v>
      </c>
      <c r="P50">
        <v>73.8</v>
      </c>
      <c r="Q50" t="b">
        <v>0</v>
      </c>
    </row>
    <row r="51" spans="1:17" x14ac:dyDescent="0.3">
      <c r="A51" t="s">
        <v>693</v>
      </c>
      <c r="B51" t="s">
        <v>109</v>
      </c>
      <c r="C51" t="s">
        <v>113</v>
      </c>
      <c r="D51" t="s">
        <v>114</v>
      </c>
      <c r="E51">
        <f t="shared" si="4"/>
        <v>13.550135501355014</v>
      </c>
      <c r="F51" t="str">
        <f t="shared" si="2"/>
        <v>mg/kg</v>
      </c>
      <c r="G51">
        <v>1000</v>
      </c>
      <c r="H51" t="s">
        <v>22</v>
      </c>
      <c r="I51" t="s">
        <v>23</v>
      </c>
      <c r="J51">
        <v>0</v>
      </c>
      <c r="K51">
        <v>1</v>
      </c>
      <c r="M51" t="s">
        <v>655</v>
      </c>
      <c r="P51">
        <v>73.8</v>
      </c>
      <c r="Q51" t="b">
        <v>0</v>
      </c>
    </row>
    <row r="52" spans="1:17" x14ac:dyDescent="0.3">
      <c r="A52" t="s">
        <v>694</v>
      </c>
      <c r="B52" t="s">
        <v>109</v>
      </c>
      <c r="C52" t="s">
        <v>113</v>
      </c>
      <c r="D52" t="s">
        <v>114</v>
      </c>
      <c r="E52">
        <f t="shared" si="4"/>
        <v>6.7750677506775068</v>
      </c>
      <c r="F52" t="str">
        <f t="shared" si="2"/>
        <v>mg/kg</v>
      </c>
      <c r="G52">
        <v>500</v>
      </c>
      <c r="H52" t="s">
        <v>22</v>
      </c>
      <c r="I52" t="s">
        <v>23</v>
      </c>
      <c r="J52">
        <v>0</v>
      </c>
      <c r="K52">
        <v>1</v>
      </c>
      <c r="M52" t="s">
        <v>655</v>
      </c>
      <c r="P52">
        <v>73.8</v>
      </c>
      <c r="Q52" t="b">
        <v>0</v>
      </c>
    </row>
    <row r="53" spans="1:17" x14ac:dyDescent="0.3">
      <c r="A53" t="s">
        <v>695</v>
      </c>
      <c r="B53" t="s">
        <v>109</v>
      </c>
      <c r="C53" t="s">
        <v>113</v>
      </c>
      <c r="D53" t="s">
        <v>114</v>
      </c>
      <c r="E53">
        <f t="shared" si="4"/>
        <v>3.3875338753387534</v>
      </c>
      <c r="F53" t="str">
        <f t="shared" si="2"/>
        <v>mg/kg</v>
      </c>
      <c r="G53">
        <v>250</v>
      </c>
      <c r="H53" t="s">
        <v>22</v>
      </c>
      <c r="I53" t="s">
        <v>23</v>
      </c>
      <c r="J53">
        <v>0</v>
      </c>
      <c r="K53">
        <v>1</v>
      </c>
      <c r="M53" t="s">
        <v>655</v>
      </c>
      <c r="P53">
        <v>73.8</v>
      </c>
      <c r="Q53" t="b">
        <v>0</v>
      </c>
    </row>
    <row r="54" spans="1:17" x14ac:dyDescent="0.3">
      <c r="A54" t="s">
        <v>696</v>
      </c>
      <c r="B54" t="s">
        <v>109</v>
      </c>
      <c r="C54" t="s">
        <v>113</v>
      </c>
      <c r="D54" t="s">
        <v>114</v>
      </c>
      <c r="E54">
        <f t="shared" si="4"/>
        <v>1.6937669376693767</v>
      </c>
      <c r="F54" t="str">
        <f t="shared" si="2"/>
        <v>mg/kg</v>
      </c>
      <c r="G54">
        <v>125</v>
      </c>
      <c r="H54" t="s">
        <v>22</v>
      </c>
      <c r="I54" t="s">
        <v>23</v>
      </c>
      <c r="J54">
        <v>0</v>
      </c>
      <c r="K54">
        <v>1</v>
      </c>
      <c r="M54" t="s">
        <v>655</v>
      </c>
      <c r="P54">
        <v>73.8</v>
      </c>
      <c r="Q54" t="b">
        <v>0</v>
      </c>
    </row>
    <row r="55" spans="1:17" x14ac:dyDescent="0.3">
      <c r="A55" t="s">
        <v>988</v>
      </c>
      <c r="B55" t="s">
        <v>109</v>
      </c>
      <c r="C55" t="s">
        <v>113</v>
      </c>
      <c r="D55" t="s">
        <v>114</v>
      </c>
      <c r="E55">
        <f t="shared" si="4"/>
        <v>0.6775067750677507</v>
      </c>
      <c r="F55" t="str">
        <f t="shared" si="2"/>
        <v>mg/kg</v>
      </c>
      <c r="G55">
        <v>50</v>
      </c>
      <c r="H55" t="s">
        <v>22</v>
      </c>
      <c r="I55" t="s">
        <v>23</v>
      </c>
      <c r="J55">
        <v>0</v>
      </c>
      <c r="K55">
        <v>1</v>
      </c>
      <c r="M55" t="s">
        <v>655</v>
      </c>
      <c r="P55">
        <v>73.8</v>
      </c>
      <c r="Q55" t="b">
        <v>0</v>
      </c>
    </row>
    <row r="56" spans="1:17" x14ac:dyDescent="0.3">
      <c r="A56" t="s">
        <v>990</v>
      </c>
      <c r="B56" t="s">
        <v>109</v>
      </c>
      <c r="C56" t="s">
        <v>113</v>
      </c>
      <c r="D56" t="s">
        <v>114</v>
      </c>
      <c r="E56">
        <f t="shared" si="4"/>
        <v>0.33875338753387535</v>
      </c>
      <c r="F56" t="str">
        <f t="shared" si="2"/>
        <v>mg/kg</v>
      </c>
      <c r="G56">
        <v>25</v>
      </c>
      <c r="H56" t="s">
        <v>22</v>
      </c>
      <c r="I56" t="s">
        <v>23</v>
      </c>
      <c r="J56">
        <v>0</v>
      </c>
      <c r="K56">
        <v>1</v>
      </c>
      <c r="M56" t="s">
        <v>655</v>
      </c>
      <c r="P56">
        <v>73.8</v>
      </c>
      <c r="Q56" t="b">
        <v>0</v>
      </c>
    </row>
    <row r="57" spans="1:17" x14ac:dyDescent="0.3">
      <c r="A57" t="s">
        <v>992</v>
      </c>
      <c r="B57" t="s">
        <v>109</v>
      </c>
      <c r="C57" t="s">
        <v>113</v>
      </c>
      <c r="D57" t="s">
        <v>114</v>
      </c>
      <c r="E57">
        <f t="shared" si="4"/>
        <v>0.93703148425787097</v>
      </c>
      <c r="F57" t="str">
        <f t="shared" si="2"/>
        <v>mg/kg</v>
      </c>
      <c r="G57">
        <v>75</v>
      </c>
      <c r="H57" t="s">
        <v>22</v>
      </c>
      <c r="I57" t="s">
        <v>23</v>
      </c>
      <c r="J57">
        <v>0</v>
      </c>
      <c r="K57">
        <v>1</v>
      </c>
      <c r="M57" t="s">
        <v>655</v>
      </c>
      <c r="P57">
        <v>80.040000000000006</v>
      </c>
    </row>
    <row r="58" spans="1:17" x14ac:dyDescent="0.3">
      <c r="A58" t="s">
        <v>992</v>
      </c>
      <c r="B58" t="s">
        <v>109</v>
      </c>
      <c r="C58" t="s">
        <v>113</v>
      </c>
      <c r="D58" t="s">
        <v>114</v>
      </c>
      <c r="E58">
        <f t="shared" si="4"/>
        <v>0.93703148425787097</v>
      </c>
      <c r="F58" t="str">
        <f t="shared" si="2"/>
        <v>mg/kg</v>
      </c>
      <c r="G58">
        <v>75</v>
      </c>
      <c r="H58" t="s">
        <v>22</v>
      </c>
      <c r="I58" t="s">
        <v>23</v>
      </c>
      <c r="J58">
        <v>0</v>
      </c>
      <c r="K58">
        <v>1</v>
      </c>
      <c r="M58" t="s">
        <v>655</v>
      </c>
      <c r="P58">
        <v>80.040000000000006</v>
      </c>
    </row>
    <row r="59" spans="1:17" x14ac:dyDescent="0.3">
      <c r="A59" t="s">
        <v>994</v>
      </c>
      <c r="B59" t="s">
        <v>109</v>
      </c>
      <c r="C59" t="s">
        <v>113</v>
      </c>
      <c r="D59" t="s">
        <v>114</v>
      </c>
      <c r="E59">
        <f t="shared" si="4"/>
        <v>0.93703148425787097</v>
      </c>
      <c r="F59" t="str">
        <f t="shared" si="2"/>
        <v>mg/kg</v>
      </c>
      <c r="G59">
        <v>75</v>
      </c>
      <c r="H59" t="s">
        <v>22</v>
      </c>
      <c r="I59" t="s">
        <v>23</v>
      </c>
      <c r="J59">
        <v>0</v>
      </c>
      <c r="K59">
        <v>10</v>
      </c>
      <c r="L59">
        <v>24</v>
      </c>
      <c r="M59" t="s">
        <v>655</v>
      </c>
      <c r="P59">
        <v>80.040000000000006</v>
      </c>
    </row>
    <row r="60" spans="1:17" x14ac:dyDescent="0.3">
      <c r="A60" t="s">
        <v>996</v>
      </c>
      <c r="B60" t="s">
        <v>109</v>
      </c>
      <c r="C60" t="s">
        <v>113</v>
      </c>
      <c r="D60" t="s">
        <v>114</v>
      </c>
      <c r="E60">
        <f t="shared" si="4"/>
        <v>3.12343828085957</v>
      </c>
      <c r="F60" t="str">
        <f t="shared" si="2"/>
        <v>mg/kg</v>
      </c>
      <c r="G60">
        <v>250</v>
      </c>
      <c r="H60" t="s">
        <v>22</v>
      </c>
      <c r="I60" t="s">
        <v>23</v>
      </c>
      <c r="J60">
        <v>0</v>
      </c>
      <c r="K60">
        <v>1</v>
      </c>
      <c r="M60" t="s">
        <v>655</v>
      </c>
      <c r="P60">
        <v>80.040000000000006</v>
      </c>
    </row>
    <row r="61" spans="1:17" x14ac:dyDescent="0.3">
      <c r="A61" t="s">
        <v>697</v>
      </c>
      <c r="B61" t="s">
        <v>109</v>
      </c>
      <c r="C61" t="s">
        <v>113</v>
      </c>
      <c r="D61" t="s">
        <v>114</v>
      </c>
      <c r="E61">
        <f t="shared" si="4"/>
        <v>3.12343828085957</v>
      </c>
      <c r="F61" t="str">
        <f t="shared" si="2"/>
        <v>mg/kg</v>
      </c>
      <c r="G61">
        <v>250</v>
      </c>
      <c r="H61" t="s">
        <v>22</v>
      </c>
      <c r="I61" t="s">
        <v>23</v>
      </c>
      <c r="J61">
        <v>0</v>
      </c>
      <c r="K61">
        <v>10</v>
      </c>
      <c r="L61">
        <v>24</v>
      </c>
      <c r="M61" t="s">
        <v>655</v>
      </c>
      <c r="P61">
        <v>80.040000000000006</v>
      </c>
    </row>
    <row r="62" spans="1:17" x14ac:dyDescent="0.3">
      <c r="A62" t="s">
        <v>998</v>
      </c>
      <c r="B62" t="s">
        <v>109</v>
      </c>
      <c r="C62" t="s">
        <v>113</v>
      </c>
      <c r="D62" t="s">
        <v>114</v>
      </c>
      <c r="E62">
        <f t="shared" si="4"/>
        <v>6.24687656171914</v>
      </c>
      <c r="F62" t="str">
        <f t="shared" si="2"/>
        <v>mg/kg</v>
      </c>
      <c r="G62">
        <v>500</v>
      </c>
      <c r="H62" t="s">
        <v>22</v>
      </c>
      <c r="I62" t="s">
        <v>23</v>
      </c>
      <c r="J62">
        <v>0</v>
      </c>
      <c r="K62">
        <v>1</v>
      </c>
      <c r="M62" t="s">
        <v>655</v>
      </c>
      <c r="P62">
        <v>80.040000000000006</v>
      </c>
    </row>
    <row r="63" spans="1:17" x14ac:dyDescent="0.3">
      <c r="A63" t="s">
        <v>1000</v>
      </c>
      <c r="B63" t="s">
        <v>109</v>
      </c>
      <c r="C63" t="s">
        <v>113</v>
      </c>
      <c r="D63" t="s">
        <v>114</v>
      </c>
      <c r="E63">
        <f t="shared" si="4"/>
        <v>6.24687656171914</v>
      </c>
      <c r="F63" t="str">
        <f t="shared" si="2"/>
        <v>mg/kg</v>
      </c>
      <c r="G63">
        <v>500</v>
      </c>
      <c r="H63" t="s">
        <v>22</v>
      </c>
      <c r="I63" t="s">
        <v>23</v>
      </c>
      <c r="J63">
        <v>0</v>
      </c>
      <c r="K63">
        <v>10</v>
      </c>
      <c r="L63">
        <v>24</v>
      </c>
      <c r="M63" t="s">
        <v>655</v>
      </c>
      <c r="P63">
        <v>80.040000000000006</v>
      </c>
    </row>
    <row r="64" spans="1:17" x14ac:dyDescent="0.3">
      <c r="A64" t="s">
        <v>698</v>
      </c>
      <c r="B64" t="s">
        <v>109</v>
      </c>
      <c r="C64" t="s">
        <v>113</v>
      </c>
      <c r="D64" t="s">
        <v>114</v>
      </c>
      <c r="E64">
        <f t="shared" si="4"/>
        <v>9.3703148425787095</v>
      </c>
      <c r="F64" t="str">
        <f t="shared" si="2"/>
        <v>mg/kg</v>
      </c>
      <c r="G64">
        <v>750</v>
      </c>
      <c r="H64" t="s">
        <v>22</v>
      </c>
      <c r="I64" t="s">
        <v>23</v>
      </c>
      <c r="J64">
        <v>0</v>
      </c>
      <c r="K64">
        <v>1</v>
      </c>
      <c r="M64" t="s">
        <v>655</v>
      </c>
      <c r="P64">
        <v>80.040000000000006</v>
      </c>
    </row>
    <row r="65" spans="1:17" x14ac:dyDescent="0.3">
      <c r="A65" t="s">
        <v>1002</v>
      </c>
      <c r="B65" t="s">
        <v>109</v>
      </c>
      <c r="C65" t="s">
        <v>113</v>
      </c>
      <c r="D65" t="s">
        <v>114</v>
      </c>
      <c r="E65">
        <f t="shared" si="4"/>
        <v>9.3703148425787095</v>
      </c>
      <c r="F65" t="str">
        <f t="shared" si="2"/>
        <v>mg/kg</v>
      </c>
      <c r="G65">
        <v>750</v>
      </c>
      <c r="H65" t="s">
        <v>22</v>
      </c>
      <c r="I65" t="s">
        <v>23</v>
      </c>
      <c r="J65">
        <v>0</v>
      </c>
      <c r="K65">
        <v>10</v>
      </c>
      <c r="L65">
        <v>24</v>
      </c>
      <c r="M65" t="s">
        <v>655</v>
      </c>
      <c r="P65">
        <v>80.040000000000006</v>
      </c>
    </row>
    <row r="66" spans="1:17" x14ac:dyDescent="0.3">
      <c r="A66" t="s">
        <v>1004</v>
      </c>
      <c r="B66" t="s">
        <v>109</v>
      </c>
      <c r="C66" t="s">
        <v>113</v>
      </c>
      <c r="D66" t="s">
        <v>114</v>
      </c>
      <c r="E66">
        <f t="shared" si="4"/>
        <v>12.49375312343828</v>
      </c>
      <c r="F66" t="str">
        <f t="shared" si="2"/>
        <v>mg/kg</v>
      </c>
      <c r="G66">
        <v>1000</v>
      </c>
      <c r="H66" t="s">
        <v>22</v>
      </c>
      <c r="I66" t="s">
        <v>23</v>
      </c>
      <c r="J66">
        <v>0</v>
      </c>
      <c r="K66">
        <v>1</v>
      </c>
      <c r="M66" t="s">
        <v>655</v>
      </c>
      <c r="P66">
        <v>80.040000000000006</v>
      </c>
    </row>
    <row r="67" spans="1:17" x14ac:dyDescent="0.3">
      <c r="A67" t="s">
        <v>1006</v>
      </c>
      <c r="B67" t="s">
        <v>109</v>
      </c>
      <c r="C67" t="s">
        <v>113</v>
      </c>
      <c r="D67" t="s">
        <v>114</v>
      </c>
      <c r="E67">
        <f t="shared" si="4"/>
        <v>12.49375312343828</v>
      </c>
      <c r="F67" t="str">
        <f t="shared" si="2"/>
        <v>mg/kg</v>
      </c>
      <c r="G67">
        <v>1000</v>
      </c>
      <c r="H67" t="s">
        <v>22</v>
      </c>
      <c r="I67" t="s">
        <v>23</v>
      </c>
      <c r="J67">
        <v>0</v>
      </c>
      <c r="K67">
        <v>10</v>
      </c>
      <c r="L67">
        <v>24</v>
      </c>
      <c r="M67" t="s">
        <v>655</v>
      </c>
      <c r="P67">
        <v>80.040000000000006</v>
      </c>
    </row>
    <row r="68" spans="1:17" x14ac:dyDescent="0.3">
      <c r="A68" t="s">
        <v>1006</v>
      </c>
      <c r="B68" t="s">
        <v>109</v>
      </c>
      <c r="C68" t="s">
        <v>113</v>
      </c>
      <c r="D68" t="s">
        <v>114</v>
      </c>
      <c r="E68">
        <f t="shared" si="4"/>
        <v>12.49375312343828</v>
      </c>
      <c r="F68" t="str">
        <f t="shared" si="2"/>
        <v>mg/kg</v>
      </c>
      <c r="G68">
        <v>1000</v>
      </c>
      <c r="H68" t="s">
        <v>22</v>
      </c>
      <c r="I68" t="s">
        <v>23</v>
      </c>
      <c r="J68">
        <v>0</v>
      </c>
      <c r="K68">
        <v>10</v>
      </c>
      <c r="L68">
        <v>24</v>
      </c>
      <c r="M68" t="s">
        <v>655</v>
      </c>
      <c r="P68">
        <v>80.040000000000006</v>
      </c>
    </row>
    <row r="69" spans="1:17" x14ac:dyDescent="0.3">
      <c r="A69" t="s">
        <v>1006</v>
      </c>
      <c r="B69" t="s">
        <v>109</v>
      </c>
      <c r="C69" t="s">
        <v>113</v>
      </c>
      <c r="D69" t="s">
        <v>114</v>
      </c>
      <c r="E69">
        <f t="shared" si="4"/>
        <v>12.49375312343828</v>
      </c>
      <c r="F69" t="str">
        <f t="shared" si="2"/>
        <v>mg/kg</v>
      </c>
      <c r="G69">
        <v>1000</v>
      </c>
      <c r="H69" t="s">
        <v>22</v>
      </c>
      <c r="I69" t="s">
        <v>23</v>
      </c>
      <c r="J69">
        <v>0</v>
      </c>
      <c r="K69">
        <v>10</v>
      </c>
      <c r="L69">
        <v>24</v>
      </c>
      <c r="M69" t="s">
        <v>655</v>
      </c>
      <c r="P69">
        <v>80.040000000000006</v>
      </c>
    </row>
    <row r="70" spans="1:17" x14ac:dyDescent="0.3">
      <c r="A70" t="s">
        <v>1008</v>
      </c>
      <c r="B70" t="s">
        <v>149</v>
      </c>
      <c r="C70" t="s">
        <v>153</v>
      </c>
      <c r="D70" t="s">
        <v>154</v>
      </c>
      <c r="E70">
        <f t="shared" si="4"/>
        <v>5.9737156511350058</v>
      </c>
      <c r="F70" t="str">
        <f t="shared" si="2"/>
        <v>mg/kg</v>
      </c>
      <c r="G70">
        <v>500</v>
      </c>
      <c r="H70" t="s">
        <v>22</v>
      </c>
      <c r="I70" t="s">
        <v>23</v>
      </c>
      <c r="J70">
        <v>0</v>
      </c>
      <c r="K70">
        <v>1</v>
      </c>
      <c r="M70" t="s">
        <v>655</v>
      </c>
      <c r="P70">
        <v>83.7</v>
      </c>
      <c r="Q70" t="b">
        <v>0</v>
      </c>
    </row>
    <row r="71" spans="1:17" x14ac:dyDescent="0.3">
      <c r="A71" t="s">
        <v>1010</v>
      </c>
      <c r="B71" t="s">
        <v>149</v>
      </c>
      <c r="C71" t="s">
        <v>153</v>
      </c>
      <c r="D71" t="s">
        <v>154</v>
      </c>
      <c r="E71">
        <f t="shared" ref="E71:E101" si="5">IF(EXACT(H71, "mg"), G71/P71,G71)</f>
        <v>12.836970474967906</v>
      </c>
      <c r="F71" t="str">
        <f t="shared" ref="F71:F101" si="6">IF(EXACT(H71, "mg"), "mg/kg", H71)</f>
        <v>mg/kg</v>
      </c>
      <c r="G71">
        <v>1000</v>
      </c>
      <c r="H71" t="s">
        <v>22</v>
      </c>
      <c r="I71" t="s">
        <v>23</v>
      </c>
      <c r="J71">
        <v>0</v>
      </c>
      <c r="K71">
        <v>1</v>
      </c>
      <c r="M71" t="s">
        <v>655</v>
      </c>
      <c r="P71">
        <v>77.900000000000006</v>
      </c>
      <c r="Q71" t="b">
        <v>0</v>
      </c>
    </row>
    <row r="72" spans="1:17" x14ac:dyDescent="0.3">
      <c r="A72" t="s">
        <v>1012</v>
      </c>
      <c r="B72" t="s">
        <v>149</v>
      </c>
      <c r="C72" t="s">
        <v>153</v>
      </c>
      <c r="D72" t="s">
        <v>154</v>
      </c>
      <c r="E72">
        <f t="shared" si="5"/>
        <v>13.175230566534914</v>
      </c>
      <c r="F72" t="str">
        <f t="shared" si="6"/>
        <v>mg/kg</v>
      </c>
      <c r="G72">
        <v>1000</v>
      </c>
      <c r="H72" t="s">
        <v>22</v>
      </c>
      <c r="I72" t="s">
        <v>23</v>
      </c>
      <c r="J72">
        <v>0</v>
      </c>
      <c r="K72">
        <v>1</v>
      </c>
      <c r="M72" t="s">
        <v>655</v>
      </c>
      <c r="P72">
        <v>75.900000000000006</v>
      </c>
      <c r="Q72" t="b">
        <v>1</v>
      </c>
    </row>
    <row r="73" spans="1:17" x14ac:dyDescent="0.3">
      <c r="A73" t="s">
        <v>1014</v>
      </c>
      <c r="B73" t="s">
        <v>149</v>
      </c>
      <c r="C73" t="s">
        <v>153</v>
      </c>
      <c r="D73" t="s">
        <v>154</v>
      </c>
      <c r="E73">
        <f t="shared" si="5"/>
        <v>24.539877300613497</v>
      </c>
      <c r="F73" t="str">
        <f t="shared" si="6"/>
        <v>mg/kg</v>
      </c>
      <c r="G73">
        <v>2000</v>
      </c>
      <c r="H73" t="s">
        <v>22</v>
      </c>
      <c r="I73" t="s">
        <v>23</v>
      </c>
      <c r="J73">
        <v>0</v>
      </c>
      <c r="K73">
        <v>1</v>
      </c>
      <c r="M73" t="s">
        <v>655</v>
      </c>
      <c r="P73">
        <v>81.5</v>
      </c>
      <c r="Q73" t="b">
        <v>0</v>
      </c>
    </row>
    <row r="74" spans="1:17" x14ac:dyDescent="0.3">
      <c r="A74" t="s">
        <v>1016</v>
      </c>
      <c r="B74" t="s">
        <v>162</v>
      </c>
      <c r="C74" t="s">
        <v>164</v>
      </c>
      <c r="D74" t="s">
        <v>165</v>
      </c>
      <c r="E74">
        <f t="shared" si="5"/>
        <v>5.298013245033113</v>
      </c>
      <c r="F74" t="str">
        <f t="shared" si="6"/>
        <v>mg/kg</v>
      </c>
      <c r="G74">
        <v>400</v>
      </c>
      <c r="H74" t="s">
        <v>22</v>
      </c>
      <c r="I74" t="s">
        <v>23</v>
      </c>
      <c r="J74">
        <v>0</v>
      </c>
      <c r="K74">
        <v>1</v>
      </c>
      <c r="M74" t="s">
        <v>655</v>
      </c>
      <c r="P74">
        <v>75.5</v>
      </c>
      <c r="Q74" t="b">
        <v>0</v>
      </c>
    </row>
    <row r="75" spans="1:17" x14ac:dyDescent="0.3">
      <c r="A75" t="s">
        <v>1018</v>
      </c>
      <c r="B75" t="s">
        <v>168</v>
      </c>
      <c r="C75" t="s">
        <v>172</v>
      </c>
      <c r="D75" t="s">
        <v>173</v>
      </c>
      <c r="E75">
        <f t="shared" si="5"/>
        <v>10.217983651226158</v>
      </c>
      <c r="F75" t="str">
        <f t="shared" si="6"/>
        <v>mg/kg</v>
      </c>
      <c r="G75">
        <v>750</v>
      </c>
      <c r="H75" t="s">
        <v>22</v>
      </c>
      <c r="I75" t="s">
        <v>23</v>
      </c>
      <c r="J75">
        <v>0</v>
      </c>
      <c r="K75">
        <v>1</v>
      </c>
      <c r="M75" t="s">
        <v>655</v>
      </c>
      <c r="P75">
        <v>73.400000000000006</v>
      </c>
    </row>
    <row r="76" spans="1:17" x14ac:dyDescent="0.3">
      <c r="A76" t="s">
        <v>699</v>
      </c>
      <c r="B76" t="s">
        <v>174</v>
      </c>
      <c r="C76" t="s">
        <v>178</v>
      </c>
      <c r="D76" t="s">
        <v>179</v>
      </c>
      <c r="E76">
        <f t="shared" si="5"/>
        <v>2.5445292620865141</v>
      </c>
      <c r="F76" t="str">
        <f t="shared" si="6"/>
        <v>mg/kg</v>
      </c>
      <c r="G76">
        <v>200</v>
      </c>
      <c r="H76" t="s">
        <v>22</v>
      </c>
      <c r="I76" t="s">
        <v>23</v>
      </c>
      <c r="J76">
        <v>0</v>
      </c>
      <c r="K76">
        <v>1</v>
      </c>
      <c r="M76" t="s">
        <v>655</v>
      </c>
      <c r="P76">
        <v>78.599999999999994</v>
      </c>
      <c r="Q76" t="b">
        <v>0</v>
      </c>
    </row>
    <row r="77" spans="1:17" x14ac:dyDescent="0.3">
      <c r="A77" t="s">
        <v>1020</v>
      </c>
      <c r="B77" t="s">
        <v>174</v>
      </c>
      <c r="C77" t="s">
        <v>178</v>
      </c>
      <c r="D77" t="s">
        <v>179</v>
      </c>
      <c r="E77">
        <f t="shared" si="5"/>
        <v>3.579098067287044</v>
      </c>
      <c r="F77" t="str">
        <f t="shared" si="6"/>
        <v>mg/kg</v>
      </c>
      <c r="G77">
        <v>250</v>
      </c>
      <c r="H77" t="s">
        <v>22</v>
      </c>
      <c r="I77" t="s">
        <v>23</v>
      </c>
      <c r="J77">
        <v>0</v>
      </c>
      <c r="K77">
        <v>1</v>
      </c>
      <c r="M77" t="s">
        <v>655</v>
      </c>
      <c r="P77">
        <v>69.849999999999994</v>
      </c>
      <c r="Q77" t="b">
        <v>0</v>
      </c>
    </row>
    <row r="78" spans="1:17" x14ac:dyDescent="0.3">
      <c r="A78" t="s">
        <v>700</v>
      </c>
      <c r="B78" t="s">
        <v>174</v>
      </c>
      <c r="C78" t="s">
        <v>178</v>
      </c>
      <c r="D78" t="s">
        <v>179</v>
      </c>
      <c r="E78">
        <f t="shared" si="5"/>
        <v>3.5778175313059037</v>
      </c>
      <c r="F78" t="str">
        <f t="shared" si="6"/>
        <v>mg/kg</v>
      </c>
      <c r="G78">
        <v>300</v>
      </c>
      <c r="H78" t="s">
        <v>22</v>
      </c>
      <c r="I78" t="s">
        <v>23</v>
      </c>
      <c r="J78">
        <v>0</v>
      </c>
      <c r="K78">
        <v>1</v>
      </c>
      <c r="M78" t="s">
        <v>655</v>
      </c>
      <c r="P78">
        <v>83.85</v>
      </c>
      <c r="Q78" t="b">
        <v>0</v>
      </c>
    </row>
    <row r="79" spans="1:17" x14ac:dyDescent="0.3">
      <c r="A79" t="s">
        <v>701</v>
      </c>
      <c r="B79" t="s">
        <v>174</v>
      </c>
      <c r="C79" t="s">
        <v>178</v>
      </c>
      <c r="D79" t="s">
        <v>179</v>
      </c>
      <c r="E79">
        <f t="shared" si="5"/>
        <v>1.9083969465648856</v>
      </c>
      <c r="F79" t="str">
        <f t="shared" si="6"/>
        <v>mg/kg</v>
      </c>
      <c r="G79">
        <v>150</v>
      </c>
      <c r="H79" t="s">
        <v>22</v>
      </c>
      <c r="I79" t="s">
        <v>23</v>
      </c>
      <c r="J79">
        <v>0</v>
      </c>
      <c r="K79">
        <v>1</v>
      </c>
      <c r="M79" t="s">
        <v>655</v>
      </c>
      <c r="P79">
        <v>78.599999999999994</v>
      </c>
      <c r="Q79" t="b">
        <v>0</v>
      </c>
    </row>
    <row r="80" spans="1:17" x14ac:dyDescent="0.3">
      <c r="A80" t="s">
        <v>702</v>
      </c>
      <c r="B80" t="s">
        <v>174</v>
      </c>
      <c r="C80" t="s">
        <v>178</v>
      </c>
      <c r="D80" t="s">
        <v>179</v>
      </c>
      <c r="E80">
        <f t="shared" si="5"/>
        <v>2.863278453829635</v>
      </c>
      <c r="F80" t="str">
        <f t="shared" si="6"/>
        <v>mg/kg</v>
      </c>
      <c r="G80">
        <v>200</v>
      </c>
      <c r="H80" t="s">
        <v>22</v>
      </c>
      <c r="I80" t="s">
        <v>23</v>
      </c>
      <c r="J80">
        <v>0</v>
      </c>
      <c r="K80">
        <v>1</v>
      </c>
      <c r="M80" t="s">
        <v>655</v>
      </c>
      <c r="P80">
        <v>69.849999999999994</v>
      </c>
      <c r="Q80" t="b">
        <v>0</v>
      </c>
    </row>
    <row r="81" spans="1:18" x14ac:dyDescent="0.3">
      <c r="A81" t="s">
        <v>703</v>
      </c>
      <c r="B81" t="s">
        <v>174</v>
      </c>
      <c r="C81" t="s">
        <v>178</v>
      </c>
      <c r="D81" t="s">
        <v>179</v>
      </c>
      <c r="E81">
        <f t="shared" si="5"/>
        <v>2.9815146094215863</v>
      </c>
      <c r="F81" t="str">
        <f t="shared" si="6"/>
        <v>mg/kg</v>
      </c>
      <c r="G81">
        <v>250</v>
      </c>
      <c r="H81" t="s">
        <v>22</v>
      </c>
      <c r="I81" t="s">
        <v>23</v>
      </c>
      <c r="J81">
        <v>0</v>
      </c>
      <c r="K81">
        <v>1</v>
      </c>
      <c r="M81" t="s">
        <v>655</v>
      </c>
      <c r="P81">
        <v>83.85</v>
      </c>
      <c r="Q81" t="b">
        <v>0</v>
      </c>
    </row>
    <row r="82" spans="1:18" x14ac:dyDescent="0.3">
      <c r="A82" t="s">
        <v>704</v>
      </c>
      <c r="B82" t="s">
        <v>174</v>
      </c>
      <c r="C82" t="s">
        <v>178</v>
      </c>
      <c r="D82" t="s">
        <v>179</v>
      </c>
      <c r="E82">
        <f t="shared" si="5"/>
        <v>1.9083969465648856</v>
      </c>
      <c r="F82" t="str">
        <f t="shared" si="6"/>
        <v>mg/kg</v>
      </c>
      <c r="G82">
        <v>150</v>
      </c>
      <c r="H82" t="s">
        <v>22</v>
      </c>
      <c r="I82" t="s">
        <v>23</v>
      </c>
      <c r="J82">
        <v>0</v>
      </c>
      <c r="K82">
        <v>7</v>
      </c>
      <c r="L82">
        <v>24</v>
      </c>
      <c r="M82" t="s">
        <v>655</v>
      </c>
      <c r="P82">
        <v>78.599999999999994</v>
      </c>
      <c r="Q82" t="b">
        <v>0</v>
      </c>
    </row>
    <row r="83" spans="1:18" x14ac:dyDescent="0.3">
      <c r="A83" t="s">
        <v>705</v>
      </c>
      <c r="B83" t="s">
        <v>174</v>
      </c>
      <c r="C83" t="s">
        <v>178</v>
      </c>
      <c r="D83" t="s">
        <v>179</v>
      </c>
      <c r="E83">
        <f t="shared" si="5"/>
        <v>2.863278453829635</v>
      </c>
      <c r="F83" t="str">
        <f t="shared" si="6"/>
        <v>mg/kg</v>
      </c>
      <c r="G83">
        <v>200</v>
      </c>
      <c r="H83" t="s">
        <v>22</v>
      </c>
      <c r="I83" t="s">
        <v>23</v>
      </c>
      <c r="J83">
        <v>0</v>
      </c>
      <c r="K83">
        <v>7</v>
      </c>
      <c r="L83">
        <v>24</v>
      </c>
      <c r="M83" t="s">
        <v>655</v>
      </c>
      <c r="P83">
        <v>69.849999999999994</v>
      </c>
      <c r="Q83" t="b">
        <v>0</v>
      </c>
    </row>
    <row r="84" spans="1:18" x14ac:dyDescent="0.3">
      <c r="A84" t="s">
        <v>706</v>
      </c>
      <c r="B84" t="s">
        <v>174</v>
      </c>
      <c r="C84" t="s">
        <v>178</v>
      </c>
      <c r="D84" t="s">
        <v>179</v>
      </c>
      <c r="E84">
        <f t="shared" si="5"/>
        <v>2.9815146094215863</v>
      </c>
      <c r="F84" t="str">
        <f t="shared" si="6"/>
        <v>mg/kg</v>
      </c>
      <c r="G84">
        <v>250</v>
      </c>
      <c r="H84" t="s">
        <v>22</v>
      </c>
      <c r="I84" t="s">
        <v>23</v>
      </c>
      <c r="J84">
        <v>0</v>
      </c>
      <c r="K84">
        <v>7</v>
      </c>
      <c r="L84">
        <v>24</v>
      </c>
      <c r="M84" t="s">
        <v>655</v>
      </c>
      <c r="P84">
        <v>83.85</v>
      </c>
      <c r="Q84" t="b">
        <v>0</v>
      </c>
    </row>
    <row r="85" spans="1:18" x14ac:dyDescent="0.3">
      <c r="A85" t="s">
        <v>707</v>
      </c>
      <c r="B85" t="s">
        <v>184</v>
      </c>
      <c r="C85" t="s">
        <v>188</v>
      </c>
      <c r="D85" t="s">
        <v>189</v>
      </c>
      <c r="E85">
        <f t="shared" si="5"/>
        <v>5.025125628140704</v>
      </c>
      <c r="F85" t="str">
        <f t="shared" si="6"/>
        <v>mg/kg</v>
      </c>
      <c r="G85">
        <v>400</v>
      </c>
      <c r="H85" t="s">
        <v>22</v>
      </c>
      <c r="I85" t="s">
        <v>23</v>
      </c>
      <c r="J85">
        <v>0</v>
      </c>
      <c r="K85">
        <v>1</v>
      </c>
      <c r="M85" t="s">
        <v>655</v>
      </c>
      <c r="P85">
        <v>79.599999999999994</v>
      </c>
      <c r="Q85" t="b">
        <v>0</v>
      </c>
    </row>
    <row r="86" spans="1:18" x14ac:dyDescent="0.3">
      <c r="A86" t="s">
        <v>708</v>
      </c>
      <c r="B86" t="s">
        <v>184</v>
      </c>
      <c r="C86" t="s">
        <v>188</v>
      </c>
      <c r="D86" t="s">
        <v>189</v>
      </c>
      <c r="E86">
        <f t="shared" si="5"/>
        <v>5.025125628140704</v>
      </c>
      <c r="F86" t="str">
        <f t="shared" si="6"/>
        <v>mg/kg</v>
      </c>
      <c r="G86">
        <v>400</v>
      </c>
      <c r="H86" t="s">
        <v>22</v>
      </c>
      <c r="I86" t="s">
        <v>23</v>
      </c>
      <c r="J86">
        <v>0</v>
      </c>
      <c r="K86">
        <v>1</v>
      </c>
      <c r="M86" t="s">
        <v>655</v>
      </c>
      <c r="P86">
        <v>79.599999999999994</v>
      </c>
      <c r="Q86" t="b">
        <v>0</v>
      </c>
    </row>
    <row r="87" spans="1:18" x14ac:dyDescent="0.3">
      <c r="A87" t="s">
        <v>709</v>
      </c>
      <c r="B87" t="s">
        <v>190</v>
      </c>
      <c r="C87" t="s">
        <v>194</v>
      </c>
      <c r="D87" t="s">
        <v>195</v>
      </c>
      <c r="E87">
        <f t="shared" si="5"/>
        <v>3.3738191632928478</v>
      </c>
      <c r="F87" t="str">
        <f t="shared" si="6"/>
        <v>mg/kg</v>
      </c>
      <c r="G87">
        <v>250</v>
      </c>
      <c r="H87" t="s">
        <v>22</v>
      </c>
      <c r="I87" t="s">
        <v>663</v>
      </c>
      <c r="J87">
        <v>0</v>
      </c>
      <c r="K87">
        <v>1</v>
      </c>
      <c r="M87" t="s">
        <v>655</v>
      </c>
      <c r="N87">
        <v>1</v>
      </c>
      <c r="O87" t="s">
        <v>655</v>
      </c>
      <c r="P87">
        <v>74.099999999999994</v>
      </c>
    </row>
    <row r="88" spans="1:18" x14ac:dyDescent="0.3">
      <c r="A88" t="s">
        <v>710</v>
      </c>
      <c r="B88" t="s">
        <v>190</v>
      </c>
      <c r="C88" t="s">
        <v>194</v>
      </c>
      <c r="D88" t="s">
        <v>195</v>
      </c>
      <c r="E88">
        <f t="shared" si="5"/>
        <v>6.7476383265856956</v>
      </c>
      <c r="F88" t="str">
        <f t="shared" si="6"/>
        <v>mg/kg</v>
      </c>
      <c r="G88">
        <v>500</v>
      </c>
      <c r="H88" t="s">
        <v>22</v>
      </c>
      <c r="I88" t="s">
        <v>663</v>
      </c>
      <c r="J88">
        <v>0</v>
      </c>
      <c r="K88">
        <v>1</v>
      </c>
      <c r="M88" t="s">
        <v>655</v>
      </c>
      <c r="N88">
        <v>1</v>
      </c>
      <c r="O88" t="s">
        <v>655</v>
      </c>
      <c r="P88">
        <v>74.099999999999994</v>
      </c>
    </row>
    <row r="89" spans="1:18" x14ac:dyDescent="0.3">
      <c r="A89" t="s">
        <v>711</v>
      </c>
      <c r="B89" t="s">
        <v>190</v>
      </c>
      <c r="C89" t="s">
        <v>194</v>
      </c>
      <c r="D89" t="s">
        <v>195</v>
      </c>
      <c r="E89">
        <f t="shared" si="5"/>
        <v>13.495276653171391</v>
      </c>
      <c r="F89" t="str">
        <f t="shared" si="6"/>
        <v>mg/kg</v>
      </c>
      <c r="G89">
        <v>1000</v>
      </c>
      <c r="H89" t="s">
        <v>22</v>
      </c>
      <c r="I89" t="s">
        <v>663</v>
      </c>
      <c r="J89">
        <v>0</v>
      </c>
      <c r="K89">
        <v>1</v>
      </c>
      <c r="M89" t="s">
        <v>655</v>
      </c>
      <c r="N89">
        <v>1</v>
      </c>
      <c r="O89" t="s">
        <v>655</v>
      </c>
      <c r="P89">
        <v>74.099999999999994</v>
      </c>
    </row>
    <row r="90" spans="1:18" x14ac:dyDescent="0.3">
      <c r="A90" t="s">
        <v>712</v>
      </c>
      <c r="B90" t="s">
        <v>190</v>
      </c>
      <c r="C90" t="s">
        <v>194</v>
      </c>
      <c r="D90" t="s">
        <v>195</v>
      </c>
      <c r="E90">
        <f t="shared" si="5"/>
        <v>20.242914979757085</v>
      </c>
      <c r="F90" t="str">
        <f t="shared" si="6"/>
        <v>mg/kg</v>
      </c>
      <c r="G90">
        <v>1500</v>
      </c>
      <c r="H90" t="s">
        <v>22</v>
      </c>
      <c r="I90" t="s">
        <v>663</v>
      </c>
      <c r="J90">
        <v>0</v>
      </c>
      <c r="K90">
        <v>1</v>
      </c>
      <c r="M90" t="s">
        <v>655</v>
      </c>
      <c r="N90">
        <v>1</v>
      </c>
      <c r="O90" t="s">
        <v>655</v>
      </c>
      <c r="P90">
        <v>74.099999999999994</v>
      </c>
    </row>
    <row r="91" spans="1:18" x14ac:dyDescent="0.3">
      <c r="A91" t="s">
        <v>713</v>
      </c>
      <c r="B91" t="s">
        <v>190</v>
      </c>
      <c r="C91" t="s">
        <v>194</v>
      </c>
      <c r="D91" t="s">
        <v>195</v>
      </c>
      <c r="E91">
        <f t="shared" si="5"/>
        <v>26.990553306342782</v>
      </c>
      <c r="F91" t="str">
        <f t="shared" si="6"/>
        <v>mg/kg</v>
      </c>
      <c r="G91">
        <v>2000</v>
      </c>
      <c r="H91" t="s">
        <v>22</v>
      </c>
      <c r="I91" t="s">
        <v>663</v>
      </c>
      <c r="J91">
        <v>0</v>
      </c>
      <c r="K91">
        <v>1</v>
      </c>
      <c r="M91" t="s">
        <v>655</v>
      </c>
      <c r="N91">
        <v>1</v>
      </c>
      <c r="O91" t="s">
        <v>655</v>
      </c>
      <c r="P91">
        <v>74.099999999999994</v>
      </c>
    </row>
    <row r="92" spans="1:18" x14ac:dyDescent="0.3">
      <c r="A92" t="s">
        <v>714</v>
      </c>
      <c r="B92" t="s">
        <v>190</v>
      </c>
      <c r="C92" t="s">
        <v>194</v>
      </c>
      <c r="D92" t="s">
        <v>195</v>
      </c>
      <c r="E92">
        <f t="shared" si="5"/>
        <v>6.6401062416998675</v>
      </c>
      <c r="F92" t="str">
        <f t="shared" si="6"/>
        <v>mg/kg</v>
      </c>
      <c r="G92">
        <v>500</v>
      </c>
      <c r="H92" t="s">
        <v>22</v>
      </c>
      <c r="I92" t="s">
        <v>663</v>
      </c>
      <c r="J92">
        <v>0</v>
      </c>
      <c r="K92">
        <v>1</v>
      </c>
      <c r="M92" t="s">
        <v>655</v>
      </c>
      <c r="N92">
        <v>1</v>
      </c>
      <c r="O92" t="s">
        <v>655</v>
      </c>
      <c r="P92">
        <v>75.3</v>
      </c>
      <c r="R92" t="s">
        <v>829</v>
      </c>
    </row>
    <row r="93" spans="1:18" x14ac:dyDescent="0.3">
      <c r="A93" t="s">
        <v>715</v>
      </c>
      <c r="B93" t="s">
        <v>190</v>
      </c>
      <c r="C93" t="s">
        <v>194</v>
      </c>
      <c r="D93" t="s">
        <v>195</v>
      </c>
      <c r="E93">
        <f t="shared" si="5"/>
        <v>13.280212483399735</v>
      </c>
      <c r="F93" t="str">
        <f t="shared" si="6"/>
        <v>mg/kg</v>
      </c>
      <c r="G93">
        <v>1000</v>
      </c>
      <c r="H93" t="s">
        <v>22</v>
      </c>
      <c r="I93" t="s">
        <v>663</v>
      </c>
      <c r="J93">
        <v>0</v>
      </c>
      <c r="K93">
        <v>1</v>
      </c>
      <c r="M93" t="s">
        <v>655</v>
      </c>
      <c r="N93">
        <v>1</v>
      </c>
      <c r="O93" t="s">
        <v>655</v>
      </c>
      <c r="P93">
        <v>75.3</v>
      </c>
      <c r="R93" t="s">
        <v>830</v>
      </c>
    </row>
    <row r="94" spans="1:18" x14ac:dyDescent="0.3">
      <c r="A94" t="s">
        <v>716</v>
      </c>
      <c r="B94" t="s">
        <v>190</v>
      </c>
      <c r="C94" t="s">
        <v>194</v>
      </c>
      <c r="D94" t="s">
        <v>195</v>
      </c>
      <c r="E94">
        <f t="shared" si="5"/>
        <v>19.920318725099602</v>
      </c>
      <c r="F94" t="str">
        <f t="shared" si="6"/>
        <v>mg/kg</v>
      </c>
      <c r="G94">
        <v>1500</v>
      </c>
      <c r="H94" t="s">
        <v>22</v>
      </c>
      <c r="I94" t="s">
        <v>663</v>
      </c>
      <c r="J94">
        <v>0</v>
      </c>
      <c r="K94">
        <v>1</v>
      </c>
      <c r="M94" t="s">
        <v>655</v>
      </c>
      <c r="N94">
        <v>1</v>
      </c>
      <c r="O94" t="s">
        <v>655</v>
      </c>
      <c r="P94">
        <v>75.3</v>
      </c>
      <c r="R94" t="s">
        <v>831</v>
      </c>
    </row>
    <row r="95" spans="1:18" x14ac:dyDescent="0.3">
      <c r="A95" t="s">
        <v>1022</v>
      </c>
      <c r="B95" t="s">
        <v>190</v>
      </c>
      <c r="C95" t="s">
        <v>194</v>
      </c>
      <c r="D95" t="s">
        <v>195</v>
      </c>
      <c r="E95">
        <f t="shared" si="5"/>
        <v>6.6401062416998675</v>
      </c>
      <c r="F95" t="str">
        <f t="shared" si="6"/>
        <v>mg/kg</v>
      </c>
      <c r="G95">
        <v>500</v>
      </c>
      <c r="H95" t="s">
        <v>22</v>
      </c>
      <c r="I95" t="s">
        <v>663</v>
      </c>
      <c r="J95">
        <v>0</v>
      </c>
      <c r="K95">
        <v>1</v>
      </c>
      <c r="M95" t="s">
        <v>655</v>
      </c>
      <c r="N95">
        <v>1</v>
      </c>
      <c r="O95" t="s">
        <v>655</v>
      </c>
      <c r="P95">
        <v>75.3</v>
      </c>
      <c r="R95" t="s">
        <v>829</v>
      </c>
    </row>
    <row r="96" spans="1:18" x14ac:dyDescent="0.3">
      <c r="A96" t="s">
        <v>1022</v>
      </c>
      <c r="B96" t="s">
        <v>190</v>
      </c>
      <c r="C96" t="s">
        <v>194</v>
      </c>
      <c r="D96" t="s">
        <v>195</v>
      </c>
      <c r="E96">
        <f t="shared" si="5"/>
        <v>6.6401062416998675</v>
      </c>
      <c r="F96" t="str">
        <f t="shared" si="6"/>
        <v>mg/kg</v>
      </c>
      <c r="G96">
        <v>500</v>
      </c>
      <c r="H96" t="s">
        <v>22</v>
      </c>
      <c r="I96" t="s">
        <v>663</v>
      </c>
      <c r="J96">
        <v>24</v>
      </c>
      <c r="K96">
        <f>3*8+1</f>
        <v>25</v>
      </c>
      <c r="L96">
        <v>8</v>
      </c>
      <c r="M96" t="s">
        <v>655</v>
      </c>
      <c r="N96">
        <v>1</v>
      </c>
      <c r="O96" t="s">
        <v>655</v>
      </c>
      <c r="P96">
        <v>75.3</v>
      </c>
      <c r="R96" t="s">
        <v>829</v>
      </c>
    </row>
    <row r="97" spans="1:18" x14ac:dyDescent="0.3">
      <c r="A97" t="s">
        <v>717</v>
      </c>
      <c r="B97" t="s">
        <v>190</v>
      </c>
      <c r="C97" t="s">
        <v>194</v>
      </c>
      <c r="D97" t="s">
        <v>195</v>
      </c>
      <c r="E97">
        <f t="shared" ref="E97" si="7">IF(EXACT(H97, "mg"), G97/P97,G97)</f>
        <v>13.280212483399735</v>
      </c>
      <c r="F97" t="str">
        <f t="shared" ref="F97" si="8">IF(EXACT(H97, "mg"), "mg/kg", H97)</f>
        <v>mg/kg</v>
      </c>
      <c r="G97">
        <v>1000</v>
      </c>
      <c r="H97" t="s">
        <v>22</v>
      </c>
      <c r="I97" t="s">
        <v>663</v>
      </c>
      <c r="J97">
        <v>0</v>
      </c>
      <c r="K97">
        <v>1</v>
      </c>
      <c r="M97" t="s">
        <v>655</v>
      </c>
      <c r="N97">
        <v>1</v>
      </c>
      <c r="O97" t="s">
        <v>655</v>
      </c>
      <c r="P97">
        <v>75.3</v>
      </c>
      <c r="R97" t="s">
        <v>830</v>
      </c>
    </row>
    <row r="98" spans="1:18" x14ac:dyDescent="0.3">
      <c r="A98" t="s">
        <v>717</v>
      </c>
      <c r="B98" t="s">
        <v>190</v>
      </c>
      <c r="C98" t="s">
        <v>194</v>
      </c>
      <c r="D98" t="s">
        <v>195</v>
      </c>
      <c r="E98">
        <f t="shared" si="5"/>
        <v>13.280212483399735</v>
      </c>
      <c r="F98" t="str">
        <f t="shared" si="6"/>
        <v>mg/kg</v>
      </c>
      <c r="G98">
        <v>1000</v>
      </c>
      <c r="H98" t="s">
        <v>22</v>
      </c>
      <c r="I98" t="s">
        <v>663</v>
      </c>
      <c r="J98">
        <v>24</v>
      </c>
      <c r="K98">
        <v>25</v>
      </c>
      <c r="L98">
        <v>8</v>
      </c>
      <c r="M98" t="s">
        <v>655</v>
      </c>
      <c r="N98">
        <v>1</v>
      </c>
      <c r="O98" t="s">
        <v>655</v>
      </c>
      <c r="P98">
        <v>75.3</v>
      </c>
      <c r="R98" t="s">
        <v>830</v>
      </c>
    </row>
    <row r="99" spans="1:18" x14ac:dyDescent="0.3">
      <c r="A99" t="s">
        <v>1024</v>
      </c>
      <c r="B99" t="s">
        <v>190</v>
      </c>
      <c r="C99" t="s">
        <v>194</v>
      </c>
      <c r="D99" t="s">
        <v>195</v>
      </c>
      <c r="E99">
        <f t="shared" ref="E99" si="9">IF(EXACT(H99, "mg"), G99/P99,G99)</f>
        <v>19.920318725099602</v>
      </c>
      <c r="F99" t="str">
        <f t="shared" ref="F99" si="10">IF(EXACT(H99, "mg"), "mg/kg", H99)</f>
        <v>mg/kg</v>
      </c>
      <c r="G99">
        <v>1500</v>
      </c>
      <c r="H99" t="s">
        <v>22</v>
      </c>
      <c r="I99" t="s">
        <v>663</v>
      </c>
      <c r="J99">
        <v>0</v>
      </c>
      <c r="K99">
        <v>1</v>
      </c>
      <c r="M99" t="s">
        <v>655</v>
      </c>
      <c r="N99">
        <v>1</v>
      </c>
      <c r="O99" t="s">
        <v>655</v>
      </c>
      <c r="P99">
        <v>75.3</v>
      </c>
      <c r="R99" t="s">
        <v>831</v>
      </c>
    </row>
    <row r="100" spans="1:18" x14ac:dyDescent="0.3">
      <c r="A100" t="s">
        <v>1024</v>
      </c>
      <c r="B100" t="s">
        <v>190</v>
      </c>
      <c r="C100" t="s">
        <v>194</v>
      </c>
      <c r="D100" t="s">
        <v>195</v>
      </c>
      <c r="E100">
        <f t="shared" si="5"/>
        <v>19.920318725099602</v>
      </c>
      <c r="F100" t="str">
        <f t="shared" si="6"/>
        <v>mg/kg</v>
      </c>
      <c r="G100">
        <v>1500</v>
      </c>
      <c r="H100" t="s">
        <v>22</v>
      </c>
      <c r="I100" t="s">
        <v>663</v>
      </c>
      <c r="J100">
        <v>24</v>
      </c>
      <c r="K100">
        <f>8*2+1</f>
        <v>17</v>
      </c>
      <c r="L100">
        <v>12</v>
      </c>
      <c r="M100" t="s">
        <v>655</v>
      </c>
      <c r="N100">
        <v>1</v>
      </c>
      <c r="O100" t="s">
        <v>655</v>
      </c>
      <c r="P100">
        <v>75.3</v>
      </c>
      <c r="R100" t="s">
        <v>831</v>
      </c>
    </row>
    <row r="101" spans="1:18" x14ac:dyDescent="0.3">
      <c r="A101" t="s">
        <v>718</v>
      </c>
      <c r="B101" t="s">
        <v>204</v>
      </c>
      <c r="C101" t="s">
        <v>208</v>
      </c>
      <c r="D101" t="s">
        <v>209</v>
      </c>
      <c r="E101">
        <f t="shared" si="5"/>
        <v>6.3291139240506333E-2</v>
      </c>
      <c r="F101" t="str">
        <f t="shared" si="6"/>
        <v>mg/kg</v>
      </c>
      <c r="G101">
        <v>5</v>
      </c>
      <c r="H101" t="s">
        <v>22</v>
      </c>
      <c r="I101" t="s">
        <v>23</v>
      </c>
      <c r="J101">
        <v>0</v>
      </c>
      <c r="K101">
        <v>1</v>
      </c>
      <c r="M101" t="s">
        <v>655</v>
      </c>
      <c r="P101">
        <v>79</v>
      </c>
      <c r="Q101" t="b">
        <v>0</v>
      </c>
    </row>
    <row r="102" spans="1:18" x14ac:dyDescent="0.3">
      <c r="A102" t="s">
        <v>1026</v>
      </c>
      <c r="B102" t="s">
        <v>204</v>
      </c>
      <c r="C102" t="s">
        <v>208</v>
      </c>
      <c r="D102" t="s">
        <v>209</v>
      </c>
      <c r="E102">
        <f t="shared" ref="E102:E122" si="11">IF(EXACT(H102, "mg"), G102/P102,G102)</f>
        <v>0.15822784810126583</v>
      </c>
      <c r="F102" t="str">
        <f t="shared" ref="F102:F122" si="12">IF(EXACT(H102, "mg"), "mg/kg", H102)</f>
        <v>mg/kg</v>
      </c>
      <c r="G102">
        <v>12.5</v>
      </c>
      <c r="H102" t="s">
        <v>22</v>
      </c>
      <c r="I102" t="s">
        <v>23</v>
      </c>
      <c r="J102">
        <v>0</v>
      </c>
      <c r="K102">
        <v>1</v>
      </c>
      <c r="M102" t="s">
        <v>655</v>
      </c>
      <c r="P102">
        <v>79</v>
      </c>
      <c r="Q102" t="b">
        <v>0</v>
      </c>
    </row>
    <row r="103" spans="1:18" x14ac:dyDescent="0.3">
      <c r="A103" t="s">
        <v>719</v>
      </c>
      <c r="B103" t="s">
        <v>204</v>
      </c>
      <c r="C103" t="s">
        <v>208</v>
      </c>
      <c r="D103" t="s">
        <v>209</v>
      </c>
      <c r="E103">
        <f t="shared" si="11"/>
        <v>0.31645569620253167</v>
      </c>
      <c r="F103" t="str">
        <f t="shared" si="12"/>
        <v>mg/kg</v>
      </c>
      <c r="G103">
        <v>25</v>
      </c>
      <c r="H103" t="s">
        <v>22</v>
      </c>
      <c r="I103" t="s">
        <v>23</v>
      </c>
      <c r="J103">
        <v>0</v>
      </c>
      <c r="K103">
        <v>1</v>
      </c>
      <c r="M103" t="s">
        <v>655</v>
      </c>
      <c r="P103">
        <v>79</v>
      </c>
      <c r="Q103" t="b">
        <v>0</v>
      </c>
    </row>
    <row r="104" spans="1:18" x14ac:dyDescent="0.3">
      <c r="A104" t="s">
        <v>1028</v>
      </c>
      <c r="B104" t="s">
        <v>204</v>
      </c>
      <c r="C104" t="s">
        <v>208</v>
      </c>
      <c r="D104" t="s">
        <v>209</v>
      </c>
      <c r="E104">
        <f t="shared" si="11"/>
        <v>0.63291139240506333</v>
      </c>
      <c r="F104" t="str">
        <f t="shared" si="12"/>
        <v>mg/kg</v>
      </c>
      <c r="G104">
        <v>50</v>
      </c>
      <c r="H104" t="s">
        <v>22</v>
      </c>
      <c r="I104" t="s">
        <v>23</v>
      </c>
      <c r="J104">
        <v>0</v>
      </c>
      <c r="K104">
        <v>1</v>
      </c>
      <c r="M104" t="s">
        <v>655</v>
      </c>
      <c r="P104">
        <v>79</v>
      </c>
      <c r="Q104" t="b">
        <v>0</v>
      </c>
    </row>
    <row r="105" spans="1:18" x14ac:dyDescent="0.3">
      <c r="A105" t="s">
        <v>1030</v>
      </c>
      <c r="B105" t="s">
        <v>204</v>
      </c>
      <c r="C105" t="s">
        <v>208</v>
      </c>
      <c r="D105" t="s">
        <v>209</v>
      </c>
      <c r="E105">
        <f t="shared" si="11"/>
        <v>0.94936708860759489</v>
      </c>
      <c r="F105" t="str">
        <f t="shared" si="12"/>
        <v>mg/kg</v>
      </c>
      <c r="G105">
        <v>75</v>
      </c>
      <c r="H105" t="s">
        <v>22</v>
      </c>
      <c r="I105" t="s">
        <v>23</v>
      </c>
      <c r="J105">
        <v>0</v>
      </c>
      <c r="K105">
        <v>1</v>
      </c>
      <c r="M105" t="s">
        <v>655</v>
      </c>
      <c r="P105">
        <v>79</v>
      </c>
      <c r="Q105" t="b">
        <v>0</v>
      </c>
    </row>
    <row r="106" spans="1:18" x14ac:dyDescent="0.3">
      <c r="A106" t="s">
        <v>1032</v>
      </c>
      <c r="B106" t="s">
        <v>204</v>
      </c>
      <c r="C106" t="s">
        <v>208</v>
      </c>
      <c r="D106" t="s">
        <v>209</v>
      </c>
      <c r="E106">
        <f t="shared" si="11"/>
        <v>1.2658227848101267</v>
      </c>
      <c r="F106" t="str">
        <f t="shared" si="12"/>
        <v>mg/kg</v>
      </c>
      <c r="G106">
        <v>100</v>
      </c>
      <c r="H106" t="s">
        <v>22</v>
      </c>
      <c r="I106" t="s">
        <v>23</v>
      </c>
      <c r="J106">
        <v>0</v>
      </c>
      <c r="K106">
        <v>1</v>
      </c>
      <c r="M106" t="s">
        <v>655</v>
      </c>
      <c r="P106">
        <v>79</v>
      </c>
      <c r="Q106" t="b">
        <v>0</v>
      </c>
    </row>
    <row r="107" spans="1:18" x14ac:dyDescent="0.3">
      <c r="A107" t="s">
        <v>1034</v>
      </c>
      <c r="B107" t="s">
        <v>226</v>
      </c>
      <c r="C107" t="s">
        <v>230</v>
      </c>
      <c r="D107" t="s">
        <v>231</v>
      </c>
      <c r="E107" s="2">
        <f t="shared" si="11"/>
        <v>0.27397260273972601</v>
      </c>
      <c r="F107" t="str">
        <f t="shared" si="12"/>
        <v>mg/kg</v>
      </c>
      <c r="G107">
        <v>20</v>
      </c>
      <c r="H107" t="s">
        <v>22</v>
      </c>
      <c r="I107" t="s">
        <v>23</v>
      </c>
      <c r="J107">
        <v>0</v>
      </c>
      <c r="K107">
        <v>1</v>
      </c>
      <c r="M107" t="s">
        <v>655</v>
      </c>
      <c r="P107" s="2">
        <v>73</v>
      </c>
      <c r="Q107" t="b">
        <v>0</v>
      </c>
    </row>
    <row r="108" spans="1:18" x14ac:dyDescent="0.3">
      <c r="A108" t="s">
        <v>720</v>
      </c>
      <c r="B108" t="s">
        <v>232</v>
      </c>
      <c r="C108" t="s">
        <v>236</v>
      </c>
      <c r="D108" t="s">
        <v>237</v>
      </c>
      <c r="E108">
        <f t="shared" si="11"/>
        <v>3.3602150537634405</v>
      </c>
      <c r="F108" t="str">
        <f t="shared" si="12"/>
        <v>mg/kg</v>
      </c>
      <c r="G108">
        <v>250</v>
      </c>
      <c r="H108" t="s">
        <v>22</v>
      </c>
      <c r="I108" t="s">
        <v>23</v>
      </c>
      <c r="J108">
        <v>0</v>
      </c>
      <c r="K108">
        <v>1</v>
      </c>
      <c r="M108" t="s">
        <v>655</v>
      </c>
      <c r="P108">
        <v>74.400000000000006</v>
      </c>
      <c r="Q108" t="b">
        <v>0</v>
      </c>
    </row>
    <row r="109" spans="1:18" x14ac:dyDescent="0.3">
      <c r="A109" t="s">
        <v>1036</v>
      </c>
      <c r="B109" t="s">
        <v>232</v>
      </c>
      <c r="C109" t="s">
        <v>236</v>
      </c>
      <c r="D109" t="s">
        <v>237</v>
      </c>
      <c r="E109">
        <f t="shared" si="11"/>
        <v>6.7204301075268811</v>
      </c>
      <c r="F109" t="str">
        <f t="shared" si="12"/>
        <v>mg/kg</v>
      </c>
      <c r="G109">
        <v>500</v>
      </c>
      <c r="H109" t="s">
        <v>22</v>
      </c>
      <c r="I109" t="s">
        <v>23</v>
      </c>
      <c r="J109">
        <v>0</v>
      </c>
      <c r="K109">
        <v>1</v>
      </c>
      <c r="M109" t="s">
        <v>655</v>
      </c>
      <c r="P109">
        <v>74.400000000000006</v>
      </c>
      <c r="Q109" t="b">
        <v>0</v>
      </c>
    </row>
    <row r="110" spans="1:18" x14ac:dyDescent="0.3">
      <c r="A110" t="s">
        <v>1038</v>
      </c>
      <c r="B110" t="s">
        <v>232</v>
      </c>
      <c r="C110" t="s">
        <v>236</v>
      </c>
      <c r="D110" t="s">
        <v>237</v>
      </c>
      <c r="E110">
        <f t="shared" si="11"/>
        <v>13.440860215053762</v>
      </c>
      <c r="F110" t="str">
        <f t="shared" si="12"/>
        <v>mg/kg</v>
      </c>
      <c r="G110">
        <v>1000</v>
      </c>
      <c r="H110" t="s">
        <v>22</v>
      </c>
      <c r="I110" t="s">
        <v>23</v>
      </c>
      <c r="J110">
        <v>0</v>
      </c>
      <c r="K110">
        <v>1</v>
      </c>
      <c r="M110" t="s">
        <v>655</v>
      </c>
      <c r="P110">
        <v>74.400000000000006</v>
      </c>
      <c r="Q110" t="b">
        <v>0</v>
      </c>
    </row>
    <row r="111" spans="1:18" x14ac:dyDescent="0.3">
      <c r="A111" t="s">
        <v>721</v>
      </c>
      <c r="B111" t="s">
        <v>232</v>
      </c>
      <c r="C111" t="s">
        <v>236</v>
      </c>
      <c r="D111" t="s">
        <v>237</v>
      </c>
      <c r="E111">
        <f t="shared" si="11"/>
        <v>20.161290322580644</v>
      </c>
      <c r="F111" t="str">
        <f t="shared" si="12"/>
        <v>mg/kg</v>
      </c>
      <c r="G111">
        <v>1500</v>
      </c>
      <c r="H111" t="s">
        <v>22</v>
      </c>
      <c r="I111" t="s">
        <v>23</v>
      </c>
      <c r="J111">
        <v>0</v>
      </c>
      <c r="K111">
        <v>1</v>
      </c>
      <c r="M111" t="s">
        <v>655</v>
      </c>
      <c r="P111">
        <v>74.400000000000006</v>
      </c>
      <c r="Q111" t="b">
        <v>0</v>
      </c>
    </row>
    <row r="112" spans="1:18" x14ac:dyDescent="0.3">
      <c r="A112" t="s">
        <v>1040</v>
      </c>
      <c r="B112" t="s">
        <v>232</v>
      </c>
      <c r="C112" t="s">
        <v>236</v>
      </c>
      <c r="D112" t="s">
        <v>237</v>
      </c>
      <c r="E112">
        <f t="shared" si="11"/>
        <v>23.521505376344084</v>
      </c>
      <c r="F112" t="str">
        <f t="shared" si="12"/>
        <v>mg/kg</v>
      </c>
      <c r="G112">
        <v>1750</v>
      </c>
      <c r="H112" t="s">
        <v>22</v>
      </c>
      <c r="I112" t="s">
        <v>23</v>
      </c>
      <c r="J112">
        <v>0</v>
      </c>
      <c r="K112">
        <v>1</v>
      </c>
      <c r="M112" t="s">
        <v>655</v>
      </c>
      <c r="P112">
        <v>74.400000000000006</v>
      </c>
      <c r="Q112" t="b">
        <v>0</v>
      </c>
    </row>
    <row r="113" spans="1:17" x14ac:dyDescent="0.3">
      <c r="A113" t="s">
        <v>1042</v>
      </c>
      <c r="B113" t="s">
        <v>232</v>
      </c>
      <c r="C113" t="s">
        <v>236</v>
      </c>
      <c r="D113" t="s">
        <v>237</v>
      </c>
      <c r="E113">
        <f t="shared" si="11"/>
        <v>26.881720430107524</v>
      </c>
      <c r="F113" t="str">
        <f t="shared" si="12"/>
        <v>mg/kg</v>
      </c>
      <c r="G113">
        <v>2000</v>
      </c>
      <c r="H113" t="s">
        <v>22</v>
      </c>
      <c r="I113" t="s">
        <v>23</v>
      </c>
      <c r="J113">
        <v>0</v>
      </c>
      <c r="K113">
        <v>1</v>
      </c>
      <c r="M113" t="s">
        <v>655</v>
      </c>
      <c r="P113">
        <v>74.400000000000006</v>
      </c>
      <c r="Q113" t="b">
        <v>0</v>
      </c>
    </row>
    <row r="114" spans="1:17" x14ac:dyDescent="0.3">
      <c r="A114" t="s">
        <v>722</v>
      </c>
      <c r="B114" t="s">
        <v>248</v>
      </c>
      <c r="C114" t="s">
        <v>252</v>
      </c>
      <c r="D114" t="s">
        <v>1174</v>
      </c>
      <c r="E114">
        <f t="shared" si="11"/>
        <v>0.68870523415977969</v>
      </c>
      <c r="F114" t="str">
        <f t="shared" si="12"/>
        <v>mg/kg</v>
      </c>
      <c r="G114">
        <v>50</v>
      </c>
      <c r="H114" t="s">
        <v>22</v>
      </c>
      <c r="I114" t="s">
        <v>23</v>
      </c>
      <c r="J114">
        <v>0</v>
      </c>
      <c r="K114">
        <v>1</v>
      </c>
      <c r="M114" t="s">
        <v>655</v>
      </c>
      <c r="P114">
        <v>72.599999999999994</v>
      </c>
      <c r="Q114" t="b">
        <v>0</v>
      </c>
    </row>
    <row r="115" spans="1:17" x14ac:dyDescent="0.3">
      <c r="A115" t="s">
        <v>1044</v>
      </c>
      <c r="B115" t="s">
        <v>248</v>
      </c>
      <c r="C115" t="s">
        <v>252</v>
      </c>
      <c r="D115" t="s">
        <v>1174</v>
      </c>
      <c r="E115">
        <f t="shared" si="11"/>
        <v>1.3020833333333335</v>
      </c>
      <c r="F115" t="str">
        <f t="shared" si="12"/>
        <v>mg/kg</v>
      </c>
      <c r="G115">
        <v>100</v>
      </c>
      <c r="H115" t="s">
        <v>22</v>
      </c>
      <c r="I115" t="s">
        <v>23</v>
      </c>
      <c r="J115">
        <v>0</v>
      </c>
      <c r="K115">
        <v>1</v>
      </c>
      <c r="M115" t="s">
        <v>655</v>
      </c>
      <c r="P115">
        <v>76.8</v>
      </c>
      <c r="Q115" t="b">
        <v>0</v>
      </c>
    </row>
    <row r="116" spans="1:17" x14ac:dyDescent="0.3">
      <c r="A116" t="s">
        <v>723</v>
      </c>
      <c r="B116" t="s">
        <v>248</v>
      </c>
      <c r="C116" t="s">
        <v>252</v>
      </c>
      <c r="D116" t="s">
        <v>1174</v>
      </c>
      <c r="E116">
        <f t="shared" si="11"/>
        <v>2.574002574002574</v>
      </c>
      <c r="F116" t="str">
        <f t="shared" si="12"/>
        <v>mg/kg</v>
      </c>
      <c r="G116">
        <v>200</v>
      </c>
      <c r="H116" t="s">
        <v>22</v>
      </c>
      <c r="I116" t="s">
        <v>23</v>
      </c>
      <c r="J116">
        <v>0</v>
      </c>
      <c r="K116">
        <v>1</v>
      </c>
      <c r="M116" t="s">
        <v>655</v>
      </c>
      <c r="P116">
        <v>77.7</v>
      </c>
      <c r="Q116" t="b">
        <v>0</v>
      </c>
    </row>
    <row r="117" spans="1:17" x14ac:dyDescent="0.3">
      <c r="A117" t="s">
        <v>1046</v>
      </c>
      <c r="B117" t="s">
        <v>248</v>
      </c>
      <c r="C117" t="s">
        <v>252</v>
      </c>
      <c r="D117" t="s">
        <v>1174</v>
      </c>
      <c r="E117">
        <f t="shared" si="11"/>
        <v>2.574002574002574</v>
      </c>
      <c r="F117" t="str">
        <f t="shared" si="12"/>
        <v>mg/kg</v>
      </c>
      <c r="G117">
        <v>200</v>
      </c>
      <c r="H117" t="s">
        <v>22</v>
      </c>
      <c r="I117" t="s">
        <v>23</v>
      </c>
      <c r="J117">
        <v>0</v>
      </c>
      <c r="K117">
        <v>1</v>
      </c>
      <c r="M117" t="s">
        <v>655</v>
      </c>
      <c r="P117">
        <v>77.7</v>
      </c>
      <c r="Q117" t="b">
        <v>1</v>
      </c>
    </row>
    <row r="118" spans="1:17" x14ac:dyDescent="0.3">
      <c r="A118" t="s">
        <v>724</v>
      </c>
      <c r="B118" t="s">
        <v>248</v>
      </c>
      <c r="C118" t="s">
        <v>252</v>
      </c>
      <c r="D118" t="s">
        <v>1174</v>
      </c>
      <c r="E118">
        <f t="shared" si="11"/>
        <v>4.9079754601226995</v>
      </c>
      <c r="F118" t="str">
        <f t="shared" si="12"/>
        <v>mg/kg</v>
      </c>
      <c r="G118">
        <v>400</v>
      </c>
      <c r="H118" t="s">
        <v>22</v>
      </c>
      <c r="I118" t="s">
        <v>23</v>
      </c>
      <c r="J118">
        <v>0</v>
      </c>
      <c r="K118">
        <v>1</v>
      </c>
      <c r="M118" t="s">
        <v>655</v>
      </c>
      <c r="P118">
        <v>81.5</v>
      </c>
      <c r="Q118" t="b">
        <v>0</v>
      </c>
    </row>
    <row r="119" spans="1:17" x14ac:dyDescent="0.3">
      <c r="A119" t="s">
        <v>1048</v>
      </c>
      <c r="B119" t="s">
        <v>248</v>
      </c>
      <c r="C119" t="s">
        <v>252</v>
      </c>
      <c r="D119" t="s">
        <v>1174</v>
      </c>
      <c r="E119">
        <f t="shared" si="11"/>
        <v>5.2840158520475562</v>
      </c>
      <c r="F119" t="str">
        <f t="shared" si="12"/>
        <v>mg/kg</v>
      </c>
      <c r="G119">
        <v>400</v>
      </c>
      <c r="H119" t="s">
        <v>22</v>
      </c>
      <c r="I119" t="s">
        <v>23</v>
      </c>
      <c r="J119">
        <v>0</v>
      </c>
      <c r="K119">
        <v>1</v>
      </c>
      <c r="M119" t="s">
        <v>655</v>
      </c>
      <c r="P119">
        <v>75.7</v>
      </c>
      <c r="Q119" t="b">
        <v>1</v>
      </c>
    </row>
    <row r="120" spans="1:17" x14ac:dyDescent="0.3">
      <c r="A120" t="s">
        <v>725</v>
      </c>
      <c r="B120" t="s">
        <v>248</v>
      </c>
      <c r="C120" t="s">
        <v>252</v>
      </c>
      <c r="D120" t="s">
        <v>1174</v>
      </c>
      <c r="E120">
        <f t="shared" si="11"/>
        <v>5.17464424320828</v>
      </c>
      <c r="F120" t="str">
        <f t="shared" si="12"/>
        <v>mg/kg</v>
      </c>
      <c r="G120">
        <v>400</v>
      </c>
      <c r="H120" t="s">
        <v>22</v>
      </c>
      <c r="I120" t="s">
        <v>23</v>
      </c>
      <c r="J120">
        <v>0</v>
      </c>
      <c r="K120">
        <v>1</v>
      </c>
      <c r="M120" t="s">
        <v>655</v>
      </c>
      <c r="P120">
        <v>77.3</v>
      </c>
      <c r="Q120" t="b">
        <v>1</v>
      </c>
    </row>
    <row r="121" spans="1:17" x14ac:dyDescent="0.3">
      <c r="A121" t="s">
        <v>1050</v>
      </c>
      <c r="B121" t="s">
        <v>248</v>
      </c>
      <c r="C121" t="s">
        <v>252</v>
      </c>
      <c r="D121" t="s">
        <v>1174</v>
      </c>
      <c r="E121">
        <f t="shared" si="11"/>
        <v>4.9751243781094523</v>
      </c>
      <c r="F121" t="str">
        <f t="shared" si="12"/>
        <v>mg/kg</v>
      </c>
      <c r="G121">
        <v>400</v>
      </c>
      <c r="H121" t="s">
        <v>22</v>
      </c>
      <c r="I121" t="s">
        <v>23</v>
      </c>
      <c r="J121">
        <v>0</v>
      </c>
      <c r="K121">
        <v>14</v>
      </c>
      <c r="L121">
        <v>12</v>
      </c>
      <c r="M121" t="s">
        <v>655</v>
      </c>
      <c r="P121">
        <v>80.400000000000006</v>
      </c>
      <c r="Q121" t="b">
        <v>1</v>
      </c>
    </row>
    <row r="122" spans="1:17" x14ac:dyDescent="0.3">
      <c r="A122" t="s">
        <v>726</v>
      </c>
      <c r="B122" t="s">
        <v>248</v>
      </c>
      <c r="C122" t="s">
        <v>252</v>
      </c>
      <c r="D122" t="s">
        <v>1174</v>
      </c>
      <c r="E122">
        <f t="shared" si="11"/>
        <v>4.9751243781094523</v>
      </c>
      <c r="F122" t="str">
        <f t="shared" si="12"/>
        <v>mg/kg</v>
      </c>
      <c r="G122">
        <v>400</v>
      </c>
      <c r="H122" t="s">
        <v>22</v>
      </c>
      <c r="I122" t="s">
        <v>23</v>
      </c>
      <c r="J122">
        <v>0</v>
      </c>
      <c r="K122">
        <v>14</v>
      </c>
      <c r="L122">
        <v>12</v>
      </c>
      <c r="M122" t="s">
        <v>655</v>
      </c>
      <c r="P122">
        <v>80.400000000000006</v>
      </c>
      <c r="Q122" t="b">
        <v>1</v>
      </c>
    </row>
    <row r="123" spans="1:17" x14ac:dyDescent="0.3">
      <c r="A123" t="s">
        <v>727</v>
      </c>
      <c r="B123" t="s">
        <v>248</v>
      </c>
      <c r="C123" t="s">
        <v>252</v>
      </c>
      <c r="D123" t="s">
        <v>1174</v>
      </c>
      <c r="E123">
        <f t="shared" ref="E123:E147" si="13">IF(EXACT(H123, "mg"), G123/P123,G123)</f>
        <v>9.2807424593967518</v>
      </c>
      <c r="F123" t="str">
        <f t="shared" ref="F123:F147" si="14">IF(EXACT(H123, "mg"), "mg/kg", H123)</f>
        <v>mg/kg</v>
      </c>
      <c r="G123">
        <v>800</v>
      </c>
      <c r="H123" t="s">
        <v>22</v>
      </c>
      <c r="I123" t="s">
        <v>23</v>
      </c>
      <c r="J123">
        <v>0</v>
      </c>
      <c r="K123">
        <v>1</v>
      </c>
      <c r="M123" t="s">
        <v>655</v>
      </c>
      <c r="P123">
        <v>86.2</v>
      </c>
      <c r="Q123" t="b">
        <v>1</v>
      </c>
    </row>
    <row r="124" spans="1:17" x14ac:dyDescent="0.3">
      <c r="A124" t="s">
        <v>1052</v>
      </c>
      <c r="B124" t="s">
        <v>248</v>
      </c>
      <c r="C124" t="s">
        <v>252</v>
      </c>
      <c r="D124" t="s">
        <v>1174</v>
      </c>
      <c r="E124">
        <f t="shared" si="13"/>
        <v>10.914051841746248</v>
      </c>
      <c r="F124" t="str">
        <f t="shared" si="14"/>
        <v>mg/kg</v>
      </c>
      <c r="G124">
        <v>800</v>
      </c>
      <c r="H124" t="s">
        <v>22</v>
      </c>
      <c r="I124" t="s">
        <v>23</v>
      </c>
      <c r="J124">
        <v>0</v>
      </c>
      <c r="K124">
        <v>7</v>
      </c>
      <c r="L124">
        <v>24</v>
      </c>
      <c r="M124" t="s">
        <v>655</v>
      </c>
      <c r="P124">
        <v>73.3</v>
      </c>
      <c r="Q124" t="b">
        <v>1</v>
      </c>
    </row>
    <row r="125" spans="1:17" x14ac:dyDescent="0.3">
      <c r="A125" t="s">
        <v>1054</v>
      </c>
      <c r="B125" t="s">
        <v>248</v>
      </c>
      <c r="C125" t="s">
        <v>252</v>
      </c>
      <c r="D125" t="s">
        <v>1174</v>
      </c>
      <c r="E125">
        <f t="shared" si="13"/>
        <v>10.914051841746248</v>
      </c>
      <c r="F125" t="str">
        <f t="shared" si="14"/>
        <v>mg/kg</v>
      </c>
      <c r="G125">
        <v>800</v>
      </c>
      <c r="H125" t="s">
        <v>22</v>
      </c>
      <c r="I125" t="s">
        <v>23</v>
      </c>
      <c r="J125">
        <v>0</v>
      </c>
      <c r="K125">
        <v>7</v>
      </c>
      <c r="L125">
        <v>24</v>
      </c>
      <c r="M125" t="s">
        <v>655</v>
      </c>
      <c r="P125">
        <v>73.3</v>
      </c>
      <c r="Q125" t="b">
        <v>1</v>
      </c>
    </row>
    <row r="126" spans="1:17" x14ac:dyDescent="0.3">
      <c r="A126" t="s">
        <v>728</v>
      </c>
      <c r="B126" t="s">
        <v>248</v>
      </c>
      <c r="C126" t="s">
        <v>252</v>
      </c>
      <c r="D126" t="s">
        <v>1174</v>
      </c>
      <c r="E126">
        <f t="shared" si="13"/>
        <v>17.291066282420747</v>
      </c>
      <c r="F126" t="str">
        <f t="shared" si="14"/>
        <v>mg/kg</v>
      </c>
      <c r="G126">
        <v>1200</v>
      </c>
      <c r="H126" t="s">
        <v>22</v>
      </c>
      <c r="I126" t="s">
        <v>23</v>
      </c>
      <c r="J126">
        <v>0</v>
      </c>
      <c r="K126">
        <v>1</v>
      </c>
      <c r="M126" t="s">
        <v>655</v>
      </c>
      <c r="P126">
        <v>69.400000000000006</v>
      </c>
      <c r="Q126" t="b">
        <v>1</v>
      </c>
    </row>
    <row r="127" spans="1:17" x14ac:dyDescent="0.3">
      <c r="A127" t="s">
        <v>729</v>
      </c>
      <c r="B127" t="s">
        <v>184</v>
      </c>
      <c r="C127" t="s">
        <v>188</v>
      </c>
      <c r="D127" t="s">
        <v>189</v>
      </c>
      <c r="E127">
        <f t="shared" si="13"/>
        <v>5.547850208044383</v>
      </c>
      <c r="F127" t="str">
        <f t="shared" si="14"/>
        <v>mg/kg</v>
      </c>
      <c r="G127">
        <v>400</v>
      </c>
      <c r="H127" t="s">
        <v>22</v>
      </c>
      <c r="I127" t="s">
        <v>23</v>
      </c>
      <c r="J127">
        <v>0</v>
      </c>
      <c r="K127">
        <v>1</v>
      </c>
      <c r="M127" t="s">
        <v>655</v>
      </c>
      <c r="P127">
        <v>72.099999999999994</v>
      </c>
      <c r="Q127" t="b">
        <v>0</v>
      </c>
    </row>
    <row r="128" spans="1:17" x14ac:dyDescent="0.3">
      <c r="A128" t="s">
        <v>1056</v>
      </c>
      <c r="B128" t="s">
        <v>184</v>
      </c>
      <c r="C128" t="s">
        <v>188</v>
      </c>
      <c r="D128" t="s">
        <v>189</v>
      </c>
      <c r="E128">
        <f t="shared" si="13"/>
        <v>4.9504950495049505</v>
      </c>
      <c r="F128" t="str">
        <f t="shared" si="14"/>
        <v>mg/kg</v>
      </c>
      <c r="G128">
        <v>400</v>
      </c>
      <c r="H128" t="s">
        <v>22</v>
      </c>
      <c r="I128" t="s">
        <v>23</v>
      </c>
      <c r="J128">
        <v>0</v>
      </c>
      <c r="K128">
        <v>1</v>
      </c>
      <c r="M128" t="s">
        <v>655</v>
      </c>
      <c r="P128">
        <v>80.8</v>
      </c>
      <c r="Q128" t="b">
        <v>0</v>
      </c>
    </row>
    <row r="129" spans="1:17" x14ac:dyDescent="0.3">
      <c r="A129" t="s">
        <v>1058</v>
      </c>
      <c r="B129" t="s">
        <v>277</v>
      </c>
      <c r="C129" t="s">
        <v>281</v>
      </c>
      <c r="D129" t="s">
        <v>282</v>
      </c>
      <c r="E129">
        <f t="shared" si="13"/>
        <v>5.2493438320209975</v>
      </c>
      <c r="F129" t="str">
        <f t="shared" si="14"/>
        <v>mg/kg</v>
      </c>
      <c r="G129">
        <v>400</v>
      </c>
      <c r="H129" t="s">
        <v>22</v>
      </c>
      <c r="I129" t="s">
        <v>23</v>
      </c>
      <c r="J129">
        <v>0</v>
      </c>
      <c r="K129">
        <v>1</v>
      </c>
      <c r="M129" t="s">
        <v>655</v>
      </c>
      <c r="P129">
        <v>76.2</v>
      </c>
      <c r="Q129" t="b">
        <v>0</v>
      </c>
    </row>
    <row r="130" spans="1:17" x14ac:dyDescent="0.3">
      <c r="A130" t="s">
        <v>1060</v>
      </c>
      <c r="B130" t="s">
        <v>284</v>
      </c>
      <c r="C130" t="s">
        <v>288</v>
      </c>
      <c r="D130" t="s">
        <v>289</v>
      </c>
      <c r="E130">
        <f t="shared" si="13"/>
        <v>6.6137566137566139</v>
      </c>
      <c r="F130" t="str">
        <f t="shared" si="14"/>
        <v>mg/kg</v>
      </c>
      <c r="G130">
        <v>500</v>
      </c>
      <c r="H130" t="s">
        <v>22</v>
      </c>
      <c r="I130" t="s">
        <v>23</v>
      </c>
      <c r="J130">
        <v>0</v>
      </c>
      <c r="K130">
        <v>1</v>
      </c>
      <c r="M130" t="s">
        <v>655</v>
      </c>
      <c r="P130">
        <v>75.599999999999994</v>
      </c>
      <c r="Q130" t="b">
        <v>0</v>
      </c>
    </row>
    <row r="131" spans="1:17" x14ac:dyDescent="0.3">
      <c r="A131" t="s">
        <v>1062</v>
      </c>
      <c r="B131" t="s">
        <v>294</v>
      </c>
      <c r="C131" t="s">
        <v>295</v>
      </c>
      <c r="D131" t="s">
        <v>296</v>
      </c>
      <c r="E131" s="2">
        <f t="shared" si="13"/>
        <v>6.8493150684931505</v>
      </c>
      <c r="F131" t="str">
        <f t="shared" si="14"/>
        <v>mg/kg</v>
      </c>
      <c r="G131">
        <v>500</v>
      </c>
      <c r="H131" t="s">
        <v>22</v>
      </c>
      <c r="I131" t="s">
        <v>23</v>
      </c>
      <c r="J131">
        <v>0</v>
      </c>
      <c r="K131">
        <v>1</v>
      </c>
      <c r="M131" t="s">
        <v>655</v>
      </c>
      <c r="P131" s="2">
        <v>73</v>
      </c>
    </row>
    <row r="132" spans="1:17" x14ac:dyDescent="0.3">
      <c r="A132" t="s">
        <v>1064</v>
      </c>
      <c r="B132" t="s">
        <v>297</v>
      </c>
      <c r="C132" t="s">
        <v>298</v>
      </c>
      <c r="D132" t="s">
        <v>299</v>
      </c>
      <c r="E132">
        <f t="shared" si="13"/>
        <v>5.0505050505050502</v>
      </c>
      <c r="F132" t="str">
        <f t="shared" si="14"/>
        <v>mg/kg</v>
      </c>
      <c r="G132">
        <v>400</v>
      </c>
      <c r="H132" t="s">
        <v>22</v>
      </c>
      <c r="I132" t="s">
        <v>23</v>
      </c>
      <c r="J132">
        <v>0</v>
      </c>
      <c r="K132">
        <v>1</v>
      </c>
      <c r="M132" t="s">
        <v>655</v>
      </c>
      <c r="P132">
        <v>79.2</v>
      </c>
      <c r="Q132" t="b">
        <v>0</v>
      </c>
    </row>
    <row r="133" spans="1:17" x14ac:dyDescent="0.3">
      <c r="A133" t="s">
        <v>1066</v>
      </c>
      <c r="B133" t="s">
        <v>297</v>
      </c>
      <c r="C133" t="s">
        <v>298</v>
      </c>
      <c r="D133" t="s">
        <v>299</v>
      </c>
      <c r="E133">
        <f t="shared" si="13"/>
        <v>10.1010101010101</v>
      </c>
      <c r="F133" t="str">
        <f t="shared" si="14"/>
        <v>mg/kg</v>
      </c>
      <c r="G133">
        <v>800</v>
      </c>
      <c r="H133" t="s">
        <v>22</v>
      </c>
      <c r="I133" t="s">
        <v>23</v>
      </c>
      <c r="J133">
        <v>0</v>
      </c>
      <c r="K133">
        <v>1</v>
      </c>
      <c r="M133" t="s">
        <v>655</v>
      </c>
      <c r="P133">
        <v>79.2</v>
      </c>
      <c r="Q133" t="b">
        <v>0</v>
      </c>
    </row>
    <row r="134" spans="1:17" x14ac:dyDescent="0.3">
      <c r="A134" t="s">
        <v>1068</v>
      </c>
      <c r="B134" t="s">
        <v>297</v>
      </c>
      <c r="C134" t="s">
        <v>298</v>
      </c>
      <c r="D134" t="s">
        <v>299</v>
      </c>
      <c r="E134">
        <f t="shared" si="13"/>
        <v>20.202020202020201</v>
      </c>
      <c r="F134" t="str">
        <f t="shared" si="14"/>
        <v>mg/kg</v>
      </c>
      <c r="G134">
        <v>1600</v>
      </c>
      <c r="H134" t="s">
        <v>22</v>
      </c>
      <c r="I134" t="s">
        <v>23</v>
      </c>
      <c r="J134">
        <v>0</v>
      </c>
      <c r="K134">
        <v>1</v>
      </c>
      <c r="M134" t="s">
        <v>655</v>
      </c>
      <c r="P134">
        <v>79.2</v>
      </c>
      <c r="Q134" t="b">
        <v>0</v>
      </c>
    </row>
    <row r="135" spans="1:17" x14ac:dyDescent="0.3">
      <c r="A135" t="s">
        <v>1070</v>
      </c>
      <c r="B135" t="s">
        <v>33</v>
      </c>
      <c r="C135" t="s">
        <v>34</v>
      </c>
      <c r="D135" t="s">
        <v>35</v>
      </c>
      <c r="E135">
        <f t="shared" si="13"/>
        <v>5.6022408963585431</v>
      </c>
      <c r="F135" t="str">
        <f t="shared" si="14"/>
        <v>mg/kg</v>
      </c>
      <c r="G135">
        <v>400</v>
      </c>
      <c r="H135" t="s">
        <v>22</v>
      </c>
      <c r="I135" t="s">
        <v>23</v>
      </c>
      <c r="J135">
        <v>0</v>
      </c>
      <c r="K135">
        <v>1</v>
      </c>
      <c r="M135" t="s">
        <v>655</v>
      </c>
      <c r="P135">
        <v>71.400000000000006</v>
      </c>
      <c r="Q135" t="b">
        <v>0</v>
      </c>
    </row>
    <row r="136" spans="1:17" x14ac:dyDescent="0.3">
      <c r="A136" t="s">
        <v>1072</v>
      </c>
      <c r="B136" t="s">
        <v>48</v>
      </c>
      <c r="C136" t="s">
        <v>50</v>
      </c>
      <c r="D136" t="s">
        <v>51</v>
      </c>
      <c r="E136">
        <f t="shared" si="13"/>
        <v>4</v>
      </c>
      <c r="F136" t="str">
        <f t="shared" si="14"/>
        <v>mg/kg</v>
      </c>
      <c r="G136">
        <v>4</v>
      </c>
      <c r="H136" t="s">
        <v>115</v>
      </c>
      <c r="I136" t="s">
        <v>663</v>
      </c>
      <c r="J136">
        <v>0</v>
      </c>
      <c r="K136">
        <v>1</v>
      </c>
      <c r="M136" t="s">
        <v>655</v>
      </c>
      <c r="N136">
        <v>30</v>
      </c>
      <c r="O136" t="s">
        <v>664</v>
      </c>
      <c r="P136">
        <v>78.5</v>
      </c>
    </row>
    <row r="137" spans="1:17" x14ac:dyDescent="0.3">
      <c r="A137" t="s">
        <v>1074</v>
      </c>
      <c r="B137" t="s">
        <v>48</v>
      </c>
      <c r="C137" t="s">
        <v>50</v>
      </c>
      <c r="D137" t="s">
        <v>51</v>
      </c>
      <c r="E137">
        <f t="shared" si="13"/>
        <v>4</v>
      </c>
      <c r="F137" t="str">
        <f t="shared" si="14"/>
        <v>mg/kg</v>
      </c>
      <c r="G137">
        <v>4</v>
      </c>
      <c r="H137" t="s">
        <v>115</v>
      </c>
      <c r="I137" t="s">
        <v>663</v>
      </c>
      <c r="J137">
        <v>0</v>
      </c>
      <c r="K137">
        <v>1</v>
      </c>
      <c r="M137" t="s">
        <v>655</v>
      </c>
      <c r="N137">
        <v>30</v>
      </c>
      <c r="O137" t="s">
        <v>664</v>
      </c>
      <c r="P137">
        <v>58.8</v>
      </c>
    </row>
    <row r="138" spans="1:17" x14ac:dyDescent="0.3">
      <c r="A138" t="s">
        <v>730</v>
      </c>
      <c r="B138" t="s">
        <v>48</v>
      </c>
      <c r="C138" t="s">
        <v>50</v>
      </c>
      <c r="D138" t="s">
        <v>51</v>
      </c>
      <c r="E138">
        <f t="shared" si="13"/>
        <v>6</v>
      </c>
      <c r="F138" t="str">
        <f t="shared" si="14"/>
        <v>mg/kg</v>
      </c>
      <c r="G138">
        <v>6</v>
      </c>
      <c r="H138" t="s">
        <v>115</v>
      </c>
      <c r="I138" t="s">
        <v>663</v>
      </c>
      <c r="J138">
        <v>0</v>
      </c>
      <c r="K138">
        <v>1</v>
      </c>
      <c r="M138" t="s">
        <v>655</v>
      </c>
      <c r="N138">
        <v>30</v>
      </c>
      <c r="O138" t="s">
        <v>664</v>
      </c>
      <c r="P138">
        <v>70</v>
      </c>
    </row>
    <row r="139" spans="1:17" x14ac:dyDescent="0.3">
      <c r="A139" t="s">
        <v>1076</v>
      </c>
      <c r="B139" t="s">
        <v>48</v>
      </c>
      <c r="C139" t="s">
        <v>50</v>
      </c>
      <c r="D139" t="s">
        <v>51</v>
      </c>
      <c r="E139">
        <f t="shared" si="13"/>
        <v>4</v>
      </c>
      <c r="F139" t="str">
        <f t="shared" si="14"/>
        <v>mg/kg</v>
      </c>
      <c r="G139">
        <v>4</v>
      </c>
      <c r="H139" t="s">
        <v>115</v>
      </c>
      <c r="I139" t="s">
        <v>663</v>
      </c>
      <c r="J139">
        <v>0</v>
      </c>
      <c r="K139">
        <v>1</v>
      </c>
      <c r="M139" t="s">
        <v>655</v>
      </c>
      <c r="N139">
        <v>30</v>
      </c>
      <c r="O139" t="s">
        <v>664</v>
      </c>
      <c r="P139">
        <v>69.8</v>
      </c>
    </row>
    <row r="140" spans="1:17" x14ac:dyDescent="0.3">
      <c r="A140" t="s">
        <v>1078</v>
      </c>
      <c r="B140" t="s">
        <v>48</v>
      </c>
      <c r="C140" t="s">
        <v>50</v>
      </c>
      <c r="D140" t="s">
        <v>51</v>
      </c>
      <c r="E140">
        <f t="shared" si="13"/>
        <v>6</v>
      </c>
      <c r="F140" t="str">
        <f t="shared" si="14"/>
        <v>mg/kg</v>
      </c>
      <c r="G140">
        <v>6</v>
      </c>
      <c r="H140" t="s">
        <v>115</v>
      </c>
      <c r="I140" t="s">
        <v>663</v>
      </c>
      <c r="J140">
        <v>0</v>
      </c>
      <c r="K140">
        <v>1</v>
      </c>
      <c r="M140" t="s">
        <v>655</v>
      </c>
      <c r="N140">
        <v>30</v>
      </c>
      <c r="O140" t="s">
        <v>664</v>
      </c>
      <c r="P140">
        <v>69.599999999999994</v>
      </c>
    </row>
    <row r="141" spans="1:17" x14ac:dyDescent="0.3">
      <c r="A141" t="s">
        <v>1080</v>
      </c>
      <c r="B141" t="s">
        <v>48</v>
      </c>
      <c r="C141" t="s">
        <v>50</v>
      </c>
      <c r="D141" t="s">
        <v>51</v>
      </c>
      <c r="E141">
        <f t="shared" si="13"/>
        <v>6</v>
      </c>
      <c r="F141" t="str">
        <f t="shared" si="14"/>
        <v>mg/kg</v>
      </c>
      <c r="G141">
        <v>6</v>
      </c>
      <c r="H141" t="s">
        <v>115</v>
      </c>
      <c r="I141" t="s">
        <v>663</v>
      </c>
      <c r="J141">
        <v>0</v>
      </c>
      <c r="K141">
        <v>7</v>
      </c>
      <c r="L141">
        <v>24</v>
      </c>
      <c r="M141" t="s">
        <v>655</v>
      </c>
      <c r="N141">
        <v>30</v>
      </c>
      <c r="O141" t="s">
        <v>664</v>
      </c>
      <c r="P141">
        <v>69.599999999999994</v>
      </c>
    </row>
    <row r="142" spans="1:17" x14ac:dyDescent="0.3">
      <c r="A142" t="s">
        <v>731</v>
      </c>
      <c r="B142" t="s">
        <v>48</v>
      </c>
      <c r="C142" t="s">
        <v>50</v>
      </c>
      <c r="D142" t="s">
        <v>51</v>
      </c>
      <c r="E142">
        <f t="shared" si="13"/>
        <v>6</v>
      </c>
      <c r="F142" t="str">
        <f t="shared" si="14"/>
        <v>mg/kg</v>
      </c>
      <c r="G142">
        <v>6</v>
      </c>
      <c r="H142" t="s">
        <v>115</v>
      </c>
      <c r="I142" t="s">
        <v>663</v>
      </c>
      <c r="J142">
        <v>0</v>
      </c>
      <c r="K142">
        <v>1</v>
      </c>
      <c r="M142" t="s">
        <v>655</v>
      </c>
      <c r="N142">
        <v>30</v>
      </c>
      <c r="O142" t="s">
        <v>664</v>
      </c>
      <c r="P142">
        <v>67.5</v>
      </c>
    </row>
    <row r="143" spans="1:17" x14ac:dyDescent="0.3">
      <c r="A143" t="s">
        <v>732</v>
      </c>
      <c r="B143" t="s">
        <v>48</v>
      </c>
      <c r="C143" t="s">
        <v>50</v>
      </c>
      <c r="D143" t="s">
        <v>51</v>
      </c>
      <c r="E143">
        <f t="shared" si="13"/>
        <v>6</v>
      </c>
      <c r="F143" t="str">
        <f t="shared" si="14"/>
        <v>mg/kg</v>
      </c>
      <c r="G143">
        <v>6</v>
      </c>
      <c r="H143" t="s">
        <v>115</v>
      </c>
      <c r="I143" t="s">
        <v>663</v>
      </c>
      <c r="J143">
        <v>0</v>
      </c>
      <c r="K143">
        <v>4</v>
      </c>
      <c r="L143">
        <v>24</v>
      </c>
      <c r="M143" t="s">
        <v>655</v>
      </c>
      <c r="N143">
        <v>30</v>
      </c>
      <c r="O143" t="s">
        <v>664</v>
      </c>
      <c r="P143">
        <v>67.5</v>
      </c>
    </row>
    <row r="144" spans="1:17" x14ac:dyDescent="0.3">
      <c r="A144" t="s">
        <v>1082</v>
      </c>
      <c r="B144" t="s">
        <v>48</v>
      </c>
      <c r="C144" t="s">
        <v>50</v>
      </c>
      <c r="D144" t="s">
        <v>51</v>
      </c>
      <c r="E144">
        <f t="shared" si="13"/>
        <v>8</v>
      </c>
      <c r="F144" t="str">
        <f t="shared" si="14"/>
        <v>mg/kg</v>
      </c>
      <c r="G144">
        <v>8</v>
      </c>
      <c r="H144" t="s">
        <v>115</v>
      </c>
      <c r="I144" t="s">
        <v>663</v>
      </c>
      <c r="J144">
        <v>0</v>
      </c>
      <c r="K144">
        <v>1</v>
      </c>
      <c r="M144" t="s">
        <v>655</v>
      </c>
      <c r="N144">
        <v>30</v>
      </c>
      <c r="O144" t="s">
        <v>664</v>
      </c>
      <c r="P144">
        <v>71.3</v>
      </c>
    </row>
    <row r="145" spans="1:18" x14ac:dyDescent="0.3">
      <c r="A145" t="s">
        <v>1084</v>
      </c>
      <c r="B145" t="s">
        <v>48</v>
      </c>
      <c r="C145" t="s">
        <v>50</v>
      </c>
      <c r="D145" t="s">
        <v>51</v>
      </c>
      <c r="E145">
        <f t="shared" si="13"/>
        <v>8</v>
      </c>
      <c r="F145" t="str">
        <f t="shared" si="14"/>
        <v>mg/kg</v>
      </c>
      <c r="G145">
        <v>8</v>
      </c>
      <c r="H145" t="s">
        <v>115</v>
      </c>
      <c r="I145" t="s">
        <v>663</v>
      </c>
      <c r="J145">
        <v>0</v>
      </c>
      <c r="K145">
        <v>7</v>
      </c>
      <c r="L145">
        <v>24</v>
      </c>
      <c r="M145" t="s">
        <v>655</v>
      </c>
      <c r="N145">
        <v>30</v>
      </c>
      <c r="O145" t="s">
        <v>664</v>
      </c>
      <c r="P145">
        <v>71.3</v>
      </c>
    </row>
    <row r="146" spans="1:18" x14ac:dyDescent="0.3">
      <c r="A146" t="s">
        <v>1086</v>
      </c>
      <c r="B146" t="s">
        <v>48</v>
      </c>
      <c r="C146" t="s">
        <v>50</v>
      </c>
      <c r="D146" t="s">
        <v>51</v>
      </c>
      <c r="E146">
        <f t="shared" si="13"/>
        <v>8</v>
      </c>
      <c r="F146" t="str">
        <f t="shared" si="14"/>
        <v>mg/kg</v>
      </c>
      <c r="G146">
        <v>8</v>
      </c>
      <c r="H146" t="s">
        <v>115</v>
      </c>
      <c r="I146" t="s">
        <v>663</v>
      </c>
      <c r="J146">
        <v>0</v>
      </c>
      <c r="K146">
        <v>14</v>
      </c>
      <c r="L146">
        <v>24</v>
      </c>
      <c r="M146" t="s">
        <v>655</v>
      </c>
      <c r="N146">
        <v>30</v>
      </c>
      <c r="O146" t="s">
        <v>664</v>
      </c>
      <c r="P146">
        <v>71.3</v>
      </c>
    </row>
    <row r="147" spans="1:18" x14ac:dyDescent="0.3">
      <c r="A147" t="s">
        <v>1088</v>
      </c>
      <c r="B147" t="s">
        <v>48</v>
      </c>
      <c r="C147" t="s">
        <v>50</v>
      </c>
      <c r="D147" t="s">
        <v>51</v>
      </c>
      <c r="E147">
        <f t="shared" si="13"/>
        <v>8</v>
      </c>
      <c r="F147" t="str">
        <f t="shared" si="14"/>
        <v>mg/kg</v>
      </c>
      <c r="G147">
        <v>8</v>
      </c>
      <c r="H147" t="s">
        <v>115</v>
      </c>
      <c r="I147" t="s">
        <v>663</v>
      </c>
      <c r="J147">
        <v>0</v>
      </c>
      <c r="K147">
        <v>1</v>
      </c>
      <c r="M147" t="s">
        <v>655</v>
      </c>
      <c r="N147">
        <v>30</v>
      </c>
      <c r="O147" t="s">
        <v>664</v>
      </c>
      <c r="P147">
        <v>67.5</v>
      </c>
    </row>
    <row r="148" spans="1:18" x14ac:dyDescent="0.3">
      <c r="A148" t="s">
        <v>1090</v>
      </c>
      <c r="B148" t="s">
        <v>48</v>
      </c>
      <c r="C148" t="s">
        <v>50</v>
      </c>
      <c r="D148" t="s">
        <v>51</v>
      </c>
      <c r="E148">
        <f t="shared" ref="E148:E196" si="15">IF(EXACT(H148, "mg"), G148/P148,G148)</f>
        <v>8</v>
      </c>
      <c r="F148" t="str">
        <f t="shared" ref="F148:F177" si="16">IF(EXACT(H148, "mg"), "mg/kg", H148)</f>
        <v>mg/kg</v>
      </c>
      <c r="G148">
        <v>8</v>
      </c>
      <c r="H148" t="s">
        <v>115</v>
      </c>
      <c r="I148" t="s">
        <v>663</v>
      </c>
      <c r="J148">
        <v>0</v>
      </c>
      <c r="K148">
        <v>4</v>
      </c>
      <c r="L148">
        <v>24</v>
      </c>
      <c r="M148" t="s">
        <v>655</v>
      </c>
      <c r="N148">
        <v>30</v>
      </c>
      <c r="O148" t="s">
        <v>664</v>
      </c>
      <c r="P148">
        <v>67.5</v>
      </c>
    </row>
    <row r="149" spans="1:18" x14ac:dyDescent="0.3">
      <c r="A149" t="s">
        <v>1092</v>
      </c>
      <c r="B149" t="s">
        <v>48</v>
      </c>
      <c r="C149" t="s">
        <v>50</v>
      </c>
      <c r="D149" t="s">
        <v>51</v>
      </c>
      <c r="E149">
        <f t="shared" si="15"/>
        <v>10</v>
      </c>
      <c r="F149" t="str">
        <f t="shared" si="16"/>
        <v>mg/kg</v>
      </c>
      <c r="G149">
        <v>10</v>
      </c>
      <c r="H149" t="s">
        <v>115</v>
      </c>
      <c r="I149" t="s">
        <v>663</v>
      </c>
      <c r="J149">
        <v>0</v>
      </c>
      <c r="K149">
        <v>1</v>
      </c>
      <c r="M149" t="s">
        <v>655</v>
      </c>
      <c r="N149">
        <v>30</v>
      </c>
      <c r="O149" t="s">
        <v>664</v>
      </c>
      <c r="P149">
        <v>67.5</v>
      </c>
    </row>
    <row r="150" spans="1:18" x14ac:dyDescent="0.3">
      <c r="A150" t="s">
        <v>1094</v>
      </c>
      <c r="B150" t="s">
        <v>48</v>
      </c>
      <c r="C150" t="s">
        <v>50</v>
      </c>
      <c r="D150" t="s">
        <v>51</v>
      </c>
      <c r="E150">
        <f t="shared" si="15"/>
        <v>10</v>
      </c>
      <c r="F150" t="str">
        <f t="shared" si="16"/>
        <v>mg/kg</v>
      </c>
      <c r="G150">
        <v>10</v>
      </c>
      <c r="H150" t="s">
        <v>115</v>
      </c>
      <c r="I150" t="s">
        <v>663</v>
      </c>
      <c r="J150">
        <v>0</v>
      </c>
      <c r="K150">
        <v>4</v>
      </c>
      <c r="L150">
        <v>24</v>
      </c>
      <c r="M150" t="s">
        <v>655</v>
      </c>
      <c r="N150">
        <v>30</v>
      </c>
      <c r="O150" t="s">
        <v>664</v>
      </c>
      <c r="P150">
        <v>67.5</v>
      </c>
    </row>
    <row r="151" spans="1:18" x14ac:dyDescent="0.3">
      <c r="A151" t="s">
        <v>1096</v>
      </c>
      <c r="B151" t="s">
        <v>48</v>
      </c>
      <c r="C151" t="s">
        <v>50</v>
      </c>
      <c r="D151" t="s">
        <v>51</v>
      </c>
      <c r="E151">
        <f t="shared" si="15"/>
        <v>10</v>
      </c>
      <c r="F151" t="str">
        <f t="shared" si="16"/>
        <v>mg/kg</v>
      </c>
      <c r="G151">
        <v>10</v>
      </c>
      <c r="H151" t="s">
        <v>115</v>
      </c>
      <c r="I151" t="s">
        <v>663</v>
      </c>
      <c r="J151">
        <v>0</v>
      </c>
      <c r="K151">
        <v>14</v>
      </c>
      <c r="L151">
        <v>24</v>
      </c>
      <c r="M151" t="s">
        <v>655</v>
      </c>
      <c r="N151">
        <v>30</v>
      </c>
      <c r="O151" t="s">
        <v>664</v>
      </c>
      <c r="P151">
        <v>67.5</v>
      </c>
    </row>
    <row r="152" spans="1:18" x14ac:dyDescent="0.3">
      <c r="A152" t="s">
        <v>733</v>
      </c>
      <c r="B152" t="s">
        <v>48</v>
      </c>
      <c r="C152" t="s">
        <v>50</v>
      </c>
      <c r="D152" t="s">
        <v>51</v>
      </c>
      <c r="E152">
        <f t="shared" si="15"/>
        <v>12</v>
      </c>
      <c r="F152" t="str">
        <f t="shared" si="16"/>
        <v>mg/kg</v>
      </c>
      <c r="G152">
        <v>12</v>
      </c>
      <c r="H152" t="s">
        <v>115</v>
      </c>
      <c r="I152" t="s">
        <v>663</v>
      </c>
      <c r="J152">
        <v>0</v>
      </c>
      <c r="K152">
        <v>1</v>
      </c>
      <c r="M152" t="s">
        <v>655</v>
      </c>
      <c r="N152">
        <v>30</v>
      </c>
      <c r="O152" t="s">
        <v>664</v>
      </c>
      <c r="P152">
        <v>67.5</v>
      </c>
    </row>
    <row r="153" spans="1:18" x14ac:dyDescent="0.3">
      <c r="A153" t="s">
        <v>734</v>
      </c>
      <c r="B153" t="s">
        <v>48</v>
      </c>
      <c r="C153" t="s">
        <v>50</v>
      </c>
      <c r="D153" t="s">
        <v>51</v>
      </c>
      <c r="E153">
        <f t="shared" si="15"/>
        <v>12</v>
      </c>
      <c r="F153" t="str">
        <f t="shared" si="16"/>
        <v>mg/kg</v>
      </c>
      <c r="G153">
        <v>12</v>
      </c>
      <c r="H153" t="s">
        <v>115</v>
      </c>
      <c r="I153" t="s">
        <v>663</v>
      </c>
      <c r="J153">
        <v>0</v>
      </c>
      <c r="K153">
        <v>4</v>
      </c>
      <c r="L153">
        <v>24</v>
      </c>
      <c r="M153" t="s">
        <v>655</v>
      </c>
      <c r="N153">
        <v>30</v>
      </c>
      <c r="O153" t="s">
        <v>664</v>
      </c>
      <c r="P153">
        <v>67.5</v>
      </c>
    </row>
    <row r="154" spans="1:18" x14ac:dyDescent="0.3">
      <c r="A154" t="s">
        <v>735</v>
      </c>
      <c r="B154" t="s">
        <v>48</v>
      </c>
      <c r="C154" t="s">
        <v>50</v>
      </c>
      <c r="D154" t="s">
        <v>51</v>
      </c>
      <c r="E154">
        <f t="shared" si="15"/>
        <v>12</v>
      </c>
      <c r="F154" t="str">
        <f t="shared" si="16"/>
        <v>mg/kg</v>
      </c>
      <c r="G154">
        <v>12</v>
      </c>
      <c r="H154" t="s">
        <v>115</v>
      </c>
      <c r="I154" t="s">
        <v>663</v>
      </c>
      <c r="J154">
        <v>0</v>
      </c>
      <c r="K154">
        <v>14</v>
      </c>
      <c r="L154">
        <v>24</v>
      </c>
      <c r="M154" t="s">
        <v>655</v>
      </c>
      <c r="N154">
        <v>30</v>
      </c>
      <c r="O154" t="s">
        <v>664</v>
      </c>
      <c r="P154">
        <v>67.5</v>
      </c>
    </row>
    <row r="155" spans="1:18" x14ac:dyDescent="0.3">
      <c r="A155" t="s">
        <v>736</v>
      </c>
      <c r="B155" t="s">
        <v>335</v>
      </c>
      <c r="C155" t="s">
        <v>339</v>
      </c>
      <c r="D155" t="s">
        <v>340</v>
      </c>
      <c r="E155">
        <f t="shared" si="15"/>
        <v>5.6167942147019589</v>
      </c>
      <c r="F155" t="str">
        <f t="shared" si="16"/>
        <v>mg/kg</v>
      </c>
      <c r="G155">
        <v>400</v>
      </c>
      <c r="H155" t="s">
        <v>22</v>
      </c>
      <c r="I155" t="s">
        <v>23</v>
      </c>
      <c r="J155">
        <v>0</v>
      </c>
      <c r="K155">
        <v>1</v>
      </c>
      <c r="M155" t="s">
        <v>655</v>
      </c>
      <c r="P155">
        <f t="shared" ref="P155" si="17">(73.54+68.89)/2</f>
        <v>71.215000000000003</v>
      </c>
      <c r="Q155" t="b">
        <v>1</v>
      </c>
    </row>
    <row r="156" spans="1:18" x14ac:dyDescent="0.3">
      <c r="A156" t="s">
        <v>737</v>
      </c>
      <c r="B156" t="s">
        <v>184</v>
      </c>
      <c r="C156" t="s">
        <v>188</v>
      </c>
      <c r="D156" t="s">
        <v>189</v>
      </c>
      <c r="E156">
        <f t="shared" si="15"/>
        <v>5.0568900126422252</v>
      </c>
      <c r="F156" t="str">
        <f t="shared" si="16"/>
        <v>mg/kg</v>
      </c>
      <c r="G156">
        <v>400</v>
      </c>
      <c r="H156" t="s">
        <v>22</v>
      </c>
      <c r="I156" t="s">
        <v>23</v>
      </c>
      <c r="J156">
        <v>0</v>
      </c>
      <c r="K156">
        <v>1</v>
      </c>
      <c r="M156" t="s">
        <v>655</v>
      </c>
      <c r="P156">
        <v>79.099999999999994</v>
      </c>
      <c r="Q156" t="b">
        <v>0</v>
      </c>
    </row>
    <row r="157" spans="1:18" x14ac:dyDescent="0.3">
      <c r="A157" t="s">
        <v>738</v>
      </c>
      <c r="B157" t="s">
        <v>184</v>
      </c>
      <c r="C157" t="s">
        <v>188</v>
      </c>
      <c r="D157" t="s">
        <v>189</v>
      </c>
      <c r="E157">
        <f t="shared" si="15"/>
        <v>5.0568900126422252</v>
      </c>
      <c r="F157" t="str">
        <f t="shared" si="16"/>
        <v>mg/kg</v>
      </c>
      <c r="G157">
        <v>400</v>
      </c>
      <c r="H157" t="s">
        <v>22</v>
      </c>
      <c r="I157" t="s">
        <v>23</v>
      </c>
      <c r="J157">
        <v>0</v>
      </c>
      <c r="K157">
        <v>9</v>
      </c>
      <c r="L157">
        <v>12</v>
      </c>
      <c r="M157" t="s">
        <v>655</v>
      </c>
      <c r="P157">
        <v>79.099999999999994</v>
      </c>
      <c r="Q157" t="b">
        <v>0</v>
      </c>
    </row>
    <row r="158" spans="1:18" x14ac:dyDescent="0.3">
      <c r="A158" t="s">
        <v>739</v>
      </c>
      <c r="B158" t="s">
        <v>346</v>
      </c>
      <c r="C158" t="s">
        <v>350</v>
      </c>
      <c r="D158" t="s">
        <v>351</v>
      </c>
      <c r="E158">
        <f t="shared" ref="E158" si="18">IF(EXACT(H158, "mg"), G158/P158,G158)</f>
        <v>14.705882352941176</v>
      </c>
      <c r="F158" t="str">
        <f t="shared" ref="F158" si="19">IF(EXACT(H158, "mg"), "mg/kg", H158)</f>
        <v>mg/kg</v>
      </c>
      <c r="G158">
        <v>1000</v>
      </c>
      <c r="H158" t="s">
        <v>22</v>
      </c>
      <c r="I158" t="s">
        <v>663</v>
      </c>
      <c r="J158">
        <v>0</v>
      </c>
      <c r="K158">
        <v>1</v>
      </c>
      <c r="M158" t="s">
        <v>655</v>
      </c>
      <c r="N158">
        <v>5</v>
      </c>
      <c r="O158" t="s">
        <v>664</v>
      </c>
      <c r="P158">
        <v>68</v>
      </c>
      <c r="Q158" t="b">
        <v>0</v>
      </c>
    </row>
    <row r="159" spans="1:18" x14ac:dyDescent="0.3">
      <c r="A159" t="s">
        <v>740</v>
      </c>
      <c r="B159" t="s">
        <v>353</v>
      </c>
      <c r="C159" t="s">
        <v>356</v>
      </c>
      <c r="D159" t="s">
        <v>357</v>
      </c>
      <c r="E159">
        <f t="shared" si="15"/>
        <v>5.2966101694915251</v>
      </c>
      <c r="F159" t="str">
        <f t="shared" si="16"/>
        <v>mg/kg</v>
      </c>
      <c r="G159">
        <v>500</v>
      </c>
      <c r="H159" t="s">
        <v>22</v>
      </c>
      <c r="I159" t="s">
        <v>663</v>
      </c>
      <c r="J159">
        <v>0</v>
      </c>
      <c r="K159">
        <v>1</v>
      </c>
      <c r="M159" t="s">
        <v>655</v>
      </c>
      <c r="N159">
        <v>1</v>
      </c>
      <c r="O159" t="s">
        <v>655</v>
      </c>
      <c r="P159">
        <v>94.4</v>
      </c>
      <c r="Q159" t="b">
        <v>0</v>
      </c>
      <c r="R159" t="s">
        <v>889</v>
      </c>
    </row>
    <row r="160" spans="1:18" x14ac:dyDescent="0.3">
      <c r="A160" t="s">
        <v>741</v>
      </c>
      <c r="B160" t="s">
        <v>353</v>
      </c>
      <c r="C160" t="s">
        <v>356</v>
      </c>
      <c r="D160" t="s">
        <v>357</v>
      </c>
      <c r="E160">
        <f t="shared" ref="E160" si="20">IF(EXACT(H160, "mg"), G160/P160,G160)</f>
        <v>5.2966101694915251</v>
      </c>
      <c r="F160" t="str">
        <f t="shared" ref="F160" si="21">IF(EXACT(H160, "mg"), "mg/kg", H160)</f>
        <v>mg/kg</v>
      </c>
      <c r="G160">
        <v>500</v>
      </c>
      <c r="H160" t="s">
        <v>22</v>
      </c>
      <c r="I160" t="s">
        <v>663</v>
      </c>
      <c r="J160">
        <v>0</v>
      </c>
      <c r="K160">
        <v>1</v>
      </c>
      <c r="M160" t="s">
        <v>655</v>
      </c>
      <c r="N160">
        <v>1</v>
      </c>
      <c r="O160" t="s">
        <v>655</v>
      </c>
      <c r="P160">
        <v>94.4</v>
      </c>
      <c r="Q160" t="b">
        <v>0</v>
      </c>
      <c r="R160" t="s">
        <v>889</v>
      </c>
    </row>
    <row r="161" spans="1:18" x14ac:dyDescent="0.3">
      <c r="A161" t="s">
        <v>741</v>
      </c>
      <c r="B161" t="s">
        <v>353</v>
      </c>
      <c r="C161" t="s">
        <v>356</v>
      </c>
      <c r="D161" t="s">
        <v>357</v>
      </c>
      <c r="E161">
        <f t="shared" si="15"/>
        <v>5.2966101694915251</v>
      </c>
      <c r="F161" t="str">
        <f t="shared" si="16"/>
        <v>mg/kg</v>
      </c>
      <c r="G161">
        <v>500</v>
      </c>
      <c r="H161" t="s">
        <v>22</v>
      </c>
      <c r="I161" t="s">
        <v>663</v>
      </c>
      <c r="J161">
        <f>3*24</f>
        <v>72</v>
      </c>
      <c r="K161">
        <v>7</v>
      </c>
      <c r="L161">
        <v>24</v>
      </c>
      <c r="M161" t="s">
        <v>655</v>
      </c>
      <c r="N161">
        <v>1</v>
      </c>
      <c r="O161" t="s">
        <v>655</v>
      </c>
      <c r="P161">
        <v>94.4</v>
      </c>
      <c r="Q161" t="b">
        <v>0</v>
      </c>
      <c r="R161" t="s">
        <v>889</v>
      </c>
    </row>
    <row r="162" spans="1:18" x14ac:dyDescent="0.3">
      <c r="A162" t="s">
        <v>742</v>
      </c>
      <c r="B162" t="s">
        <v>353</v>
      </c>
      <c r="C162" t="s">
        <v>356</v>
      </c>
      <c r="D162" t="s">
        <v>357</v>
      </c>
      <c r="E162">
        <f t="shared" si="15"/>
        <v>6.6225165562913908</v>
      </c>
      <c r="F162" t="str">
        <f t="shared" si="16"/>
        <v>mg/kg</v>
      </c>
      <c r="G162">
        <v>500</v>
      </c>
      <c r="H162" t="s">
        <v>22</v>
      </c>
      <c r="I162" t="s">
        <v>23</v>
      </c>
      <c r="J162">
        <v>0</v>
      </c>
      <c r="K162">
        <v>1</v>
      </c>
      <c r="M162" t="s">
        <v>655</v>
      </c>
      <c r="P162">
        <v>75.5</v>
      </c>
      <c r="Q162" t="b">
        <v>0</v>
      </c>
      <c r="R162" t="s">
        <v>889</v>
      </c>
    </row>
    <row r="163" spans="1:18" x14ac:dyDescent="0.3">
      <c r="A163" t="s">
        <v>1098</v>
      </c>
      <c r="B163" t="s">
        <v>353</v>
      </c>
      <c r="C163" t="s">
        <v>356</v>
      </c>
      <c r="D163" t="s">
        <v>357</v>
      </c>
      <c r="E163">
        <f t="shared" ref="E163" si="22">IF(EXACT(H163, "mg"), G163/P163,G163)</f>
        <v>6.6225165562913908</v>
      </c>
      <c r="F163" t="str">
        <f t="shared" ref="F163" si="23">IF(EXACT(H163, "mg"), "mg/kg", H163)</f>
        <v>mg/kg</v>
      </c>
      <c r="G163">
        <v>500</v>
      </c>
      <c r="H163" t="s">
        <v>22</v>
      </c>
      <c r="I163" t="s">
        <v>23</v>
      </c>
      <c r="J163">
        <v>0</v>
      </c>
      <c r="K163">
        <v>1</v>
      </c>
      <c r="M163" t="s">
        <v>655</v>
      </c>
      <c r="P163">
        <v>75.5</v>
      </c>
      <c r="Q163" t="b">
        <v>0</v>
      </c>
      <c r="R163" t="s">
        <v>889</v>
      </c>
    </row>
    <row r="164" spans="1:18" x14ac:dyDescent="0.3">
      <c r="A164" t="s">
        <v>1098</v>
      </c>
      <c r="B164" t="s">
        <v>353</v>
      </c>
      <c r="C164" t="s">
        <v>356</v>
      </c>
      <c r="D164" t="s">
        <v>357</v>
      </c>
      <c r="E164">
        <f t="shared" si="15"/>
        <v>6.6225165562913908</v>
      </c>
      <c r="F164" t="str">
        <f t="shared" si="16"/>
        <v>mg/kg</v>
      </c>
      <c r="G164">
        <v>500</v>
      </c>
      <c r="H164" t="s">
        <v>22</v>
      </c>
      <c r="I164" t="s">
        <v>23</v>
      </c>
      <c r="J164">
        <f>3*24</f>
        <v>72</v>
      </c>
      <c r="K164">
        <v>7</v>
      </c>
      <c r="L164">
        <v>24</v>
      </c>
      <c r="M164" t="s">
        <v>655</v>
      </c>
      <c r="P164">
        <v>75.5</v>
      </c>
      <c r="Q164" t="b">
        <v>0</v>
      </c>
      <c r="R164" t="s">
        <v>889</v>
      </c>
    </row>
    <row r="165" spans="1:18" x14ac:dyDescent="0.3">
      <c r="A165" t="s">
        <v>743</v>
      </c>
      <c r="B165" t="s">
        <v>184</v>
      </c>
      <c r="C165" t="s">
        <v>188</v>
      </c>
      <c r="D165" t="s">
        <v>189</v>
      </c>
      <c r="E165">
        <f t="shared" si="15"/>
        <v>6.4724919093851137</v>
      </c>
      <c r="F165" t="str">
        <f t="shared" si="16"/>
        <v>mg/kg</v>
      </c>
      <c r="G165">
        <v>400</v>
      </c>
      <c r="H165" t="s">
        <v>22</v>
      </c>
      <c r="I165" t="s">
        <v>23</v>
      </c>
      <c r="J165">
        <v>0</v>
      </c>
      <c r="K165">
        <v>1</v>
      </c>
      <c r="M165" t="s">
        <v>655</v>
      </c>
      <c r="P165">
        <v>61.8</v>
      </c>
      <c r="Q165" t="b">
        <v>0</v>
      </c>
    </row>
    <row r="166" spans="1:18" x14ac:dyDescent="0.3">
      <c r="A166" t="s">
        <v>1100</v>
      </c>
      <c r="B166" t="s">
        <v>364</v>
      </c>
      <c r="C166" t="s">
        <v>368</v>
      </c>
      <c r="D166" t="s">
        <v>369</v>
      </c>
      <c r="E166" s="2">
        <f t="shared" si="15"/>
        <v>2.7397260273972601</v>
      </c>
      <c r="F166" t="str">
        <f t="shared" si="16"/>
        <v>mg/kg</v>
      </c>
      <c r="G166">
        <v>200</v>
      </c>
      <c r="H166" t="s">
        <v>22</v>
      </c>
      <c r="I166" t="s">
        <v>23</v>
      </c>
      <c r="J166">
        <v>0</v>
      </c>
      <c r="K166">
        <v>1</v>
      </c>
      <c r="M166" t="s">
        <v>655</v>
      </c>
      <c r="P166" s="2">
        <v>73</v>
      </c>
      <c r="Q166" t="b">
        <v>0</v>
      </c>
    </row>
    <row r="167" spans="1:18" x14ac:dyDescent="0.3">
      <c r="A167" t="s">
        <v>744</v>
      </c>
      <c r="B167" t="s">
        <v>364</v>
      </c>
      <c r="C167" t="s">
        <v>368</v>
      </c>
      <c r="D167" t="s">
        <v>369</v>
      </c>
      <c r="E167" s="2">
        <f t="shared" si="15"/>
        <v>2.7397260273972601</v>
      </c>
      <c r="F167" t="str">
        <f t="shared" si="16"/>
        <v>mg/kg</v>
      </c>
      <c r="G167">
        <v>200</v>
      </c>
      <c r="H167" t="s">
        <v>22</v>
      </c>
      <c r="I167" t="s">
        <v>23</v>
      </c>
      <c r="J167">
        <v>0</v>
      </c>
      <c r="K167">
        <v>1</v>
      </c>
      <c r="M167" t="s">
        <v>655</v>
      </c>
      <c r="P167" s="2">
        <v>73</v>
      </c>
      <c r="Q167" t="b">
        <v>0</v>
      </c>
    </row>
    <row r="168" spans="1:18" x14ac:dyDescent="0.3">
      <c r="A168" t="s">
        <v>1102</v>
      </c>
      <c r="B168" t="s">
        <v>364</v>
      </c>
      <c r="C168" t="s">
        <v>368</v>
      </c>
      <c r="D168" t="s">
        <v>369</v>
      </c>
      <c r="E168" s="2">
        <f t="shared" si="15"/>
        <v>2.7397260273972601</v>
      </c>
      <c r="F168" t="str">
        <f t="shared" si="16"/>
        <v>mg/kg</v>
      </c>
      <c r="G168">
        <v>200</v>
      </c>
      <c r="H168" t="s">
        <v>22</v>
      </c>
      <c r="I168" t="s">
        <v>23</v>
      </c>
      <c r="J168">
        <v>0</v>
      </c>
      <c r="K168">
        <v>1</v>
      </c>
      <c r="M168" t="s">
        <v>655</v>
      </c>
      <c r="P168" s="2">
        <v>73</v>
      </c>
      <c r="Q168" t="b">
        <v>1</v>
      </c>
    </row>
    <row r="169" spans="1:18" x14ac:dyDescent="0.3">
      <c r="A169" t="s">
        <v>745</v>
      </c>
      <c r="B169" t="s">
        <v>364</v>
      </c>
      <c r="C169" t="s">
        <v>368</v>
      </c>
      <c r="D169" t="s">
        <v>369</v>
      </c>
      <c r="E169">
        <f t="shared" si="15"/>
        <v>2.6801413021953233</v>
      </c>
      <c r="F169" t="str">
        <f t="shared" si="16"/>
        <v>mg/kg</v>
      </c>
      <c r="G169">
        <v>200</v>
      </c>
      <c r="H169" t="s">
        <v>22</v>
      </c>
      <c r="I169" t="s">
        <v>23</v>
      </c>
      <c r="J169">
        <v>0</v>
      </c>
      <c r="K169">
        <v>1</v>
      </c>
      <c r="M169" t="s">
        <v>655</v>
      </c>
      <c r="P169">
        <f xml:space="preserve"> 25.7 * 1.704^2</f>
        <v>74.622931199999996</v>
      </c>
    </row>
    <row r="170" spans="1:18" x14ac:dyDescent="0.3">
      <c r="A170" t="s">
        <v>746</v>
      </c>
      <c r="B170" t="s">
        <v>364</v>
      </c>
      <c r="C170" t="s">
        <v>368</v>
      </c>
      <c r="D170" t="s">
        <v>369</v>
      </c>
      <c r="E170">
        <f t="shared" si="15"/>
        <v>2.6801413021953233</v>
      </c>
      <c r="F170" t="str">
        <f t="shared" ref="F170" si="24">IF(EXACT(H170, "mg"), "mg/kg", H170)</f>
        <v>mg/kg</v>
      </c>
      <c r="G170">
        <v>200</v>
      </c>
      <c r="H170" t="s">
        <v>22</v>
      </c>
      <c r="I170" t="s">
        <v>23</v>
      </c>
      <c r="J170">
        <v>0</v>
      </c>
      <c r="K170">
        <v>1</v>
      </c>
      <c r="M170" t="s">
        <v>655</v>
      </c>
      <c r="P170">
        <f xml:space="preserve"> 25.7 * 1.704^2</f>
        <v>74.622931199999996</v>
      </c>
      <c r="R170" t="s">
        <v>1184</v>
      </c>
    </row>
    <row r="171" spans="1:18" x14ac:dyDescent="0.3">
      <c r="A171" t="s">
        <v>746</v>
      </c>
      <c r="B171" t="s">
        <v>364</v>
      </c>
      <c r="C171" t="s">
        <v>368</v>
      </c>
      <c r="D171" t="s">
        <v>369</v>
      </c>
      <c r="E171">
        <f t="shared" si="15"/>
        <v>2.6801413021953233</v>
      </c>
      <c r="F171" t="str">
        <f t="shared" si="16"/>
        <v>mg/kg</v>
      </c>
      <c r="G171">
        <v>200</v>
      </c>
      <c r="H171" t="s">
        <v>22</v>
      </c>
      <c r="I171" t="s">
        <v>23</v>
      </c>
      <c r="J171">
        <v>24</v>
      </c>
      <c r="K171">
        <v>2</v>
      </c>
      <c r="L171">
        <v>24</v>
      </c>
      <c r="M171" t="s">
        <v>655</v>
      </c>
      <c r="P171">
        <f xml:space="preserve"> 25.7 * 1.704^2</f>
        <v>74.622931199999996</v>
      </c>
      <c r="R171" t="s">
        <v>1184</v>
      </c>
    </row>
    <row r="172" spans="1:18" x14ac:dyDescent="0.3">
      <c r="A172" t="s">
        <v>747</v>
      </c>
      <c r="B172" t="s">
        <v>364</v>
      </c>
      <c r="C172" t="s">
        <v>368</v>
      </c>
      <c r="D172" t="s">
        <v>369</v>
      </c>
      <c r="E172">
        <f t="shared" si="15"/>
        <v>5.3395063152263411</v>
      </c>
      <c r="F172" t="str">
        <f t="shared" si="16"/>
        <v>mg/kg</v>
      </c>
      <c r="G172">
        <v>400</v>
      </c>
      <c r="H172" t="s">
        <v>22</v>
      </c>
      <c r="I172" t="s">
        <v>23</v>
      </c>
      <c r="J172">
        <v>0</v>
      </c>
      <c r="K172">
        <v>1</v>
      </c>
      <c r="M172" t="s">
        <v>655</v>
      </c>
      <c r="P172">
        <f t="shared" ref="P172:P174" si="25" xml:space="preserve"> 25.8 * 1.704^2</f>
        <v>74.913292800000008</v>
      </c>
    </row>
    <row r="173" spans="1:18" x14ac:dyDescent="0.3">
      <c r="A173" t="s">
        <v>748</v>
      </c>
      <c r="B173" t="s">
        <v>364</v>
      </c>
      <c r="C173" t="s">
        <v>368</v>
      </c>
      <c r="D173" t="s">
        <v>369</v>
      </c>
      <c r="E173">
        <f t="shared" si="15"/>
        <v>5.3395063152263411</v>
      </c>
      <c r="F173" t="str">
        <f t="shared" ref="F173" si="26">IF(EXACT(H173, "mg"), "mg/kg", H173)</f>
        <v>mg/kg</v>
      </c>
      <c r="G173">
        <v>400</v>
      </c>
      <c r="H173" t="s">
        <v>22</v>
      </c>
      <c r="I173" t="s">
        <v>23</v>
      </c>
      <c r="J173">
        <v>0</v>
      </c>
      <c r="K173">
        <v>1</v>
      </c>
      <c r="M173" t="s">
        <v>655</v>
      </c>
      <c r="P173">
        <f t="shared" si="25"/>
        <v>74.913292800000008</v>
      </c>
      <c r="R173" t="s">
        <v>892</v>
      </c>
    </row>
    <row r="174" spans="1:18" x14ac:dyDescent="0.3">
      <c r="A174" t="s">
        <v>748</v>
      </c>
      <c r="B174" t="s">
        <v>364</v>
      </c>
      <c r="C174" t="s">
        <v>368</v>
      </c>
      <c r="D174" t="s">
        <v>369</v>
      </c>
      <c r="E174">
        <f t="shared" si="15"/>
        <v>2.6697531576131706</v>
      </c>
      <c r="F174" t="str">
        <f t="shared" si="16"/>
        <v>mg/kg</v>
      </c>
      <c r="G174">
        <v>200</v>
      </c>
      <c r="H174" t="s">
        <v>22</v>
      </c>
      <c r="I174" t="s">
        <v>23</v>
      </c>
      <c r="J174">
        <v>24</v>
      </c>
      <c r="K174">
        <v>4</v>
      </c>
      <c r="L174">
        <v>12</v>
      </c>
      <c r="M174" t="s">
        <v>655</v>
      </c>
      <c r="P174">
        <f t="shared" si="25"/>
        <v>74.913292800000008</v>
      </c>
      <c r="R174" t="s">
        <v>892</v>
      </c>
    </row>
    <row r="175" spans="1:18" x14ac:dyDescent="0.3">
      <c r="A175" t="s">
        <v>749</v>
      </c>
      <c r="B175" t="s">
        <v>386</v>
      </c>
      <c r="C175" t="s">
        <v>390</v>
      </c>
      <c r="D175" t="s">
        <v>391</v>
      </c>
      <c r="E175">
        <f t="shared" si="15"/>
        <v>5.7077625570776256</v>
      </c>
      <c r="F175" t="str">
        <f t="shared" si="16"/>
        <v>mg/kg</v>
      </c>
      <c r="G175">
        <v>500</v>
      </c>
      <c r="H175" t="s">
        <v>22</v>
      </c>
      <c r="I175" t="s">
        <v>663</v>
      </c>
      <c r="J175">
        <v>0</v>
      </c>
      <c r="K175">
        <v>1</v>
      </c>
      <c r="M175" t="s">
        <v>655</v>
      </c>
      <c r="N175">
        <v>1</v>
      </c>
      <c r="O175" t="s">
        <v>655</v>
      </c>
      <c r="P175">
        <v>87.6</v>
      </c>
      <c r="Q175" t="b">
        <v>0</v>
      </c>
    </row>
    <row r="176" spans="1:18" x14ac:dyDescent="0.3">
      <c r="A176" t="s">
        <v>750</v>
      </c>
      <c r="B176" t="s">
        <v>392</v>
      </c>
      <c r="C176" t="s">
        <v>396</v>
      </c>
      <c r="D176" t="s">
        <v>1175</v>
      </c>
      <c r="E176">
        <f t="shared" si="15"/>
        <v>1</v>
      </c>
      <c r="F176" t="str">
        <f t="shared" si="16"/>
        <v>mg/kg</v>
      </c>
      <c r="G176">
        <v>1</v>
      </c>
      <c r="H176" t="s">
        <v>115</v>
      </c>
      <c r="I176" t="s">
        <v>23</v>
      </c>
      <c r="J176" s="2">
        <v>0</v>
      </c>
      <c r="K176" s="2">
        <v>1</v>
      </c>
      <c r="M176" t="s">
        <v>655</v>
      </c>
      <c r="P176" s="2">
        <v>73</v>
      </c>
    </row>
    <row r="177" spans="1:17" x14ac:dyDescent="0.3">
      <c r="A177" t="s">
        <v>751</v>
      </c>
      <c r="B177" t="s">
        <v>398</v>
      </c>
      <c r="C177" t="s">
        <v>402</v>
      </c>
      <c r="D177" t="s">
        <v>403</v>
      </c>
      <c r="E177" s="2">
        <f t="shared" si="15"/>
        <v>5.4794520547945202</v>
      </c>
      <c r="F177" t="str">
        <f t="shared" si="16"/>
        <v>mg/kg</v>
      </c>
      <c r="G177">
        <v>400</v>
      </c>
      <c r="H177" t="s">
        <v>22</v>
      </c>
      <c r="I177" s="2" t="s">
        <v>23</v>
      </c>
      <c r="J177">
        <v>0</v>
      </c>
      <c r="K177">
        <v>1</v>
      </c>
      <c r="M177" t="s">
        <v>655</v>
      </c>
      <c r="P177" s="2">
        <v>73</v>
      </c>
    </row>
    <row r="178" spans="1:17" x14ac:dyDescent="0.3">
      <c r="A178" t="s">
        <v>752</v>
      </c>
      <c r="B178" t="s">
        <v>404</v>
      </c>
      <c r="C178" t="s">
        <v>406</v>
      </c>
      <c r="D178" t="s">
        <v>1177</v>
      </c>
      <c r="E178" s="2">
        <f t="shared" si="15"/>
        <v>0.34246575342465752</v>
      </c>
      <c r="F178" t="str">
        <f t="shared" ref="F178:F204" si="27">IF(EXACT(H178, "mg"), "mg/kg", H178)</f>
        <v>mg/kg</v>
      </c>
      <c r="G178">
        <v>25</v>
      </c>
      <c r="H178" t="s">
        <v>22</v>
      </c>
      <c r="I178" t="s">
        <v>23</v>
      </c>
      <c r="J178">
        <v>0</v>
      </c>
      <c r="K178">
        <v>1</v>
      </c>
      <c r="M178" t="s">
        <v>655</v>
      </c>
      <c r="P178" s="2">
        <v>73</v>
      </c>
      <c r="Q178" t="b">
        <v>0</v>
      </c>
    </row>
    <row r="179" spans="1:17" x14ac:dyDescent="0.3">
      <c r="A179" t="s">
        <v>1104</v>
      </c>
      <c r="B179" t="s">
        <v>404</v>
      </c>
      <c r="C179" t="s">
        <v>406</v>
      </c>
      <c r="D179" t="s">
        <v>1177</v>
      </c>
      <c r="E179" s="2">
        <f t="shared" si="15"/>
        <v>0.68493150684931503</v>
      </c>
      <c r="F179" t="str">
        <f t="shared" si="27"/>
        <v>mg/kg</v>
      </c>
      <c r="G179">
        <v>50</v>
      </c>
      <c r="H179" t="s">
        <v>22</v>
      </c>
      <c r="I179" t="s">
        <v>23</v>
      </c>
      <c r="J179">
        <v>0</v>
      </c>
      <c r="K179">
        <v>1</v>
      </c>
      <c r="M179" t="s">
        <v>655</v>
      </c>
      <c r="P179" s="2">
        <v>73</v>
      </c>
      <c r="Q179" t="b">
        <v>0</v>
      </c>
    </row>
    <row r="180" spans="1:17" x14ac:dyDescent="0.3">
      <c r="A180" t="s">
        <v>753</v>
      </c>
      <c r="B180" t="s">
        <v>404</v>
      </c>
      <c r="C180" t="s">
        <v>406</v>
      </c>
      <c r="D180" t="s">
        <v>1177</v>
      </c>
      <c r="E180" s="2">
        <f t="shared" si="15"/>
        <v>1.3698630136986301</v>
      </c>
      <c r="F180" t="str">
        <f t="shared" si="27"/>
        <v>mg/kg</v>
      </c>
      <c r="G180">
        <v>100</v>
      </c>
      <c r="H180" t="s">
        <v>22</v>
      </c>
      <c r="I180" t="s">
        <v>23</v>
      </c>
      <c r="J180">
        <v>0</v>
      </c>
      <c r="K180">
        <v>1</v>
      </c>
      <c r="M180" t="s">
        <v>655</v>
      </c>
      <c r="P180" s="2">
        <v>73</v>
      </c>
      <c r="Q180" t="b">
        <v>0</v>
      </c>
    </row>
    <row r="181" spans="1:17" x14ac:dyDescent="0.3">
      <c r="A181" t="s">
        <v>1106</v>
      </c>
      <c r="B181" t="s">
        <v>404</v>
      </c>
      <c r="C181" t="s">
        <v>406</v>
      </c>
      <c r="D181" t="s">
        <v>1177</v>
      </c>
      <c r="E181" s="2">
        <f t="shared" si="15"/>
        <v>2.7397260273972601</v>
      </c>
      <c r="F181" t="str">
        <f t="shared" si="27"/>
        <v>mg/kg</v>
      </c>
      <c r="G181">
        <v>200</v>
      </c>
      <c r="H181" t="s">
        <v>22</v>
      </c>
      <c r="I181" t="s">
        <v>23</v>
      </c>
      <c r="J181">
        <v>0</v>
      </c>
      <c r="K181">
        <v>1</v>
      </c>
      <c r="M181" t="s">
        <v>655</v>
      </c>
      <c r="P181" s="2">
        <v>73</v>
      </c>
      <c r="Q181" t="b">
        <v>0</v>
      </c>
    </row>
    <row r="182" spans="1:17" x14ac:dyDescent="0.3">
      <c r="A182" t="s">
        <v>754</v>
      </c>
      <c r="B182" t="s">
        <v>404</v>
      </c>
      <c r="C182" t="s">
        <v>406</v>
      </c>
      <c r="D182" t="s">
        <v>1177</v>
      </c>
      <c r="E182" s="2">
        <f t="shared" si="15"/>
        <v>5.4794520547945202</v>
      </c>
      <c r="F182" t="str">
        <f t="shared" si="27"/>
        <v>mg/kg</v>
      </c>
      <c r="G182">
        <v>400</v>
      </c>
      <c r="H182" t="s">
        <v>22</v>
      </c>
      <c r="I182" t="s">
        <v>23</v>
      </c>
      <c r="J182">
        <v>0</v>
      </c>
      <c r="K182">
        <v>1</v>
      </c>
      <c r="M182" t="s">
        <v>655</v>
      </c>
      <c r="P182" s="2">
        <v>73</v>
      </c>
      <c r="Q182" t="b">
        <v>0</v>
      </c>
    </row>
    <row r="183" spans="1:17" ht="13.8" customHeight="1" x14ac:dyDescent="0.3">
      <c r="A183" t="s">
        <v>1108</v>
      </c>
      <c r="B183" t="s">
        <v>404</v>
      </c>
      <c r="C183" t="s">
        <v>406</v>
      </c>
      <c r="D183" t="s">
        <v>1177</v>
      </c>
      <c r="E183" s="2">
        <f t="shared" si="15"/>
        <v>10.95890410958904</v>
      </c>
      <c r="F183" t="str">
        <f t="shared" si="27"/>
        <v>mg/kg</v>
      </c>
      <c r="G183">
        <v>800</v>
      </c>
      <c r="H183" t="s">
        <v>22</v>
      </c>
      <c r="I183" t="s">
        <v>23</v>
      </c>
      <c r="J183">
        <v>0</v>
      </c>
      <c r="K183">
        <v>1</v>
      </c>
      <c r="M183" t="s">
        <v>655</v>
      </c>
      <c r="P183" s="2">
        <v>73</v>
      </c>
      <c r="Q183" t="b">
        <v>0</v>
      </c>
    </row>
    <row r="184" spans="1:17" x14ac:dyDescent="0.3">
      <c r="A184" t="s">
        <v>755</v>
      </c>
      <c r="B184" t="s">
        <v>408</v>
      </c>
      <c r="C184" t="s">
        <v>411</v>
      </c>
      <c r="D184" t="s">
        <v>1176</v>
      </c>
      <c r="E184" s="2">
        <f t="shared" si="15"/>
        <v>10.95890410958904</v>
      </c>
      <c r="F184" t="str">
        <f t="shared" si="27"/>
        <v>mg/kg</v>
      </c>
      <c r="G184">
        <v>800</v>
      </c>
      <c r="H184" t="s">
        <v>22</v>
      </c>
      <c r="I184" t="s">
        <v>23</v>
      </c>
      <c r="J184">
        <v>0</v>
      </c>
      <c r="K184">
        <v>1</v>
      </c>
      <c r="M184" t="s">
        <v>655</v>
      </c>
      <c r="P184" s="2">
        <v>73</v>
      </c>
      <c r="Q184" t="b">
        <v>1</v>
      </c>
    </row>
    <row r="185" spans="1:17" x14ac:dyDescent="0.3">
      <c r="A185" t="s">
        <v>1110</v>
      </c>
      <c r="B185" t="s">
        <v>412</v>
      </c>
      <c r="C185" t="s">
        <v>414</v>
      </c>
      <c r="D185" t="s">
        <v>415</v>
      </c>
      <c r="E185" s="2">
        <f t="shared" si="15"/>
        <v>10.95890410958904</v>
      </c>
      <c r="F185" t="str">
        <f t="shared" si="27"/>
        <v>mg/kg</v>
      </c>
      <c r="G185">
        <v>800</v>
      </c>
      <c r="H185" t="s">
        <v>22</v>
      </c>
      <c r="I185" t="s">
        <v>23</v>
      </c>
      <c r="J185">
        <v>0</v>
      </c>
      <c r="K185">
        <v>1</v>
      </c>
      <c r="M185" t="s">
        <v>655</v>
      </c>
      <c r="P185" s="2">
        <v>73</v>
      </c>
      <c r="Q185" t="b">
        <v>0</v>
      </c>
    </row>
    <row r="186" spans="1:17" x14ac:dyDescent="0.3">
      <c r="A186" t="s">
        <v>756</v>
      </c>
      <c r="B186" t="s">
        <v>412</v>
      </c>
      <c r="C186" t="s">
        <v>414</v>
      </c>
      <c r="D186" t="s">
        <v>415</v>
      </c>
      <c r="E186" s="2">
        <f t="shared" si="15"/>
        <v>10.95890410958904</v>
      </c>
      <c r="F186" t="str">
        <f t="shared" si="27"/>
        <v>mg/kg</v>
      </c>
      <c r="G186">
        <v>800</v>
      </c>
      <c r="H186" t="s">
        <v>22</v>
      </c>
      <c r="I186" t="s">
        <v>23</v>
      </c>
      <c r="J186">
        <v>0</v>
      </c>
      <c r="K186">
        <v>5</v>
      </c>
      <c r="L186">
        <v>24</v>
      </c>
      <c r="M186" t="s">
        <v>655</v>
      </c>
      <c r="P186" s="2">
        <v>73</v>
      </c>
      <c r="Q186" t="b">
        <v>0</v>
      </c>
    </row>
    <row r="187" spans="1:17" x14ac:dyDescent="0.3">
      <c r="A187" t="s">
        <v>1112</v>
      </c>
      <c r="B187" t="s">
        <v>412</v>
      </c>
      <c r="C187" t="s">
        <v>414</v>
      </c>
      <c r="D187" t="s">
        <v>415</v>
      </c>
      <c r="E187" s="2">
        <f t="shared" si="15"/>
        <v>10.95890410958904</v>
      </c>
      <c r="F187" t="str">
        <f t="shared" si="27"/>
        <v>mg/kg</v>
      </c>
      <c r="G187">
        <v>800</v>
      </c>
      <c r="H187" t="s">
        <v>22</v>
      </c>
      <c r="I187" t="s">
        <v>23</v>
      </c>
      <c r="J187">
        <v>0</v>
      </c>
      <c r="K187">
        <v>8</v>
      </c>
      <c r="L187">
        <v>24</v>
      </c>
      <c r="M187" t="s">
        <v>655</v>
      </c>
      <c r="P187" s="2">
        <v>73</v>
      </c>
      <c r="Q187" t="b">
        <v>0</v>
      </c>
    </row>
    <row r="188" spans="1:17" x14ac:dyDescent="0.3">
      <c r="A188" t="s">
        <v>1114</v>
      </c>
      <c r="B188" t="s">
        <v>412</v>
      </c>
      <c r="C188" t="s">
        <v>414</v>
      </c>
      <c r="D188" t="s">
        <v>415</v>
      </c>
      <c r="E188" s="2">
        <f t="shared" si="15"/>
        <v>13.698630136986301</v>
      </c>
      <c r="F188" t="str">
        <f t="shared" si="27"/>
        <v>mg/kg</v>
      </c>
      <c r="G188">
        <v>1000</v>
      </c>
      <c r="H188" t="s">
        <v>22</v>
      </c>
      <c r="I188" t="s">
        <v>23</v>
      </c>
      <c r="J188">
        <v>0</v>
      </c>
      <c r="K188">
        <v>1</v>
      </c>
      <c r="M188" t="s">
        <v>655</v>
      </c>
      <c r="P188" s="2">
        <v>73</v>
      </c>
      <c r="Q188" t="b">
        <v>0</v>
      </c>
    </row>
    <row r="189" spans="1:17" x14ac:dyDescent="0.3">
      <c r="A189" t="s">
        <v>1116</v>
      </c>
      <c r="B189" t="s">
        <v>412</v>
      </c>
      <c r="C189" t="s">
        <v>414</v>
      </c>
      <c r="D189" t="s">
        <v>415</v>
      </c>
      <c r="E189" s="2">
        <f t="shared" si="15"/>
        <v>13.698630136986301</v>
      </c>
      <c r="F189" t="str">
        <f t="shared" si="27"/>
        <v>mg/kg</v>
      </c>
      <c r="G189">
        <v>1000</v>
      </c>
      <c r="H189" t="s">
        <v>22</v>
      </c>
      <c r="I189" t="s">
        <v>23</v>
      </c>
      <c r="J189">
        <v>0</v>
      </c>
      <c r="K189">
        <v>5</v>
      </c>
      <c r="L189">
        <v>24</v>
      </c>
      <c r="M189" t="s">
        <v>655</v>
      </c>
      <c r="P189" s="2">
        <v>73</v>
      </c>
      <c r="Q189" t="b">
        <v>0</v>
      </c>
    </row>
    <row r="190" spans="1:17" x14ac:dyDescent="0.3">
      <c r="A190" t="s">
        <v>1118</v>
      </c>
      <c r="B190" t="s">
        <v>412</v>
      </c>
      <c r="C190" t="s">
        <v>414</v>
      </c>
      <c r="D190" t="s">
        <v>415</v>
      </c>
      <c r="E190" s="2">
        <f t="shared" si="15"/>
        <v>13.698630136986301</v>
      </c>
      <c r="F190" t="str">
        <f t="shared" si="27"/>
        <v>mg/kg</v>
      </c>
      <c r="G190">
        <v>1000</v>
      </c>
      <c r="H190" t="s">
        <v>22</v>
      </c>
      <c r="I190" t="s">
        <v>23</v>
      </c>
      <c r="J190">
        <v>0</v>
      </c>
      <c r="K190">
        <v>8</v>
      </c>
      <c r="L190">
        <v>24</v>
      </c>
      <c r="M190" t="s">
        <v>655</v>
      </c>
      <c r="P190" s="2">
        <v>73</v>
      </c>
      <c r="Q190" t="b">
        <v>0</v>
      </c>
    </row>
    <row r="191" spans="1:17" x14ac:dyDescent="0.3">
      <c r="A191" t="s">
        <v>1120</v>
      </c>
      <c r="B191" t="s">
        <v>416</v>
      </c>
      <c r="C191" t="s">
        <v>420</v>
      </c>
      <c r="D191" t="s">
        <v>421</v>
      </c>
      <c r="E191" s="2">
        <f t="shared" si="15"/>
        <v>4.1095890410958902E-2</v>
      </c>
      <c r="F191" t="str">
        <f t="shared" si="27"/>
        <v>mg/kg</v>
      </c>
      <c r="G191">
        <v>3</v>
      </c>
      <c r="H191" t="s">
        <v>22</v>
      </c>
      <c r="I191" t="s">
        <v>23</v>
      </c>
      <c r="J191">
        <v>0</v>
      </c>
      <c r="K191">
        <v>1</v>
      </c>
      <c r="M191" t="s">
        <v>655</v>
      </c>
      <c r="P191" s="2">
        <v>73</v>
      </c>
      <c r="Q191" t="b">
        <v>0</v>
      </c>
    </row>
    <row r="192" spans="1:17" x14ac:dyDescent="0.3">
      <c r="A192" t="s">
        <v>1122</v>
      </c>
      <c r="B192" t="s">
        <v>416</v>
      </c>
      <c r="C192" t="s">
        <v>420</v>
      </c>
      <c r="D192" t="s">
        <v>421</v>
      </c>
      <c r="E192" s="2">
        <f t="shared" si="15"/>
        <v>4.1095890410958902E-2</v>
      </c>
      <c r="F192" t="str">
        <f t="shared" si="27"/>
        <v>mg/kg</v>
      </c>
      <c r="G192">
        <v>3</v>
      </c>
      <c r="H192" t="s">
        <v>22</v>
      </c>
      <c r="I192" t="s">
        <v>23</v>
      </c>
      <c r="J192">
        <v>0</v>
      </c>
      <c r="K192">
        <v>1</v>
      </c>
      <c r="M192" t="s">
        <v>655</v>
      </c>
      <c r="P192" s="2">
        <v>73</v>
      </c>
      <c r="Q192" t="b">
        <v>0</v>
      </c>
    </row>
    <row r="193" spans="1:18" x14ac:dyDescent="0.3">
      <c r="A193" t="s">
        <v>1124</v>
      </c>
      <c r="B193" t="s">
        <v>416</v>
      </c>
      <c r="C193" t="s">
        <v>420</v>
      </c>
      <c r="D193" t="s">
        <v>421</v>
      </c>
      <c r="E193" s="2">
        <f t="shared" si="15"/>
        <v>0.13698630136986301</v>
      </c>
      <c r="F193" t="str">
        <f t="shared" si="27"/>
        <v>mg/kg</v>
      </c>
      <c r="G193">
        <v>10</v>
      </c>
      <c r="H193" t="s">
        <v>22</v>
      </c>
      <c r="I193" t="s">
        <v>23</v>
      </c>
      <c r="J193">
        <v>0</v>
      </c>
      <c r="K193">
        <v>1</v>
      </c>
      <c r="M193" t="s">
        <v>655</v>
      </c>
      <c r="P193" s="2">
        <v>73</v>
      </c>
      <c r="Q193" t="b">
        <v>0</v>
      </c>
    </row>
    <row r="194" spans="1:18" x14ac:dyDescent="0.3">
      <c r="A194" t="s">
        <v>1126</v>
      </c>
      <c r="B194" t="s">
        <v>416</v>
      </c>
      <c r="C194" t="s">
        <v>420</v>
      </c>
      <c r="D194" t="s">
        <v>421</v>
      </c>
      <c r="E194" s="2">
        <f t="shared" si="15"/>
        <v>0.41095890410958902</v>
      </c>
      <c r="F194" t="str">
        <f t="shared" si="27"/>
        <v>mg/kg</v>
      </c>
      <c r="G194">
        <v>30</v>
      </c>
      <c r="H194" t="s">
        <v>22</v>
      </c>
      <c r="I194" t="s">
        <v>23</v>
      </c>
      <c r="J194">
        <v>0</v>
      </c>
      <c r="K194">
        <v>1</v>
      </c>
      <c r="M194" t="s">
        <v>655</v>
      </c>
      <c r="P194" s="2">
        <v>73</v>
      </c>
      <c r="Q194" t="b">
        <v>0</v>
      </c>
    </row>
    <row r="195" spans="1:18" x14ac:dyDescent="0.3">
      <c r="A195" t="s">
        <v>1128</v>
      </c>
      <c r="B195" t="s">
        <v>416</v>
      </c>
      <c r="C195" t="s">
        <v>420</v>
      </c>
      <c r="D195" t="s">
        <v>421</v>
      </c>
      <c r="E195" s="2">
        <f t="shared" si="15"/>
        <v>0.82191780821917804</v>
      </c>
      <c r="F195" t="str">
        <f t="shared" si="27"/>
        <v>mg/kg</v>
      </c>
      <c r="G195">
        <v>60</v>
      </c>
      <c r="H195" t="s">
        <v>22</v>
      </c>
      <c r="I195" t="s">
        <v>23</v>
      </c>
      <c r="J195">
        <v>0</v>
      </c>
      <c r="K195">
        <v>1</v>
      </c>
      <c r="M195" t="s">
        <v>655</v>
      </c>
      <c r="P195" s="2">
        <v>73</v>
      </c>
      <c r="Q195" t="b">
        <v>0</v>
      </c>
    </row>
    <row r="196" spans="1:18" x14ac:dyDescent="0.3">
      <c r="A196" t="s">
        <v>1130</v>
      </c>
      <c r="B196" t="s">
        <v>416</v>
      </c>
      <c r="C196" t="s">
        <v>420</v>
      </c>
      <c r="D196" t="s">
        <v>421</v>
      </c>
      <c r="E196" s="2">
        <f t="shared" si="15"/>
        <v>1.3698630136986301</v>
      </c>
      <c r="F196" t="str">
        <f t="shared" si="27"/>
        <v>mg/kg</v>
      </c>
      <c r="G196">
        <v>100</v>
      </c>
      <c r="H196" t="s">
        <v>22</v>
      </c>
      <c r="I196" t="s">
        <v>23</v>
      </c>
      <c r="J196">
        <v>0</v>
      </c>
      <c r="K196">
        <v>1</v>
      </c>
      <c r="M196" t="s">
        <v>655</v>
      </c>
      <c r="P196" s="2">
        <v>73</v>
      </c>
      <c r="Q196" t="b">
        <v>0</v>
      </c>
    </row>
    <row r="197" spans="1:18" x14ac:dyDescent="0.3">
      <c r="A197" t="s">
        <v>1132</v>
      </c>
      <c r="B197" t="s">
        <v>435</v>
      </c>
      <c r="C197" t="s">
        <v>439</v>
      </c>
      <c r="D197" t="s">
        <v>440</v>
      </c>
      <c r="E197">
        <f t="shared" ref="E197:E206" si="28">IF(EXACT(H197, "mg"), G197/P197,G197)</f>
        <v>4.6656298600311041</v>
      </c>
      <c r="F197" t="str">
        <f t="shared" si="27"/>
        <v>mg/kg</v>
      </c>
      <c r="G197">
        <v>300</v>
      </c>
      <c r="H197" t="s">
        <v>22</v>
      </c>
      <c r="I197" t="s">
        <v>23</v>
      </c>
      <c r="J197">
        <v>0</v>
      </c>
      <c r="K197">
        <v>1</v>
      </c>
      <c r="M197" t="s">
        <v>655</v>
      </c>
      <c r="P197">
        <f>0.5*(69.6+59)</f>
        <v>64.3</v>
      </c>
      <c r="Q197" t="b">
        <v>0</v>
      </c>
      <c r="R197" t="s">
        <v>1188</v>
      </c>
    </row>
    <row r="198" spans="1:18" x14ac:dyDescent="0.3">
      <c r="A198" t="s">
        <v>1134</v>
      </c>
      <c r="B198" t="s">
        <v>435</v>
      </c>
      <c r="C198" t="s">
        <v>439</v>
      </c>
      <c r="D198" t="s">
        <v>440</v>
      </c>
      <c r="E198">
        <f t="shared" si="28"/>
        <v>9.3312597200622083</v>
      </c>
      <c r="F198" t="str">
        <f t="shared" si="27"/>
        <v>mg/kg</v>
      </c>
      <c r="G198">
        <v>600</v>
      </c>
      <c r="H198" t="s">
        <v>22</v>
      </c>
      <c r="I198" t="s">
        <v>23</v>
      </c>
      <c r="J198">
        <v>0</v>
      </c>
      <c r="K198">
        <v>1</v>
      </c>
      <c r="M198" t="s">
        <v>655</v>
      </c>
      <c r="P198">
        <f t="shared" ref="P198:P206" si="29">0.5*(69.6+59)</f>
        <v>64.3</v>
      </c>
      <c r="Q198" t="b">
        <v>0</v>
      </c>
      <c r="R198" t="s">
        <v>1188</v>
      </c>
    </row>
    <row r="199" spans="1:18" x14ac:dyDescent="0.3">
      <c r="A199" t="s">
        <v>1136</v>
      </c>
      <c r="B199" t="s">
        <v>435</v>
      </c>
      <c r="C199" t="s">
        <v>439</v>
      </c>
      <c r="D199" t="s">
        <v>440</v>
      </c>
      <c r="E199">
        <f t="shared" si="28"/>
        <v>9.3312597200622083</v>
      </c>
      <c r="F199" t="str">
        <f t="shared" si="27"/>
        <v>mg/kg</v>
      </c>
      <c r="G199">
        <v>600</v>
      </c>
      <c r="H199" t="s">
        <v>22</v>
      </c>
      <c r="I199" t="s">
        <v>23</v>
      </c>
      <c r="J199">
        <v>0</v>
      </c>
      <c r="K199">
        <v>1</v>
      </c>
      <c r="M199" t="s">
        <v>655</v>
      </c>
      <c r="P199">
        <f t="shared" si="29"/>
        <v>64.3</v>
      </c>
      <c r="Q199" t="b">
        <v>1</v>
      </c>
      <c r="R199" t="s">
        <v>1189</v>
      </c>
    </row>
    <row r="200" spans="1:18" x14ac:dyDescent="0.3">
      <c r="A200" t="s">
        <v>757</v>
      </c>
      <c r="B200" t="s">
        <v>435</v>
      </c>
      <c r="C200" t="s">
        <v>439</v>
      </c>
      <c r="D200" t="s">
        <v>440</v>
      </c>
      <c r="E200">
        <f t="shared" si="28"/>
        <v>9.3312597200622083</v>
      </c>
      <c r="F200" t="str">
        <f t="shared" ref="F200" si="30">IF(EXACT(H200, "mg"), "mg/kg", H200)</f>
        <v>mg/kg</v>
      </c>
      <c r="G200">
        <v>600</v>
      </c>
      <c r="H200" t="s">
        <v>22</v>
      </c>
      <c r="I200" t="s">
        <v>23</v>
      </c>
      <c r="J200">
        <v>0</v>
      </c>
      <c r="K200">
        <v>1</v>
      </c>
      <c r="M200" t="s">
        <v>655</v>
      </c>
      <c r="P200">
        <f t="shared" si="29"/>
        <v>64.3</v>
      </c>
      <c r="Q200" t="b">
        <v>1</v>
      </c>
      <c r="R200" t="s">
        <v>1189</v>
      </c>
    </row>
    <row r="201" spans="1:18" x14ac:dyDescent="0.3">
      <c r="A201" t="s">
        <v>757</v>
      </c>
      <c r="B201" t="s">
        <v>435</v>
      </c>
      <c r="C201" t="s">
        <v>439</v>
      </c>
      <c r="D201" t="s">
        <v>440</v>
      </c>
      <c r="E201">
        <f t="shared" si="28"/>
        <v>9.3312597200622083</v>
      </c>
      <c r="F201" t="str">
        <f t="shared" si="27"/>
        <v>mg/kg</v>
      </c>
      <c r="G201">
        <v>600</v>
      </c>
      <c r="H201" t="s">
        <v>22</v>
      </c>
      <c r="I201" t="s">
        <v>23</v>
      </c>
      <c r="J201">
        <v>0</v>
      </c>
      <c r="K201">
        <v>29</v>
      </c>
      <c r="L201">
        <v>12</v>
      </c>
      <c r="M201" t="s">
        <v>655</v>
      </c>
      <c r="P201">
        <f t="shared" si="29"/>
        <v>64.3</v>
      </c>
      <c r="Q201" t="b">
        <v>1</v>
      </c>
      <c r="R201" t="s">
        <v>1189</v>
      </c>
    </row>
    <row r="202" spans="1:18" x14ac:dyDescent="0.3">
      <c r="A202" t="s">
        <v>1138</v>
      </c>
      <c r="B202" t="s">
        <v>435</v>
      </c>
      <c r="C202" t="s">
        <v>439</v>
      </c>
      <c r="D202" t="s">
        <v>440</v>
      </c>
      <c r="E202">
        <f t="shared" si="28"/>
        <v>12.441679626749611</v>
      </c>
      <c r="F202" t="str">
        <f t="shared" si="27"/>
        <v>mg/kg</v>
      </c>
      <c r="G202">
        <v>800</v>
      </c>
      <c r="H202" t="s">
        <v>22</v>
      </c>
      <c r="I202" t="s">
        <v>23</v>
      </c>
      <c r="J202">
        <v>0</v>
      </c>
      <c r="K202">
        <v>1</v>
      </c>
      <c r="M202" t="s">
        <v>655</v>
      </c>
      <c r="P202">
        <f t="shared" si="29"/>
        <v>64.3</v>
      </c>
      <c r="Q202" t="b">
        <v>1</v>
      </c>
      <c r="R202" t="s">
        <v>1190</v>
      </c>
    </row>
    <row r="203" spans="1:18" x14ac:dyDescent="0.3">
      <c r="A203" t="s">
        <v>1140</v>
      </c>
      <c r="B203" t="s">
        <v>435</v>
      </c>
      <c r="C203" t="s">
        <v>439</v>
      </c>
      <c r="D203" t="s">
        <v>440</v>
      </c>
      <c r="E203">
        <f t="shared" si="28"/>
        <v>12.441679626749611</v>
      </c>
      <c r="F203" t="str">
        <f t="shared" ref="F203" si="31">IF(EXACT(H203, "mg"), "mg/kg", H203)</f>
        <v>mg/kg</v>
      </c>
      <c r="G203">
        <v>800</v>
      </c>
      <c r="H203" t="s">
        <v>22</v>
      </c>
      <c r="I203" t="s">
        <v>23</v>
      </c>
      <c r="J203">
        <v>0</v>
      </c>
      <c r="K203">
        <v>1</v>
      </c>
      <c r="M203" t="s">
        <v>655</v>
      </c>
      <c r="P203">
        <f t="shared" si="29"/>
        <v>64.3</v>
      </c>
      <c r="Q203" t="b">
        <v>1</v>
      </c>
      <c r="R203" t="s">
        <v>1190</v>
      </c>
    </row>
    <row r="204" spans="1:18" x14ac:dyDescent="0.3">
      <c r="A204" t="s">
        <v>1140</v>
      </c>
      <c r="B204" t="s">
        <v>435</v>
      </c>
      <c r="C204" t="s">
        <v>439</v>
      </c>
      <c r="D204" t="s">
        <v>440</v>
      </c>
      <c r="E204">
        <f t="shared" si="28"/>
        <v>12.441679626749611</v>
      </c>
      <c r="F204" t="str">
        <f t="shared" si="27"/>
        <v>mg/kg</v>
      </c>
      <c r="G204">
        <v>800</v>
      </c>
      <c r="H204" t="s">
        <v>22</v>
      </c>
      <c r="I204" t="s">
        <v>23</v>
      </c>
      <c r="J204">
        <v>0</v>
      </c>
      <c r="K204">
        <v>29</v>
      </c>
      <c r="L204">
        <v>12</v>
      </c>
      <c r="M204" t="s">
        <v>655</v>
      </c>
      <c r="P204">
        <f t="shared" si="29"/>
        <v>64.3</v>
      </c>
      <c r="Q204" t="b">
        <v>1</v>
      </c>
      <c r="R204" t="s">
        <v>1190</v>
      </c>
    </row>
    <row r="205" spans="1:18" x14ac:dyDescent="0.3">
      <c r="A205" t="s">
        <v>1142</v>
      </c>
      <c r="B205" t="s">
        <v>435</v>
      </c>
      <c r="C205" t="s">
        <v>439</v>
      </c>
      <c r="D205" t="s">
        <v>440</v>
      </c>
      <c r="E205">
        <f t="shared" si="28"/>
        <v>13.996889580093313</v>
      </c>
      <c r="F205" t="str">
        <f t="shared" ref="F205:F229" si="32">IF(EXACT(H205, "mg"), "mg/kg", H205)</f>
        <v>mg/kg</v>
      </c>
      <c r="G205">
        <v>900</v>
      </c>
      <c r="H205" t="s">
        <v>22</v>
      </c>
      <c r="I205" t="s">
        <v>23</v>
      </c>
      <c r="J205">
        <v>0</v>
      </c>
      <c r="K205">
        <v>1</v>
      </c>
      <c r="M205" t="s">
        <v>655</v>
      </c>
      <c r="P205">
        <f t="shared" si="29"/>
        <v>64.3</v>
      </c>
      <c r="Q205" t="b">
        <v>0</v>
      </c>
      <c r="R205" t="s">
        <v>1188</v>
      </c>
    </row>
    <row r="206" spans="1:18" x14ac:dyDescent="0.3">
      <c r="A206" t="s">
        <v>1144</v>
      </c>
      <c r="B206" t="s">
        <v>435</v>
      </c>
      <c r="C206" t="s">
        <v>439</v>
      </c>
      <c r="D206" t="s">
        <v>440</v>
      </c>
      <c r="E206">
        <f t="shared" si="28"/>
        <v>13.996889580093313</v>
      </c>
      <c r="F206" t="str">
        <f t="shared" si="32"/>
        <v>mg/kg</v>
      </c>
      <c r="G206">
        <v>900</v>
      </c>
      <c r="H206" t="s">
        <v>22</v>
      </c>
      <c r="I206" t="s">
        <v>23</v>
      </c>
      <c r="J206">
        <v>0</v>
      </c>
      <c r="K206">
        <v>1</v>
      </c>
      <c r="M206" t="s">
        <v>655</v>
      </c>
      <c r="P206">
        <f t="shared" si="29"/>
        <v>64.3</v>
      </c>
      <c r="Q206" t="b">
        <v>1</v>
      </c>
      <c r="R206" t="s">
        <v>1188</v>
      </c>
    </row>
    <row r="207" spans="1:18" x14ac:dyDescent="0.3">
      <c r="A207" t="s">
        <v>758</v>
      </c>
      <c r="B207" t="s">
        <v>449</v>
      </c>
      <c r="C207" t="s">
        <v>453</v>
      </c>
      <c r="D207" t="s">
        <v>454</v>
      </c>
      <c r="E207">
        <f t="shared" ref="E207:E233" si="33">IF(EXACT(H207, "mg"), G207/P207,G207)</f>
        <v>0.29891720232629326</v>
      </c>
      <c r="F207" t="str">
        <f t="shared" si="32"/>
        <v>mg/kg</v>
      </c>
      <c r="G207">
        <v>25</v>
      </c>
      <c r="H207" t="s">
        <v>22</v>
      </c>
      <c r="I207" t="s">
        <v>23</v>
      </c>
      <c r="J207">
        <v>0</v>
      </c>
      <c r="K207">
        <v>1</v>
      </c>
      <c r="M207" t="s">
        <v>655</v>
      </c>
      <c r="P207" s="3">
        <f xml:space="preserve"> 27*1.76^2</f>
        <v>83.635199999999998</v>
      </c>
      <c r="Q207" t="b">
        <v>0</v>
      </c>
    </row>
    <row r="208" spans="1:18" x14ac:dyDescent="0.3">
      <c r="A208" t="s">
        <v>759</v>
      </c>
      <c r="B208" t="s">
        <v>458</v>
      </c>
      <c r="C208" t="s">
        <v>462</v>
      </c>
      <c r="D208" t="s">
        <v>463</v>
      </c>
      <c r="E208">
        <f t="shared" si="33"/>
        <v>3.3875338753387534</v>
      </c>
      <c r="F208" t="str">
        <f t="shared" si="32"/>
        <v>mg/kg</v>
      </c>
      <c r="G208">
        <v>250</v>
      </c>
      <c r="H208" t="s">
        <v>22</v>
      </c>
      <c r="I208" t="s">
        <v>23</v>
      </c>
      <c r="J208">
        <v>0</v>
      </c>
      <c r="K208">
        <v>1</v>
      </c>
      <c r="M208" t="s">
        <v>655</v>
      </c>
      <c r="P208">
        <v>73.8</v>
      </c>
      <c r="Q208" t="b">
        <v>0</v>
      </c>
    </row>
    <row r="209" spans="1:17" x14ac:dyDescent="0.3">
      <c r="A209" t="s">
        <v>760</v>
      </c>
      <c r="B209" t="s">
        <v>465</v>
      </c>
      <c r="C209" t="s">
        <v>457</v>
      </c>
      <c r="D209" t="s">
        <v>468</v>
      </c>
      <c r="E209">
        <f t="shared" si="33"/>
        <v>0.17985611510791366</v>
      </c>
      <c r="F209" t="str">
        <f t="shared" si="32"/>
        <v>mg/kg</v>
      </c>
      <c r="G209">
        <v>15</v>
      </c>
      <c r="H209" t="s">
        <v>22</v>
      </c>
      <c r="I209" t="s">
        <v>23</v>
      </c>
      <c r="J209">
        <v>0</v>
      </c>
      <c r="K209">
        <v>1</v>
      </c>
      <c r="M209" t="s">
        <v>655</v>
      </c>
      <c r="P209">
        <f t="shared" ref="P209" si="34">AVERAGE(75.5,91.3)</f>
        <v>83.4</v>
      </c>
      <c r="Q209" t="b">
        <v>0</v>
      </c>
    </row>
    <row r="210" spans="1:17" x14ac:dyDescent="0.3">
      <c r="A210" t="s">
        <v>761</v>
      </c>
      <c r="B210" t="s">
        <v>472</v>
      </c>
      <c r="C210" t="s">
        <v>471</v>
      </c>
      <c r="D210" t="s">
        <v>475</v>
      </c>
      <c r="E210" s="2">
        <f t="shared" si="33"/>
        <v>0.27397260273972601</v>
      </c>
      <c r="F210" t="str">
        <f t="shared" si="32"/>
        <v>mg/kg</v>
      </c>
      <c r="G210">
        <v>20</v>
      </c>
      <c r="H210" t="s">
        <v>22</v>
      </c>
      <c r="I210" t="s">
        <v>23</v>
      </c>
      <c r="J210">
        <v>0</v>
      </c>
      <c r="K210">
        <v>1</v>
      </c>
      <c r="M210" t="s">
        <v>655</v>
      </c>
      <c r="P210" s="2">
        <v>73</v>
      </c>
    </row>
    <row r="211" spans="1:17" x14ac:dyDescent="0.3">
      <c r="A211" t="s">
        <v>762</v>
      </c>
      <c r="B211" t="s">
        <v>476</v>
      </c>
      <c r="C211" t="s">
        <v>480</v>
      </c>
      <c r="D211" t="s">
        <v>1186</v>
      </c>
      <c r="E211">
        <f t="shared" si="33"/>
        <v>2.7474942852118867</v>
      </c>
      <c r="F211" t="str">
        <f t="shared" si="32"/>
        <v>mg/kg</v>
      </c>
      <c r="G211">
        <v>200</v>
      </c>
      <c r="H211" t="s">
        <v>22</v>
      </c>
      <c r="I211" t="s">
        <v>23</v>
      </c>
      <c r="J211">
        <v>0</v>
      </c>
      <c r="K211">
        <v>1</v>
      </c>
      <c r="M211" t="s">
        <v>655</v>
      </c>
      <c r="P211" s="3">
        <f>1.76^2*23.5</f>
        <v>72.793599999999998</v>
      </c>
      <c r="Q211" t="b">
        <v>0</v>
      </c>
    </row>
    <row r="212" spans="1:17" x14ac:dyDescent="0.3">
      <c r="A212" t="s">
        <v>763</v>
      </c>
      <c r="B212" t="s">
        <v>482</v>
      </c>
      <c r="C212" t="s">
        <v>486</v>
      </c>
      <c r="D212" t="s">
        <v>487</v>
      </c>
      <c r="E212" s="2">
        <f t="shared" si="33"/>
        <v>2.0547945205479454</v>
      </c>
      <c r="F212" t="str">
        <f t="shared" si="32"/>
        <v>mg/kg</v>
      </c>
      <c r="G212">
        <v>150</v>
      </c>
      <c r="H212" t="s">
        <v>22</v>
      </c>
      <c r="I212" t="s">
        <v>23</v>
      </c>
      <c r="J212">
        <v>0</v>
      </c>
      <c r="K212">
        <v>1</v>
      </c>
      <c r="M212" t="s">
        <v>655</v>
      </c>
      <c r="P212" s="2">
        <v>73</v>
      </c>
      <c r="Q212" t="b">
        <v>1</v>
      </c>
    </row>
    <row r="213" spans="1:17" x14ac:dyDescent="0.3">
      <c r="A213" t="s">
        <v>764</v>
      </c>
      <c r="B213" t="s">
        <v>482</v>
      </c>
      <c r="C213" t="s">
        <v>486</v>
      </c>
      <c r="D213" t="s">
        <v>487</v>
      </c>
      <c r="E213" s="2">
        <f t="shared" si="33"/>
        <v>2.0547945205479454</v>
      </c>
      <c r="F213" t="str">
        <f t="shared" si="32"/>
        <v>mg/kg</v>
      </c>
      <c r="G213">
        <v>150</v>
      </c>
      <c r="H213" t="s">
        <v>22</v>
      </c>
      <c r="I213" t="s">
        <v>23</v>
      </c>
      <c r="J213">
        <v>0</v>
      </c>
      <c r="K213">
        <v>1</v>
      </c>
      <c r="M213" t="s">
        <v>655</v>
      </c>
      <c r="P213" s="2">
        <v>73</v>
      </c>
      <c r="Q213" t="b">
        <v>0</v>
      </c>
    </row>
    <row r="214" spans="1:17" x14ac:dyDescent="0.3">
      <c r="A214" t="s">
        <v>765</v>
      </c>
      <c r="B214" t="s">
        <v>489</v>
      </c>
      <c r="C214" t="s">
        <v>490</v>
      </c>
      <c r="D214" t="s">
        <v>491</v>
      </c>
      <c r="E214" s="2">
        <f t="shared" si="33"/>
        <v>2.0547945205479454</v>
      </c>
      <c r="F214" t="str">
        <f t="shared" si="32"/>
        <v>mg/kg</v>
      </c>
      <c r="G214">
        <v>150</v>
      </c>
      <c r="H214" t="s">
        <v>22</v>
      </c>
      <c r="I214" t="s">
        <v>23</v>
      </c>
      <c r="J214">
        <v>0</v>
      </c>
      <c r="K214">
        <v>1</v>
      </c>
      <c r="M214" t="s">
        <v>655</v>
      </c>
      <c r="P214" s="2">
        <v>73</v>
      </c>
      <c r="Q214" t="b">
        <v>1</v>
      </c>
    </row>
    <row r="215" spans="1:17" x14ac:dyDescent="0.3">
      <c r="A215" t="s">
        <v>766</v>
      </c>
      <c r="B215" t="s">
        <v>489</v>
      </c>
      <c r="C215" t="s">
        <v>490</v>
      </c>
      <c r="D215" t="s">
        <v>491</v>
      </c>
      <c r="E215" s="2">
        <f t="shared" si="33"/>
        <v>2.0547945205479454</v>
      </c>
      <c r="F215" t="str">
        <f t="shared" si="32"/>
        <v>mg/kg</v>
      </c>
      <c r="G215">
        <v>150</v>
      </c>
      <c r="H215" t="s">
        <v>22</v>
      </c>
      <c r="I215" t="s">
        <v>23</v>
      </c>
      <c r="J215">
        <v>0</v>
      </c>
      <c r="K215">
        <v>1</v>
      </c>
      <c r="M215" t="s">
        <v>655</v>
      </c>
      <c r="P215" s="2">
        <v>73</v>
      </c>
      <c r="Q215" t="b">
        <v>0</v>
      </c>
    </row>
    <row r="216" spans="1:17" x14ac:dyDescent="0.3">
      <c r="A216" t="s">
        <v>767</v>
      </c>
      <c r="B216" t="s">
        <v>493</v>
      </c>
      <c r="C216" t="s">
        <v>497</v>
      </c>
      <c r="D216" t="s">
        <v>498</v>
      </c>
      <c r="E216" s="2">
        <f t="shared" si="33"/>
        <v>0.68493150684931503</v>
      </c>
      <c r="F216" t="str">
        <f t="shared" si="32"/>
        <v>mg/kg</v>
      </c>
      <c r="G216">
        <v>50</v>
      </c>
      <c r="H216" t="s">
        <v>22</v>
      </c>
      <c r="I216" t="s">
        <v>23</v>
      </c>
      <c r="J216">
        <v>0</v>
      </c>
      <c r="K216">
        <v>1</v>
      </c>
      <c r="M216" t="s">
        <v>655</v>
      </c>
      <c r="P216" s="2">
        <v>73</v>
      </c>
    </row>
    <row r="217" spans="1:17" x14ac:dyDescent="0.3">
      <c r="A217" t="s">
        <v>768</v>
      </c>
      <c r="B217" t="s">
        <v>499</v>
      </c>
      <c r="C217" t="s">
        <v>501</v>
      </c>
      <c r="D217" t="s">
        <v>501</v>
      </c>
      <c r="E217" s="2">
        <f t="shared" si="33"/>
        <v>0.41095890410958902</v>
      </c>
      <c r="F217" t="str">
        <f t="shared" si="32"/>
        <v>mg/kg</v>
      </c>
      <c r="G217">
        <v>30</v>
      </c>
      <c r="H217" t="s">
        <v>22</v>
      </c>
      <c r="I217" t="s">
        <v>23</v>
      </c>
      <c r="J217">
        <v>0</v>
      </c>
      <c r="K217" s="2">
        <v>13</v>
      </c>
      <c r="L217">
        <v>12</v>
      </c>
      <c r="M217" t="s">
        <v>655</v>
      </c>
      <c r="P217" s="2">
        <v>73</v>
      </c>
    </row>
    <row r="218" spans="1:17" x14ac:dyDescent="0.3">
      <c r="A218" t="s">
        <v>769</v>
      </c>
      <c r="B218" t="s">
        <v>499</v>
      </c>
      <c r="C218" t="s">
        <v>501</v>
      </c>
      <c r="D218" t="s">
        <v>501</v>
      </c>
      <c r="E218" s="2">
        <f t="shared" si="33"/>
        <v>0.82191780821917804</v>
      </c>
      <c r="F218" t="str">
        <f t="shared" si="32"/>
        <v>mg/kg</v>
      </c>
      <c r="G218">
        <v>60</v>
      </c>
      <c r="H218" t="s">
        <v>22</v>
      </c>
      <c r="I218" t="s">
        <v>23</v>
      </c>
      <c r="J218">
        <v>0</v>
      </c>
      <c r="K218" s="2">
        <v>13</v>
      </c>
      <c r="L218">
        <v>12</v>
      </c>
      <c r="M218" t="s">
        <v>655</v>
      </c>
      <c r="P218" s="2">
        <v>73</v>
      </c>
    </row>
    <row r="219" spans="1:17" x14ac:dyDescent="0.3">
      <c r="A219" t="s">
        <v>770</v>
      </c>
      <c r="B219" t="s">
        <v>499</v>
      </c>
      <c r="C219" t="s">
        <v>501</v>
      </c>
      <c r="D219" t="s">
        <v>501</v>
      </c>
      <c r="E219" s="2">
        <f t="shared" si="33"/>
        <v>1.3698630136986301</v>
      </c>
      <c r="F219" t="str">
        <f t="shared" si="32"/>
        <v>mg/kg</v>
      </c>
      <c r="G219">
        <v>100</v>
      </c>
      <c r="H219" t="s">
        <v>22</v>
      </c>
      <c r="I219" t="s">
        <v>23</v>
      </c>
      <c r="J219">
        <v>0</v>
      </c>
      <c r="K219" s="2">
        <v>13</v>
      </c>
      <c r="L219">
        <v>12</v>
      </c>
      <c r="M219" t="s">
        <v>655</v>
      </c>
      <c r="P219" s="2">
        <v>73</v>
      </c>
    </row>
    <row r="220" spans="1:17" x14ac:dyDescent="0.3">
      <c r="A220" t="s">
        <v>771</v>
      </c>
      <c r="B220" t="s">
        <v>499</v>
      </c>
      <c r="C220" t="s">
        <v>501</v>
      </c>
      <c r="D220" t="s">
        <v>501</v>
      </c>
      <c r="E220" s="2">
        <f t="shared" si="33"/>
        <v>2.7397260273972601</v>
      </c>
      <c r="F220" t="str">
        <f t="shared" si="32"/>
        <v>mg/kg</v>
      </c>
      <c r="G220">
        <v>200</v>
      </c>
      <c r="H220" t="s">
        <v>22</v>
      </c>
      <c r="I220" t="s">
        <v>23</v>
      </c>
      <c r="J220">
        <v>0</v>
      </c>
      <c r="K220" s="2">
        <v>13</v>
      </c>
      <c r="L220">
        <v>12</v>
      </c>
      <c r="M220" t="s">
        <v>655</v>
      </c>
      <c r="P220" s="2">
        <v>73</v>
      </c>
    </row>
    <row r="221" spans="1:17" x14ac:dyDescent="0.3">
      <c r="A221" t="s">
        <v>1146</v>
      </c>
      <c r="B221" t="s">
        <v>502</v>
      </c>
      <c r="C221" t="s">
        <v>506</v>
      </c>
      <c r="D221" t="s">
        <v>507</v>
      </c>
      <c r="E221">
        <f t="shared" si="33"/>
        <v>16.666666666666668</v>
      </c>
      <c r="F221" t="str">
        <f t="shared" si="32"/>
        <v>mg/kg</v>
      </c>
      <c r="G221">
        <v>1000</v>
      </c>
      <c r="H221" t="s">
        <v>22</v>
      </c>
      <c r="I221" t="s">
        <v>23</v>
      </c>
      <c r="J221">
        <v>0</v>
      </c>
      <c r="K221">
        <v>1</v>
      </c>
      <c r="M221" t="s">
        <v>655</v>
      </c>
      <c r="P221">
        <v>60</v>
      </c>
      <c r="Q221" t="b">
        <v>0</v>
      </c>
    </row>
    <row r="222" spans="1:17" x14ac:dyDescent="0.3">
      <c r="A222" t="s">
        <v>1148</v>
      </c>
      <c r="B222" t="s">
        <v>508</v>
      </c>
      <c r="C222" t="s">
        <v>512</v>
      </c>
      <c r="D222" t="s">
        <v>513</v>
      </c>
      <c r="E222">
        <f t="shared" si="33"/>
        <v>0.8025682182985554</v>
      </c>
      <c r="F222" t="str">
        <f t="shared" si="32"/>
        <v>mg/kg</v>
      </c>
      <c r="G222">
        <v>50</v>
      </c>
      <c r="H222" t="s">
        <v>22</v>
      </c>
      <c r="I222" t="s">
        <v>23</v>
      </c>
      <c r="J222">
        <v>0</v>
      </c>
      <c r="K222">
        <v>1</v>
      </c>
      <c r="M222" t="s">
        <v>655</v>
      </c>
      <c r="P222">
        <v>62.3</v>
      </c>
      <c r="Q222" t="b">
        <v>0</v>
      </c>
    </row>
    <row r="223" spans="1:17" x14ac:dyDescent="0.3">
      <c r="A223" t="s">
        <v>1150</v>
      </c>
      <c r="B223" t="s">
        <v>508</v>
      </c>
      <c r="C223" t="s">
        <v>512</v>
      </c>
      <c r="D223" t="s">
        <v>513</v>
      </c>
      <c r="E223">
        <f t="shared" si="33"/>
        <v>0.8025682182985554</v>
      </c>
      <c r="F223" t="str">
        <f t="shared" si="32"/>
        <v>mg/kg</v>
      </c>
      <c r="G223">
        <v>50</v>
      </c>
      <c r="H223" t="s">
        <v>22</v>
      </c>
      <c r="I223" t="s">
        <v>663</v>
      </c>
      <c r="J223">
        <v>0</v>
      </c>
      <c r="K223">
        <v>1</v>
      </c>
      <c r="M223" t="s">
        <v>655</v>
      </c>
      <c r="N223">
        <v>2</v>
      </c>
      <c r="O223" t="s">
        <v>664</v>
      </c>
      <c r="P223">
        <v>62.3</v>
      </c>
      <c r="Q223" t="b">
        <v>0</v>
      </c>
    </row>
    <row r="224" spans="1:17" x14ac:dyDescent="0.3">
      <c r="A224" t="s">
        <v>1152</v>
      </c>
      <c r="B224" t="s">
        <v>290</v>
      </c>
      <c r="C224" t="s">
        <v>292</v>
      </c>
      <c r="D224" t="s">
        <v>293</v>
      </c>
      <c r="E224">
        <f t="shared" si="33"/>
        <v>5.7142857142857144</v>
      </c>
      <c r="F224" t="str">
        <f t="shared" si="32"/>
        <v>mg/kg</v>
      </c>
      <c r="G224">
        <v>400</v>
      </c>
      <c r="H224" t="s">
        <v>22</v>
      </c>
      <c r="I224" t="s">
        <v>23</v>
      </c>
      <c r="J224">
        <v>0</v>
      </c>
      <c r="K224">
        <v>1</v>
      </c>
      <c r="M224" t="s">
        <v>655</v>
      </c>
      <c r="P224">
        <v>70</v>
      </c>
    </row>
    <row r="225" spans="1:17" x14ac:dyDescent="0.3">
      <c r="A225" t="s">
        <v>1154</v>
      </c>
      <c r="B225" t="s">
        <v>290</v>
      </c>
      <c r="C225" t="s">
        <v>292</v>
      </c>
      <c r="D225" t="s">
        <v>293</v>
      </c>
      <c r="E225">
        <f t="shared" si="33"/>
        <v>5.7142857142857144</v>
      </c>
      <c r="F225" t="str">
        <f t="shared" si="32"/>
        <v>mg/kg</v>
      </c>
      <c r="G225">
        <v>400</v>
      </c>
      <c r="H225" t="s">
        <v>22</v>
      </c>
      <c r="I225" t="s">
        <v>23</v>
      </c>
      <c r="J225">
        <v>0</v>
      </c>
      <c r="K225">
        <v>1</v>
      </c>
      <c r="M225" t="s">
        <v>655</v>
      </c>
      <c r="P225">
        <v>70</v>
      </c>
    </row>
    <row r="226" spans="1:17" x14ac:dyDescent="0.3">
      <c r="A226" t="s">
        <v>1156</v>
      </c>
      <c r="B226" t="s">
        <v>524</v>
      </c>
      <c r="C226" t="s">
        <v>527</v>
      </c>
      <c r="D226" t="s">
        <v>527</v>
      </c>
      <c r="E226">
        <f t="shared" si="33"/>
        <v>7.1428571428571432</v>
      </c>
      <c r="F226" t="str">
        <f t="shared" si="32"/>
        <v>mg/kg</v>
      </c>
      <c r="G226">
        <v>500</v>
      </c>
      <c r="H226" t="s">
        <v>22</v>
      </c>
      <c r="I226" t="s">
        <v>23</v>
      </c>
      <c r="J226">
        <v>0</v>
      </c>
      <c r="K226">
        <v>1</v>
      </c>
      <c r="M226" t="s">
        <v>655</v>
      </c>
      <c r="P226">
        <v>70</v>
      </c>
    </row>
    <row r="227" spans="1:17" x14ac:dyDescent="0.3">
      <c r="A227" t="s">
        <v>1158</v>
      </c>
      <c r="B227" t="s">
        <v>524</v>
      </c>
      <c r="C227" t="s">
        <v>527</v>
      </c>
      <c r="D227" t="s">
        <v>527</v>
      </c>
      <c r="E227">
        <f t="shared" si="33"/>
        <v>7.1428571428571432</v>
      </c>
      <c r="F227" t="str">
        <f t="shared" si="32"/>
        <v>mg/kg</v>
      </c>
      <c r="G227">
        <v>500</v>
      </c>
      <c r="H227" t="s">
        <v>22</v>
      </c>
      <c r="I227" t="s">
        <v>23</v>
      </c>
      <c r="J227">
        <v>0</v>
      </c>
      <c r="K227">
        <v>1</v>
      </c>
      <c r="M227" t="s">
        <v>655</v>
      </c>
      <c r="P227">
        <v>70</v>
      </c>
    </row>
    <row r="228" spans="1:17" x14ac:dyDescent="0.3">
      <c r="A228" t="s">
        <v>1160</v>
      </c>
      <c r="B228" t="s">
        <v>532</v>
      </c>
      <c r="C228" t="s">
        <v>536</v>
      </c>
      <c r="D228" t="s">
        <v>952</v>
      </c>
      <c r="E228" s="2">
        <f>IF(EXACT(H228, "mg"), G228/P228,G228)</f>
        <v>0.13698630136986301</v>
      </c>
      <c r="F228" t="str">
        <f t="shared" si="32"/>
        <v>mg/kg</v>
      </c>
      <c r="G228">
        <v>10</v>
      </c>
      <c r="H228" t="s">
        <v>22</v>
      </c>
      <c r="I228" t="s">
        <v>23</v>
      </c>
      <c r="J228">
        <v>0</v>
      </c>
      <c r="K228">
        <v>1</v>
      </c>
      <c r="M228" t="s">
        <v>655</v>
      </c>
      <c r="P228" s="2">
        <v>73</v>
      </c>
    </row>
    <row r="229" spans="1:17" x14ac:dyDescent="0.3">
      <c r="A229" t="s">
        <v>1162</v>
      </c>
      <c r="B229" t="s">
        <v>532</v>
      </c>
      <c r="C229" t="s">
        <v>536</v>
      </c>
      <c r="D229" t="s">
        <v>952</v>
      </c>
      <c r="E229" s="2">
        <f t="shared" si="33"/>
        <v>0.13698630136986301</v>
      </c>
      <c r="F229" t="str">
        <f t="shared" si="32"/>
        <v>mg/kg</v>
      </c>
      <c r="G229">
        <v>10</v>
      </c>
      <c r="H229" t="s">
        <v>22</v>
      </c>
      <c r="I229" t="s">
        <v>23</v>
      </c>
      <c r="J229">
        <v>0</v>
      </c>
      <c r="K229">
        <v>1</v>
      </c>
      <c r="M229" t="s">
        <v>655</v>
      </c>
      <c r="P229" s="2">
        <v>73</v>
      </c>
      <c r="Q229" t="b">
        <v>0</v>
      </c>
    </row>
    <row r="230" spans="1:17" x14ac:dyDescent="0.3">
      <c r="A230" t="s">
        <v>1164</v>
      </c>
      <c r="B230" t="s">
        <v>532</v>
      </c>
      <c r="C230" t="s">
        <v>536</v>
      </c>
      <c r="D230" t="s">
        <v>952</v>
      </c>
      <c r="E230" s="2">
        <f t="shared" si="33"/>
        <v>0.13698630136986301</v>
      </c>
      <c r="F230" t="str">
        <f t="shared" ref="F230:F233" si="35">IF(EXACT(H230, "mg"), "mg/kg", H230)</f>
        <v>mg/kg</v>
      </c>
      <c r="G230">
        <v>10</v>
      </c>
      <c r="H230" t="s">
        <v>22</v>
      </c>
      <c r="I230" t="s">
        <v>23</v>
      </c>
      <c r="J230">
        <v>0</v>
      </c>
      <c r="K230">
        <v>1</v>
      </c>
      <c r="M230" t="s">
        <v>655</v>
      </c>
      <c r="P230" s="2">
        <v>73</v>
      </c>
      <c r="Q230" t="b">
        <v>1</v>
      </c>
    </row>
    <row r="231" spans="1:17" x14ac:dyDescent="0.3">
      <c r="A231" t="s">
        <v>1166</v>
      </c>
      <c r="B231" t="s">
        <v>532</v>
      </c>
      <c r="C231" t="s">
        <v>536</v>
      </c>
      <c r="D231" t="s">
        <v>952</v>
      </c>
      <c r="E231" s="2">
        <f t="shared" si="33"/>
        <v>0.68493150684931503</v>
      </c>
      <c r="F231" t="str">
        <f t="shared" si="35"/>
        <v>mg/kg</v>
      </c>
      <c r="G231">
        <v>50</v>
      </c>
      <c r="H231" t="s">
        <v>22</v>
      </c>
      <c r="I231" t="s">
        <v>23</v>
      </c>
      <c r="J231">
        <v>0</v>
      </c>
      <c r="K231">
        <v>1</v>
      </c>
      <c r="M231" t="s">
        <v>655</v>
      </c>
      <c r="P231" s="2">
        <v>73</v>
      </c>
    </row>
    <row r="232" spans="1:17" x14ac:dyDescent="0.3">
      <c r="A232" t="s">
        <v>1168</v>
      </c>
      <c r="B232" t="s">
        <v>532</v>
      </c>
      <c r="C232" t="s">
        <v>536</v>
      </c>
      <c r="D232" t="s">
        <v>952</v>
      </c>
      <c r="E232" s="2">
        <f t="shared" si="33"/>
        <v>0.27397260273972601</v>
      </c>
      <c r="F232" t="str">
        <f t="shared" si="35"/>
        <v>mg/kg</v>
      </c>
      <c r="G232">
        <v>20</v>
      </c>
      <c r="H232" t="s">
        <v>22</v>
      </c>
      <c r="I232" t="s">
        <v>23</v>
      </c>
      <c r="J232">
        <v>0</v>
      </c>
      <c r="K232">
        <v>1</v>
      </c>
      <c r="M232" t="s">
        <v>655</v>
      </c>
      <c r="P232" s="2">
        <v>73</v>
      </c>
    </row>
    <row r="233" spans="1:17" x14ac:dyDescent="0.3">
      <c r="A233" t="s">
        <v>1170</v>
      </c>
      <c r="B233" t="s">
        <v>532</v>
      </c>
      <c r="C233" t="s">
        <v>536</v>
      </c>
      <c r="D233" t="s">
        <v>952</v>
      </c>
      <c r="E233" s="2">
        <f t="shared" si="33"/>
        <v>0.41095890410958902</v>
      </c>
      <c r="F233" t="str">
        <f t="shared" si="35"/>
        <v>mg/kg</v>
      </c>
      <c r="G233">
        <v>30</v>
      </c>
      <c r="H233" t="s">
        <v>22</v>
      </c>
      <c r="I233" t="s">
        <v>23</v>
      </c>
      <c r="J233">
        <v>0</v>
      </c>
      <c r="K233">
        <v>1</v>
      </c>
      <c r="M233" t="s">
        <v>655</v>
      </c>
      <c r="P233" s="2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844B-D09C-40F0-AD42-DD859CA07AAE}">
  <dimension ref="A1:DE49"/>
  <sheetViews>
    <sheetView zoomScaleNormal="100" workbookViewId="0">
      <selection activeCell="A9" sqref="A9"/>
    </sheetView>
  </sheetViews>
  <sheetFormatPr defaultRowHeight="14.4" x14ac:dyDescent="0.3"/>
  <cols>
    <col min="1" max="1" width="18.5546875" customWidth="1"/>
    <col min="2" max="2" width="64.5546875" customWidth="1"/>
    <col min="3" max="3" width="19.88671875" customWidth="1"/>
    <col min="4" max="4" width="31.44140625" customWidth="1"/>
  </cols>
  <sheetData>
    <row r="1" spans="1:109" s="7" customFormat="1" x14ac:dyDescent="0.3">
      <c r="A1" s="1" t="s">
        <v>4</v>
      </c>
      <c r="B1" s="1" t="s">
        <v>0</v>
      </c>
      <c r="C1" s="1" t="s">
        <v>3</v>
      </c>
      <c r="D1" s="9" t="s">
        <v>1191</v>
      </c>
      <c r="E1" s="9" t="s">
        <v>1192</v>
      </c>
      <c r="F1" s="7" t="s">
        <v>1193</v>
      </c>
      <c r="G1" s="7" t="s">
        <v>1194</v>
      </c>
      <c r="H1" s="7" t="s">
        <v>1195</v>
      </c>
      <c r="I1" s="7" t="s">
        <v>1196</v>
      </c>
      <c r="J1" s="7" t="s">
        <v>1197</v>
      </c>
      <c r="K1" s="7" t="s">
        <v>1198</v>
      </c>
      <c r="L1" s="7" t="s">
        <v>1199</v>
      </c>
      <c r="M1" s="7" t="s">
        <v>1200</v>
      </c>
      <c r="N1" s="7" t="s">
        <v>1201</v>
      </c>
      <c r="O1" s="7" t="s">
        <v>1202</v>
      </c>
      <c r="P1" s="7" t="s">
        <v>1203</v>
      </c>
      <c r="Q1" s="7" t="s">
        <v>1204</v>
      </c>
      <c r="R1" s="7" t="s">
        <v>1205</v>
      </c>
      <c r="S1" s="7" t="s">
        <v>1206</v>
      </c>
      <c r="T1" s="7" t="s">
        <v>1207</v>
      </c>
      <c r="U1" s="7" t="s">
        <v>1208</v>
      </c>
      <c r="V1" s="7" t="s">
        <v>1209</v>
      </c>
      <c r="W1" s="7" t="s">
        <v>1210</v>
      </c>
      <c r="X1" s="7" t="s">
        <v>1211</v>
      </c>
      <c r="Y1" s="7" t="s">
        <v>1212</v>
      </c>
      <c r="Z1" s="7" t="s">
        <v>1213</v>
      </c>
      <c r="AA1" s="7" t="s">
        <v>1214</v>
      </c>
      <c r="AB1" s="7" t="s">
        <v>1215</v>
      </c>
      <c r="AC1" s="7" t="s">
        <v>1216</v>
      </c>
      <c r="AD1" s="7" t="s">
        <v>1217</v>
      </c>
      <c r="AE1" s="7" t="s">
        <v>1218</v>
      </c>
      <c r="AF1" s="7" t="s">
        <v>1219</v>
      </c>
      <c r="AG1" s="9" t="s">
        <v>1220</v>
      </c>
      <c r="AH1" s="9" t="s">
        <v>1221</v>
      </c>
      <c r="AI1" s="9" t="s">
        <v>1222</v>
      </c>
      <c r="AJ1" s="7" t="s">
        <v>1223</v>
      </c>
      <c r="AK1" s="7" t="s">
        <v>1224</v>
      </c>
      <c r="AL1" s="9" t="s">
        <v>1225</v>
      </c>
      <c r="AM1" s="9" t="s">
        <v>1226</v>
      </c>
      <c r="AN1" s="9" t="s">
        <v>1227</v>
      </c>
      <c r="AO1" s="9" t="s">
        <v>1228</v>
      </c>
      <c r="AP1" s="9" t="s">
        <v>1229</v>
      </c>
      <c r="AQ1" s="7" t="s">
        <v>1230</v>
      </c>
      <c r="AR1" s="7" t="s">
        <v>1231</v>
      </c>
      <c r="AS1" s="7" t="s">
        <v>1232</v>
      </c>
      <c r="AT1" s="7" t="s">
        <v>1233</v>
      </c>
      <c r="AU1" s="7" t="s">
        <v>1234</v>
      </c>
      <c r="AV1" s="7" t="s">
        <v>1235</v>
      </c>
      <c r="AW1" s="7" t="s">
        <v>1236</v>
      </c>
      <c r="AX1" s="7" t="s">
        <v>1237</v>
      </c>
      <c r="AY1" s="7" t="s">
        <v>1238</v>
      </c>
      <c r="AZ1" s="7" t="s">
        <v>1239</v>
      </c>
      <c r="BA1" s="7" t="s">
        <v>1240</v>
      </c>
      <c r="BB1" s="7" t="s">
        <v>1241</v>
      </c>
      <c r="BC1" s="9" t="s">
        <v>1242</v>
      </c>
      <c r="BD1" s="7" t="s">
        <v>1243</v>
      </c>
      <c r="BE1" s="9" t="s">
        <v>1244</v>
      </c>
      <c r="BF1" s="7" t="s">
        <v>1245</v>
      </c>
      <c r="BG1" s="7" t="s">
        <v>1246</v>
      </c>
      <c r="BH1" s="7" t="s">
        <v>1247</v>
      </c>
      <c r="BI1" s="7" t="s">
        <v>1248</v>
      </c>
      <c r="BJ1" s="7" t="s">
        <v>1249</v>
      </c>
      <c r="BK1" s="7" t="s">
        <v>1250</v>
      </c>
      <c r="BL1" s="7" t="s">
        <v>1251</v>
      </c>
      <c r="BM1" s="7" t="s">
        <v>1252</v>
      </c>
      <c r="BN1" s="7" t="s">
        <v>1253</v>
      </c>
      <c r="BO1" s="7" t="s">
        <v>1254</v>
      </c>
      <c r="BP1" s="7" t="s">
        <v>1255</v>
      </c>
      <c r="BQ1" s="7" t="s">
        <v>1256</v>
      </c>
      <c r="BR1" s="7" t="s">
        <v>1257</v>
      </c>
      <c r="BS1" s="7" t="s">
        <v>1258</v>
      </c>
      <c r="BT1" s="9" t="s">
        <v>1259</v>
      </c>
      <c r="BU1" s="7" t="s">
        <v>1260</v>
      </c>
      <c r="BV1" s="7" t="s">
        <v>1261</v>
      </c>
      <c r="BW1" s="7" t="s">
        <v>1262</v>
      </c>
      <c r="BX1" s="7" t="s">
        <v>1263</v>
      </c>
      <c r="BY1" s="7" t="s">
        <v>1264</v>
      </c>
      <c r="BZ1" s="7" t="s">
        <v>1265</v>
      </c>
      <c r="CA1" s="7" t="s">
        <v>1266</v>
      </c>
      <c r="CB1" s="7" t="s">
        <v>1267</v>
      </c>
      <c r="CC1" s="7" t="s">
        <v>1268</v>
      </c>
      <c r="CD1" s="7" t="s">
        <v>1269</v>
      </c>
      <c r="CE1" s="7" t="s">
        <v>1270</v>
      </c>
      <c r="CF1" s="7" t="s">
        <v>1271</v>
      </c>
      <c r="CG1" s="7" t="s">
        <v>1272</v>
      </c>
      <c r="CH1" s="7" t="s">
        <v>1273</v>
      </c>
      <c r="CI1" s="7" t="s">
        <v>1274</v>
      </c>
      <c r="CJ1" s="7" t="s">
        <v>1275</v>
      </c>
      <c r="CK1" s="7" t="s">
        <v>1276</v>
      </c>
      <c r="CL1" s="7" t="s">
        <v>1277</v>
      </c>
      <c r="CM1" s="7" t="s">
        <v>1278</v>
      </c>
      <c r="CN1" s="7" t="s">
        <v>1279</v>
      </c>
      <c r="CO1" s="7" t="s">
        <v>1280</v>
      </c>
      <c r="CP1" s="7" t="s">
        <v>1281</v>
      </c>
      <c r="CQ1" s="7" t="s">
        <v>1282</v>
      </c>
      <c r="CR1" s="7" t="s">
        <v>1283</v>
      </c>
      <c r="CS1" s="7" t="s">
        <v>1284</v>
      </c>
      <c r="CT1" s="7" t="s">
        <v>1285</v>
      </c>
      <c r="CU1" s="7" t="s">
        <v>1286</v>
      </c>
      <c r="CV1" s="7" t="s">
        <v>1287</v>
      </c>
      <c r="CW1" s="7" t="s">
        <v>1288</v>
      </c>
      <c r="CX1" s="7" t="s">
        <v>1289</v>
      </c>
      <c r="CY1" s="7" t="s">
        <v>1290</v>
      </c>
      <c r="CZ1" s="7" t="s">
        <v>1291</v>
      </c>
      <c r="DA1" s="7" t="s">
        <v>1292</v>
      </c>
      <c r="DB1" s="7" t="s">
        <v>1293</v>
      </c>
      <c r="DC1" s="7" t="s">
        <v>1294</v>
      </c>
      <c r="DD1" s="7" t="s">
        <v>1295</v>
      </c>
      <c r="DE1" s="7" t="s">
        <v>1296</v>
      </c>
    </row>
    <row r="2" spans="1:109" x14ac:dyDescent="0.3">
      <c r="A2" t="s">
        <v>507</v>
      </c>
      <c r="B2" t="s">
        <v>502</v>
      </c>
      <c r="C2" t="s">
        <v>506</v>
      </c>
      <c r="D2" t="s">
        <v>502</v>
      </c>
      <c r="E2">
        <v>151.06</v>
      </c>
      <c r="F2">
        <v>156.39926050059199</v>
      </c>
      <c r="G2">
        <v>0.965861344334349</v>
      </c>
      <c r="H2">
        <v>3</v>
      </c>
      <c r="I2">
        <v>2</v>
      </c>
      <c r="J2">
        <v>49.33</v>
      </c>
      <c r="K2">
        <v>2</v>
      </c>
      <c r="L2">
        <v>1</v>
      </c>
      <c r="M2">
        <v>6</v>
      </c>
      <c r="N2">
        <v>3</v>
      </c>
      <c r="O2">
        <v>0</v>
      </c>
      <c r="P2">
        <v>7</v>
      </c>
      <c r="Q2">
        <v>0.28571428571428498</v>
      </c>
      <c r="R2">
        <v>0</v>
      </c>
      <c r="S2">
        <v>0</v>
      </c>
      <c r="T2">
        <v>0.59499999999999997</v>
      </c>
      <c r="U2">
        <v>1.407</v>
      </c>
      <c r="V2">
        <v>0.125</v>
      </c>
      <c r="W2">
        <v>6</v>
      </c>
      <c r="X2">
        <v>-0.64200000000000002</v>
      </c>
      <c r="Y2" t="s">
        <v>1297</v>
      </c>
      <c r="Z2" t="s">
        <v>1298</v>
      </c>
      <c r="AA2" t="s">
        <v>1298</v>
      </c>
      <c r="AB2" t="s">
        <v>1298</v>
      </c>
      <c r="AC2">
        <v>0</v>
      </c>
      <c r="AD2">
        <v>0</v>
      </c>
      <c r="AE2">
        <v>0</v>
      </c>
      <c r="AF2">
        <v>1</v>
      </c>
      <c r="AG2">
        <v>-1.15909423057066</v>
      </c>
      <c r="AH2">
        <v>0.72453867420834395</v>
      </c>
      <c r="AI2">
        <v>0.59400568821746003</v>
      </c>
      <c r="AJ2">
        <v>154.57963957567301</v>
      </c>
      <c r="AK2">
        <v>278.34495151349103</v>
      </c>
      <c r="AL2">
        <v>9.2664713029292898</v>
      </c>
      <c r="AM2">
        <v>4.7330488998147997</v>
      </c>
      <c r="AN2">
        <v>-4.2721389361076403</v>
      </c>
      <c r="AO2">
        <v>-4.4071054641253697</v>
      </c>
      <c r="AP2">
        <v>0.53636515140533403</v>
      </c>
      <c r="AQ2">
        <v>5.0944499671459198E-3</v>
      </c>
      <c r="AR2">
        <v>0.36368688941001798</v>
      </c>
      <c r="AS2">
        <v>2.6398897171020502E-4</v>
      </c>
      <c r="AT2">
        <v>2.8585970401763899E-2</v>
      </c>
      <c r="AU2">
        <v>4.3449997901916497E-2</v>
      </c>
      <c r="AV2">
        <v>0.91894083470106103</v>
      </c>
      <c r="AW2">
        <v>0.72463536262512196</v>
      </c>
      <c r="AX2">
        <v>0.97745001316070501</v>
      </c>
      <c r="AY2">
        <v>0.13451069593429499</v>
      </c>
      <c r="AZ2">
        <v>9.5750503242015797E-2</v>
      </c>
      <c r="BA2">
        <v>0.69438683986663796</v>
      </c>
      <c r="BB2">
        <v>0.97333478927612305</v>
      </c>
      <c r="BC2">
        <v>17.269662107143201</v>
      </c>
      <c r="BD2">
        <v>-4.1587211459587797E-2</v>
      </c>
      <c r="BE2">
        <v>65.641980243816505</v>
      </c>
      <c r="BF2">
        <v>1.6783436760306299E-2</v>
      </c>
      <c r="BG2">
        <v>6.5233595669269506E-2</v>
      </c>
      <c r="BH2">
        <v>1.6655892133712699E-2</v>
      </c>
      <c r="BI2">
        <v>0.98839300870895297</v>
      </c>
      <c r="BJ2">
        <v>3.2000895589590003E-2</v>
      </c>
      <c r="BK2">
        <v>0.37785381078719998</v>
      </c>
      <c r="BL2">
        <v>1.5706771227996699E-4</v>
      </c>
      <c r="BM2">
        <v>0.92577707767486495</v>
      </c>
      <c r="BN2">
        <v>3.4519648179411801E-3</v>
      </c>
      <c r="BO2">
        <v>0.98468059301376298</v>
      </c>
      <c r="BP2">
        <v>1.02475879248231E-3</v>
      </c>
      <c r="BQ2" s="8">
        <v>1.21440061775501E-5</v>
      </c>
      <c r="BR2">
        <v>7.0802220143377703E-3</v>
      </c>
      <c r="BS2">
        <v>0.87275475263595503</v>
      </c>
      <c r="BT2">
        <v>8.9033782846616401</v>
      </c>
      <c r="BU2">
        <v>1.11490837613251</v>
      </c>
      <c r="BV2">
        <v>0.63083766324486601</v>
      </c>
      <c r="BW2">
        <v>2.8110063094948701</v>
      </c>
      <c r="BX2">
        <v>3.21858413817835</v>
      </c>
      <c r="BY2">
        <v>2.1506148366042002</v>
      </c>
      <c r="BZ2">
        <v>7.0211663842201205E-2</v>
      </c>
      <c r="CA2">
        <v>0.365761429071426</v>
      </c>
      <c r="CB2">
        <v>0.619451344013214</v>
      </c>
      <c r="CC2">
        <v>0.55016398429870605</v>
      </c>
      <c r="CD2">
        <v>0.178732335567474</v>
      </c>
      <c r="CE2">
        <v>0.42650955915451</v>
      </c>
      <c r="CF2">
        <v>0.89263707399368197</v>
      </c>
      <c r="CG2">
        <v>0.55806243419647195</v>
      </c>
      <c r="CH2">
        <v>0.35365739464759799</v>
      </c>
      <c r="CI2">
        <v>0.993094682693481</v>
      </c>
      <c r="CJ2">
        <v>0.45197856426239003</v>
      </c>
      <c r="CK2">
        <v>0.63475793600082397</v>
      </c>
      <c r="CL2">
        <v>0.44947415590286199</v>
      </c>
      <c r="CM2">
        <v>0.17406573891639701</v>
      </c>
      <c r="CN2">
        <v>0.505346119403839</v>
      </c>
      <c r="CO2">
        <v>0.403062283992767</v>
      </c>
      <c r="CP2">
        <v>0.98895639181136996</v>
      </c>
      <c r="CQ2">
        <v>4.3307796120643602E-2</v>
      </c>
      <c r="CR2">
        <v>1.54060255736112E-2</v>
      </c>
      <c r="CS2">
        <v>0.31486064195632901</v>
      </c>
      <c r="CT2">
        <v>0.55098140239715498</v>
      </c>
      <c r="CU2">
        <v>1.5115027781575899E-4</v>
      </c>
      <c r="CV2" s="8">
        <v>6.2133044593792798E-6</v>
      </c>
      <c r="CW2" s="8">
        <v>1.12559137050993E-5</v>
      </c>
      <c r="CX2">
        <v>0.40439143776893599</v>
      </c>
      <c r="CY2">
        <v>1.26237820950336E-4</v>
      </c>
      <c r="CZ2" s="8">
        <v>1.1505819657031599E-6</v>
      </c>
      <c r="DA2">
        <v>2.9197053983807501E-2</v>
      </c>
      <c r="DB2">
        <v>6.6177407279610601E-4</v>
      </c>
      <c r="DC2">
        <v>5.4421141976490595E-4</v>
      </c>
      <c r="DD2">
        <v>2.5611426681280101E-2</v>
      </c>
      <c r="DE2" s="8">
        <v>5.43797832506243E-5</v>
      </c>
    </row>
    <row r="3" spans="1:109" x14ac:dyDescent="0.3">
      <c r="A3" t="s">
        <v>1186</v>
      </c>
      <c r="B3" t="s">
        <v>476</v>
      </c>
      <c r="C3" t="s">
        <v>480</v>
      </c>
      <c r="D3" t="s">
        <v>476</v>
      </c>
      <c r="E3">
        <v>514.23</v>
      </c>
      <c r="F3">
        <v>516.11648408255303</v>
      </c>
      <c r="G3">
        <v>0.99634484822567404</v>
      </c>
      <c r="H3">
        <v>5</v>
      </c>
      <c r="I3">
        <v>1</v>
      </c>
      <c r="J3">
        <v>50.8</v>
      </c>
      <c r="K3">
        <v>10</v>
      </c>
      <c r="L3">
        <v>4</v>
      </c>
      <c r="M3">
        <v>10</v>
      </c>
      <c r="N3">
        <v>8</v>
      </c>
      <c r="O3">
        <v>0</v>
      </c>
      <c r="P3">
        <v>24</v>
      </c>
      <c r="Q3">
        <v>0.41666666666666602</v>
      </c>
      <c r="R3">
        <v>2</v>
      </c>
      <c r="S3">
        <v>0</v>
      </c>
      <c r="T3">
        <v>0.41699999999999998</v>
      </c>
      <c r="U3">
        <v>3.9470000000000001</v>
      </c>
      <c r="V3">
        <v>0.34499999999999997</v>
      </c>
      <c r="W3">
        <v>82</v>
      </c>
      <c r="X3">
        <v>-0.498</v>
      </c>
      <c r="Y3" t="s">
        <v>1298</v>
      </c>
      <c r="Z3" t="s">
        <v>1298</v>
      </c>
      <c r="AA3" t="s">
        <v>1298</v>
      </c>
      <c r="AB3" t="s">
        <v>1298</v>
      </c>
      <c r="AC3">
        <v>0</v>
      </c>
      <c r="AD3">
        <v>1</v>
      </c>
      <c r="AE3">
        <v>1</v>
      </c>
      <c r="AF3">
        <v>1</v>
      </c>
      <c r="AG3">
        <v>-4.9902248797573296</v>
      </c>
      <c r="AH3">
        <v>3.6304336569545201</v>
      </c>
      <c r="AI3">
        <v>4.2301938682968796</v>
      </c>
      <c r="AJ3">
        <v>132.433722558483</v>
      </c>
      <c r="AK3">
        <v>318.85674486291998</v>
      </c>
      <c r="AL3">
        <v>8.4893498795421198</v>
      </c>
      <c r="AM3">
        <v>6.02557604670654</v>
      </c>
      <c r="AN3">
        <v>-5.1896855717544002</v>
      </c>
      <c r="AO3">
        <v>-4.8336754979838403</v>
      </c>
      <c r="AP3">
        <v>0.16479675471782601</v>
      </c>
      <c r="AQ3">
        <v>0.81179130077362005</v>
      </c>
      <c r="AR3">
        <v>8.7900601327419198E-2</v>
      </c>
      <c r="AS3" s="8">
        <v>9.2983245849609294E-5</v>
      </c>
      <c r="AT3">
        <v>2.6814341545104898E-3</v>
      </c>
      <c r="AU3">
        <v>0.52349096536636297</v>
      </c>
      <c r="AV3">
        <v>0.55096662044525102</v>
      </c>
      <c r="AW3">
        <v>6.1093259602785097E-2</v>
      </c>
      <c r="AX3">
        <v>0.51329016685485795</v>
      </c>
      <c r="AY3">
        <v>0.14576897025108301</v>
      </c>
      <c r="AZ3">
        <v>0.96454262733459395</v>
      </c>
      <c r="BA3">
        <v>4.7037424519658002E-3</v>
      </c>
      <c r="BB3">
        <v>0.56320732831954901</v>
      </c>
      <c r="BC3">
        <v>99.487221919924394</v>
      </c>
      <c r="BD3">
        <v>0.89264677366874301</v>
      </c>
      <c r="BE3">
        <v>0.419051267361777</v>
      </c>
      <c r="BF3">
        <v>1.37421647086739E-2</v>
      </c>
      <c r="BG3">
        <v>0.999564349651336</v>
      </c>
      <c r="BH3">
        <v>0.99966597557067804</v>
      </c>
      <c r="BI3">
        <v>1</v>
      </c>
      <c r="BJ3">
        <v>0.99997580051422097</v>
      </c>
      <c r="BK3">
        <v>0.99932384490966797</v>
      </c>
      <c r="BL3">
        <v>0.90956848859786898</v>
      </c>
      <c r="BM3">
        <v>0.93347853422164895</v>
      </c>
      <c r="BN3">
        <v>0.99999904632568304</v>
      </c>
      <c r="BO3">
        <v>0.99999988079071001</v>
      </c>
      <c r="BP3">
        <v>0.99999833106994596</v>
      </c>
      <c r="BQ3" s="8">
        <v>4.7820765757933198E-5</v>
      </c>
      <c r="BR3">
        <v>1</v>
      </c>
      <c r="BS3">
        <v>0.99807357788085904</v>
      </c>
      <c r="BT3">
        <v>9.6119198723981096</v>
      </c>
      <c r="BU3">
        <v>0.596677937206885</v>
      </c>
      <c r="BV3">
        <v>2.12670695563552</v>
      </c>
      <c r="BW3">
        <v>4.1377989568334002</v>
      </c>
      <c r="BX3">
        <v>6.0593220819855897</v>
      </c>
      <c r="BY3">
        <v>5.2546516932374097</v>
      </c>
      <c r="BZ3">
        <v>0.52188915014266901</v>
      </c>
      <c r="CA3">
        <v>0.49948275089263899</v>
      </c>
      <c r="CB3">
        <v>0.11416300386190401</v>
      </c>
      <c r="CC3">
        <v>0.15263418853282901</v>
      </c>
      <c r="CD3">
        <v>0.69748574495315496</v>
      </c>
      <c r="CE3">
        <v>0.92506968975067105</v>
      </c>
      <c r="CF3">
        <v>0.48445615172386097</v>
      </c>
      <c r="CG3">
        <v>4.7229602932929902E-2</v>
      </c>
      <c r="CH3" s="8">
        <v>2.9468803404597501E-5</v>
      </c>
      <c r="CI3">
        <v>1.0749462060630301E-2</v>
      </c>
      <c r="CJ3">
        <v>0.809234619140625</v>
      </c>
      <c r="CK3">
        <v>0.85594826936721802</v>
      </c>
      <c r="CL3">
        <v>0.89763671159744196</v>
      </c>
      <c r="CM3">
        <v>0.95390605926513605</v>
      </c>
      <c r="CN3">
        <v>0.49106189608573902</v>
      </c>
      <c r="CO3">
        <v>0.91677415370941095</v>
      </c>
      <c r="CP3">
        <v>0.99841213226318304</v>
      </c>
      <c r="CQ3">
        <v>0.108770497143268</v>
      </c>
      <c r="CR3">
        <v>0.64335131645202603</v>
      </c>
      <c r="CS3">
        <v>0.66197961568832397</v>
      </c>
      <c r="CT3">
        <v>4.3461803346872302E-2</v>
      </c>
      <c r="CU3">
        <v>2.0314060151576899E-2</v>
      </c>
      <c r="CV3">
        <v>4.9935531569644798E-4</v>
      </c>
      <c r="CW3">
        <v>4.3112087994813898E-2</v>
      </c>
      <c r="CX3">
        <v>0.74312716722488403</v>
      </c>
      <c r="CY3">
        <v>1.1321757920086299E-3</v>
      </c>
      <c r="CZ3">
        <v>2.37981497775763E-4</v>
      </c>
      <c r="DA3">
        <v>9.4768010079860604E-2</v>
      </c>
      <c r="DB3">
        <v>6.9931783946230997E-4</v>
      </c>
      <c r="DC3" s="8">
        <v>4.27386657975148E-5</v>
      </c>
      <c r="DD3">
        <v>0.18922872841358099</v>
      </c>
      <c r="DE3">
        <v>4.1814766824245397E-2</v>
      </c>
    </row>
    <row r="4" spans="1:109" x14ac:dyDescent="0.3">
      <c r="A4" t="s">
        <v>527</v>
      </c>
      <c r="B4" t="s">
        <v>524</v>
      </c>
      <c r="C4" t="s">
        <v>527</v>
      </c>
      <c r="D4" t="s">
        <v>524</v>
      </c>
      <c r="E4">
        <v>748.51</v>
      </c>
      <c r="F4">
        <v>764.97430627667802</v>
      </c>
      <c r="G4">
        <v>0.97847730813755796</v>
      </c>
      <c r="H4">
        <v>14</v>
      </c>
      <c r="I4">
        <v>5</v>
      </c>
      <c r="J4">
        <v>180.08</v>
      </c>
      <c r="K4">
        <v>7</v>
      </c>
      <c r="L4">
        <v>3</v>
      </c>
      <c r="M4">
        <v>15</v>
      </c>
      <c r="N4">
        <v>14</v>
      </c>
      <c r="O4">
        <v>0</v>
      </c>
      <c r="P4">
        <v>28</v>
      </c>
      <c r="Q4">
        <v>0.25</v>
      </c>
      <c r="R4">
        <v>18</v>
      </c>
      <c r="S4">
        <v>1</v>
      </c>
      <c r="T4">
        <v>0.23799999999999999</v>
      </c>
      <c r="U4">
        <v>6.133</v>
      </c>
      <c r="V4">
        <v>0.97399999999999998</v>
      </c>
      <c r="W4">
        <v>93.12</v>
      </c>
      <c r="X4">
        <v>1.8520000000000001</v>
      </c>
      <c r="Y4" t="s">
        <v>1299</v>
      </c>
      <c r="Z4" t="s">
        <v>1298</v>
      </c>
      <c r="AA4" t="s">
        <v>1298</v>
      </c>
      <c r="AB4" t="s">
        <v>1298</v>
      </c>
      <c r="AC4">
        <v>1</v>
      </c>
      <c r="AD4">
        <v>0</v>
      </c>
      <c r="AE4">
        <v>1</v>
      </c>
      <c r="AF4">
        <v>1</v>
      </c>
      <c r="AG4">
        <v>-2.54339093088024</v>
      </c>
      <c r="AH4">
        <v>2.3682845241303099</v>
      </c>
      <c r="AI4">
        <v>1.88556856486973</v>
      </c>
      <c r="AJ4">
        <v>135.188799456731</v>
      </c>
      <c r="AK4">
        <v>240.655031777337</v>
      </c>
      <c r="AL4">
        <v>5.7661545279350799</v>
      </c>
      <c r="AM4">
        <v>7.5105320728393803</v>
      </c>
      <c r="AN4">
        <v>-5.86853815023529</v>
      </c>
      <c r="AO4">
        <v>-5.19796179612025</v>
      </c>
      <c r="AP4">
        <v>0.99980205297470004</v>
      </c>
      <c r="AQ4" s="8">
        <v>6.1609279100593899E-7</v>
      </c>
      <c r="AR4">
        <v>0.99986946582794101</v>
      </c>
      <c r="AS4" s="8">
        <v>1.07288360595703E-6</v>
      </c>
      <c r="AT4">
        <v>6.7770481109619097E-4</v>
      </c>
      <c r="AU4">
        <v>7.3902010917663496E-3</v>
      </c>
      <c r="AV4">
        <v>0.99294604081660498</v>
      </c>
      <c r="AW4">
        <v>0.25644427537918002</v>
      </c>
      <c r="AX4">
        <v>9.0110814198851499E-3</v>
      </c>
      <c r="AY4">
        <v>1.7630413640290499E-4</v>
      </c>
      <c r="AZ4" s="8">
        <v>6.6579959820955899E-6</v>
      </c>
      <c r="BA4">
        <v>0.101368397474288</v>
      </c>
      <c r="BB4">
        <v>0.998507320880889</v>
      </c>
      <c r="BC4">
        <v>31.6966460168555</v>
      </c>
      <c r="BD4">
        <v>-0.21623123312947701</v>
      </c>
      <c r="BE4">
        <v>70.976101405307304</v>
      </c>
      <c r="BF4" s="8">
        <v>3.37380324415617E-13</v>
      </c>
      <c r="BG4">
        <v>8.6214224575087396E-4</v>
      </c>
      <c r="BH4" s="8">
        <v>1.93308346760345E-12</v>
      </c>
      <c r="BI4">
        <v>0.99943655729293801</v>
      </c>
      <c r="BJ4" s="8">
        <v>6.2544788792529005E-11</v>
      </c>
      <c r="BK4" s="8">
        <v>1.01382156003637E-8</v>
      </c>
      <c r="BL4" s="8">
        <v>2.9405358873191202E-5</v>
      </c>
      <c r="BM4" s="8">
        <v>1.2412536420924801E-7</v>
      </c>
      <c r="BN4">
        <v>1.9276838283985799E-3</v>
      </c>
      <c r="BO4">
        <v>0.99932014942169101</v>
      </c>
      <c r="BP4">
        <v>0.18667434155941001</v>
      </c>
      <c r="BQ4" s="8">
        <v>3.3563722886598999E-16</v>
      </c>
      <c r="BR4" s="8">
        <v>1.0809113518917E-5</v>
      </c>
      <c r="BS4">
        <v>5.36811864003539E-3</v>
      </c>
      <c r="BT4">
        <v>5.2254211318889903</v>
      </c>
      <c r="BU4">
        <v>4.2972436743873104</v>
      </c>
      <c r="BV4">
        <v>0.490140153022459</v>
      </c>
      <c r="BW4">
        <v>3.18991050274933</v>
      </c>
      <c r="BX4">
        <v>4.7306777199216299</v>
      </c>
      <c r="BY4">
        <v>3.87948676109986</v>
      </c>
      <c r="BZ4">
        <v>8.8575795292854295E-2</v>
      </c>
      <c r="CA4">
        <v>0.35050076246261502</v>
      </c>
      <c r="CB4">
        <v>0.90105903148651101</v>
      </c>
      <c r="CC4">
        <v>0.86986273527145297</v>
      </c>
      <c r="CD4">
        <v>0.17479829490184701</v>
      </c>
      <c r="CE4">
        <v>0.234564289450645</v>
      </c>
      <c r="CF4">
        <v>0.99999940395355202</v>
      </c>
      <c r="CG4">
        <v>0.31783059239387501</v>
      </c>
      <c r="CH4">
        <v>2.4774805642664398E-3</v>
      </c>
      <c r="CI4">
        <v>7.7405699994415001E-4</v>
      </c>
      <c r="CJ4">
        <v>0.39786657691001798</v>
      </c>
      <c r="CK4">
        <v>0.75615596771240201</v>
      </c>
      <c r="CL4">
        <v>0.81581848859786898</v>
      </c>
      <c r="CM4">
        <v>0.97522574663162198</v>
      </c>
      <c r="CN4">
        <v>0.80469274520874001</v>
      </c>
      <c r="CO4">
        <v>0.99881589412689198</v>
      </c>
      <c r="CP4">
        <v>0.46298184990882801</v>
      </c>
      <c r="CQ4">
        <v>0.52277135848999001</v>
      </c>
      <c r="CR4">
        <v>0.90702086687088002</v>
      </c>
      <c r="CS4">
        <v>0.48070654273033098</v>
      </c>
      <c r="CT4" s="8">
        <v>2.61136534618344E-7</v>
      </c>
      <c r="CU4">
        <v>2.86492489976808E-4</v>
      </c>
      <c r="CV4" s="8">
        <v>1.42432030614259E-8</v>
      </c>
      <c r="CW4" s="8">
        <v>2.2572170621515299E-7</v>
      </c>
      <c r="CX4">
        <v>7.4268139898776994E-2</v>
      </c>
      <c r="CY4" s="8">
        <v>3.8659830892129296E-9</v>
      </c>
      <c r="CZ4" s="8">
        <v>2.8002535186477601E-13</v>
      </c>
      <c r="DA4" s="8">
        <v>5.7323899227412703E-7</v>
      </c>
      <c r="DB4" s="8">
        <v>9.3313579085929599E-9</v>
      </c>
      <c r="DC4" s="8">
        <v>1.4169061479663E-9</v>
      </c>
      <c r="DD4" s="8">
        <v>6.1813443252844898E-10</v>
      </c>
      <c r="DE4" s="8">
        <v>1.4883086407735301E-7</v>
      </c>
    </row>
    <row r="5" spans="1:109" x14ac:dyDescent="0.3">
      <c r="A5" t="s">
        <v>296</v>
      </c>
      <c r="B5" t="s">
        <v>294</v>
      </c>
      <c r="C5" t="s">
        <v>295</v>
      </c>
      <c r="D5" t="s">
        <v>294</v>
      </c>
      <c r="E5">
        <v>748.51</v>
      </c>
      <c r="F5">
        <v>764.97430627667802</v>
      </c>
      <c r="G5">
        <v>0.97847730813755796</v>
      </c>
      <c r="H5">
        <v>14</v>
      </c>
      <c r="I5">
        <v>5</v>
      </c>
      <c r="J5">
        <v>180.08</v>
      </c>
      <c r="K5">
        <v>7</v>
      </c>
      <c r="L5">
        <v>3</v>
      </c>
      <c r="M5">
        <v>15</v>
      </c>
      <c r="N5">
        <v>14</v>
      </c>
      <c r="O5">
        <v>0</v>
      </c>
      <c r="P5">
        <v>28</v>
      </c>
      <c r="Q5">
        <v>0.25</v>
      </c>
      <c r="R5">
        <v>18</v>
      </c>
      <c r="S5">
        <v>1</v>
      </c>
      <c r="T5">
        <v>0.23799999999999999</v>
      </c>
      <c r="U5">
        <v>6.133</v>
      </c>
      <c r="V5">
        <v>0.97399999999999998</v>
      </c>
      <c r="W5">
        <v>93.12</v>
      </c>
      <c r="X5">
        <v>1.8520000000000001</v>
      </c>
      <c r="Y5" t="s">
        <v>1299</v>
      </c>
      <c r="Z5" t="s">
        <v>1298</v>
      </c>
      <c r="AA5" t="s">
        <v>1298</v>
      </c>
      <c r="AB5" t="s">
        <v>1298</v>
      </c>
      <c r="AC5">
        <v>1</v>
      </c>
      <c r="AD5">
        <v>0</v>
      </c>
      <c r="AE5">
        <v>1</v>
      </c>
      <c r="AF5">
        <v>1</v>
      </c>
      <c r="AG5">
        <v>-2.4720059808758998</v>
      </c>
      <c r="AH5">
        <v>2.5034206419574501</v>
      </c>
      <c r="AI5">
        <v>2.0903777683758298</v>
      </c>
      <c r="AJ5">
        <v>144.68050991746699</v>
      </c>
      <c r="AK5">
        <v>238.430327010056</v>
      </c>
      <c r="AL5">
        <v>6.2805310258665399</v>
      </c>
      <c r="AM5">
        <v>7.7597302809993698</v>
      </c>
      <c r="AN5">
        <v>-5.9954387950443504</v>
      </c>
      <c r="AO5">
        <v>-5.1610027186923197</v>
      </c>
      <c r="AP5">
        <v>0.99976617097854603</v>
      </c>
      <c r="AQ5" s="8">
        <v>1.1543876610176E-7</v>
      </c>
      <c r="AR5">
        <v>0.99963068962097101</v>
      </c>
      <c r="AS5" s="8">
        <v>1.6808509826660099E-5</v>
      </c>
      <c r="AT5">
        <v>1.3378858566284099E-3</v>
      </c>
      <c r="AU5">
        <v>3.1516075134277302E-2</v>
      </c>
      <c r="AV5">
        <v>0.99807249486911997</v>
      </c>
      <c r="AW5">
        <v>0.67826050519943204</v>
      </c>
      <c r="AX5">
        <v>6.1217445880174602E-2</v>
      </c>
      <c r="AY5">
        <v>5.0135154742747502E-4</v>
      </c>
      <c r="AZ5" s="8">
        <v>5.9197252994635999E-5</v>
      </c>
      <c r="BA5">
        <v>0.285227119922637</v>
      </c>
      <c r="BB5">
        <v>0.98392337560653598</v>
      </c>
      <c r="BC5">
        <v>25.4849585676515</v>
      </c>
      <c r="BD5">
        <v>-0.20780394797253199</v>
      </c>
      <c r="BE5">
        <v>80.0423645502878</v>
      </c>
      <c r="BF5" s="8">
        <v>2.5543532133215298E-12</v>
      </c>
      <c r="BG5">
        <v>1.5894096577540001E-3</v>
      </c>
      <c r="BH5" s="8">
        <v>3.98564098391673E-11</v>
      </c>
      <c r="BI5">
        <v>0.96425092220306396</v>
      </c>
      <c r="BJ5" s="8">
        <v>5.2909138875678601E-11</v>
      </c>
      <c r="BK5" s="8">
        <v>1.4056965313979899E-10</v>
      </c>
      <c r="BL5" s="8">
        <v>9.5802015493973107E-6</v>
      </c>
      <c r="BM5" s="8">
        <v>7.1603069955017404E-5</v>
      </c>
      <c r="BN5">
        <v>3.2748046796768899E-3</v>
      </c>
      <c r="BO5">
        <v>0.99993991851806596</v>
      </c>
      <c r="BP5">
        <v>0.99915468692779497</v>
      </c>
      <c r="BQ5" s="8">
        <v>2.9965395191041599E-22</v>
      </c>
      <c r="BR5" s="8">
        <v>1.75912136910483E-5</v>
      </c>
      <c r="BS5">
        <v>6.9265164434909807E-2</v>
      </c>
      <c r="BT5">
        <v>6.2208594160428197</v>
      </c>
      <c r="BU5">
        <v>4.9887811361414398</v>
      </c>
      <c r="BV5">
        <v>0.44324475273564201</v>
      </c>
      <c r="BW5">
        <v>3.1002390876142898</v>
      </c>
      <c r="BX5">
        <v>4.6493756799811203</v>
      </c>
      <c r="BY5">
        <v>3.8149346247361602</v>
      </c>
      <c r="BZ5">
        <v>0.102686703205108</v>
      </c>
      <c r="CA5">
        <v>0.476086616516113</v>
      </c>
      <c r="CB5">
        <v>0.63466131687164296</v>
      </c>
      <c r="CC5">
        <v>0.39000168442726102</v>
      </c>
      <c r="CD5">
        <v>4.59874160587787E-2</v>
      </c>
      <c r="CE5">
        <v>0.12738637626171101</v>
      </c>
      <c r="CF5">
        <v>0.99989938735961903</v>
      </c>
      <c r="CG5">
        <v>0.15525768697261799</v>
      </c>
      <c r="CH5">
        <v>1.00515724625438E-3</v>
      </c>
      <c r="CI5">
        <v>3.1644507544115099E-4</v>
      </c>
      <c r="CJ5">
        <v>5.9161722660064697E-2</v>
      </c>
      <c r="CK5">
        <v>0.56373226642608598</v>
      </c>
      <c r="CL5">
        <v>0.47762465476989702</v>
      </c>
      <c r="CM5">
        <v>0.98320686817169101</v>
      </c>
      <c r="CN5">
        <v>0.199028670787811</v>
      </c>
      <c r="CO5">
        <v>0.99348688125610296</v>
      </c>
      <c r="CP5">
        <v>8.7404131889343206E-2</v>
      </c>
      <c r="CQ5">
        <v>0.33944630622863697</v>
      </c>
      <c r="CR5">
        <v>0.25969195365905701</v>
      </c>
      <c r="CS5">
        <v>0.21718581020832001</v>
      </c>
      <c r="CT5" s="8">
        <v>2.7674570191038501E-8</v>
      </c>
      <c r="CU5" s="8">
        <v>3.5566357837524197E-5</v>
      </c>
      <c r="CV5" s="8">
        <v>1.9063282064024601E-9</v>
      </c>
      <c r="CW5" s="8">
        <v>2.2139634126005999E-8</v>
      </c>
      <c r="CX5">
        <v>9.2738039791584001E-2</v>
      </c>
      <c r="CY5" s="8">
        <v>1.9764262448873601E-10</v>
      </c>
      <c r="CZ5" s="8">
        <v>5.0165547476959603E-15</v>
      </c>
      <c r="DA5" s="8">
        <v>8.3123964600417795E-8</v>
      </c>
      <c r="DB5" s="8">
        <v>1.4659432556740601E-9</v>
      </c>
      <c r="DC5" s="8">
        <v>2.8538855306736699E-11</v>
      </c>
      <c r="DD5" s="8">
        <v>3.4339177334974303E-11</v>
      </c>
      <c r="DE5" s="8">
        <v>2.8875966506802701E-8</v>
      </c>
    </row>
    <row r="6" spans="1:109" x14ac:dyDescent="0.3">
      <c r="A6" t="s">
        <v>41</v>
      </c>
      <c r="B6" t="s">
        <v>36</v>
      </c>
      <c r="C6" t="s">
        <v>40</v>
      </c>
      <c r="D6" t="s">
        <v>36</v>
      </c>
      <c r="E6">
        <v>584.41</v>
      </c>
      <c r="F6">
        <v>630.62515818587099</v>
      </c>
      <c r="G6">
        <v>0.92671532750323504</v>
      </c>
      <c r="H6">
        <v>6</v>
      </c>
      <c r="I6">
        <v>2</v>
      </c>
      <c r="J6">
        <v>100.9</v>
      </c>
      <c r="K6">
        <v>7</v>
      </c>
      <c r="L6">
        <v>5</v>
      </c>
      <c r="M6">
        <v>21</v>
      </c>
      <c r="N6">
        <v>6</v>
      </c>
      <c r="O6">
        <v>0</v>
      </c>
      <c r="P6">
        <v>29</v>
      </c>
      <c r="Q6">
        <v>0.24137931034482701</v>
      </c>
      <c r="R6">
        <v>10</v>
      </c>
      <c r="S6">
        <v>1</v>
      </c>
      <c r="T6">
        <v>0.24099999999999999</v>
      </c>
      <c r="U6">
        <v>4.9320000000000004</v>
      </c>
      <c r="V6">
        <v>0.86099999999999999</v>
      </c>
      <c r="W6">
        <v>112.955</v>
      </c>
      <c r="X6">
        <v>2.6869999999999998</v>
      </c>
      <c r="Y6" t="s">
        <v>1298</v>
      </c>
      <c r="Z6" t="s">
        <v>1298</v>
      </c>
      <c r="AA6" t="s">
        <v>1298</v>
      </c>
      <c r="AB6" t="s">
        <v>1298</v>
      </c>
      <c r="AC6">
        <v>1</v>
      </c>
      <c r="AD6">
        <v>0</v>
      </c>
      <c r="AE6">
        <v>1</v>
      </c>
      <c r="AF6">
        <v>1</v>
      </c>
      <c r="AG6">
        <v>-4.9012600091358598</v>
      </c>
      <c r="AH6">
        <v>3.6151045237726902</v>
      </c>
      <c r="AI6">
        <v>5.1277748390336901</v>
      </c>
      <c r="AJ6">
        <v>223.64012968988999</v>
      </c>
      <c r="AK6">
        <v>368.81466542770602</v>
      </c>
      <c r="AL6">
        <v>4.8009049812958304</v>
      </c>
      <c r="AM6">
        <v>1.16953570574687</v>
      </c>
      <c r="AN6">
        <v>-5.2528602067613601</v>
      </c>
      <c r="AO6">
        <v>-5.0167929937731</v>
      </c>
      <c r="AP6">
        <v>0.94612318277358998</v>
      </c>
      <c r="AQ6" s="8">
        <v>9.3906324764247902E-5</v>
      </c>
      <c r="AR6" s="8">
        <v>9.5084484200924594E-5</v>
      </c>
      <c r="AS6">
        <v>1.06841325759887E-3</v>
      </c>
      <c r="AT6">
        <v>0.70270022749900796</v>
      </c>
      <c r="AU6">
        <v>0.95663435757160098</v>
      </c>
      <c r="AV6">
        <v>0.999900127600994</v>
      </c>
      <c r="AW6">
        <v>0.99998271465301503</v>
      </c>
      <c r="AX6">
        <v>0.99261945486068703</v>
      </c>
      <c r="AY6">
        <v>9.4579829601570899E-4</v>
      </c>
      <c r="AZ6">
        <v>5.14774657785892E-2</v>
      </c>
      <c r="BA6">
        <v>1.16432234644889E-2</v>
      </c>
      <c r="BB6">
        <v>0.98034900426864602</v>
      </c>
      <c r="BC6">
        <v>98.298923835548194</v>
      </c>
      <c r="BD6">
        <v>-0.24982069937637499</v>
      </c>
      <c r="BE6">
        <v>1.5507748856716199</v>
      </c>
      <c r="BF6" s="8">
        <v>7.6316953863563205E-16</v>
      </c>
      <c r="BG6">
        <v>1.2153679563198201E-4</v>
      </c>
      <c r="BH6" s="8">
        <v>2.5624966593085198E-9</v>
      </c>
      <c r="BI6">
        <v>0.20028036832809401</v>
      </c>
      <c r="BJ6" s="8">
        <v>2.0631232473533601E-5</v>
      </c>
      <c r="BK6">
        <v>8.3169816061854293E-3</v>
      </c>
      <c r="BL6" s="8">
        <v>5.4108628688709297E-10</v>
      </c>
      <c r="BM6" s="8">
        <v>4.7137793668383603E-10</v>
      </c>
      <c r="BN6" s="8">
        <v>1.2223220835494399E-7</v>
      </c>
      <c r="BO6">
        <v>0.92216414213180498</v>
      </c>
      <c r="BP6" s="8">
        <v>4.2239436879753999E-5</v>
      </c>
      <c r="BQ6" s="8">
        <v>7.9842238376315301E-10</v>
      </c>
      <c r="BR6">
        <v>4.7055137110874003E-4</v>
      </c>
      <c r="BS6">
        <v>1.4336605090647901E-4</v>
      </c>
      <c r="BT6">
        <v>1.1268945269948101</v>
      </c>
      <c r="BU6">
        <v>1.5146052867680999</v>
      </c>
      <c r="BV6">
        <v>0.55461837990460805</v>
      </c>
      <c r="BW6">
        <v>3.7476404797071901</v>
      </c>
      <c r="BX6">
        <v>5.32935515197107</v>
      </c>
      <c r="BY6">
        <v>4.58856060292121</v>
      </c>
      <c r="BZ6">
        <v>1.5655923634767501E-2</v>
      </c>
      <c r="CA6">
        <v>1.22779766097664E-2</v>
      </c>
      <c r="CB6">
        <v>0.75939714908599798</v>
      </c>
      <c r="CC6">
        <v>0.110697396099567</v>
      </c>
      <c r="CD6">
        <v>0.155373260378837</v>
      </c>
      <c r="CE6">
        <v>0.39738392829894997</v>
      </c>
      <c r="CF6">
        <v>0.96054869890213002</v>
      </c>
      <c r="CG6">
        <v>0.84816819429397505</v>
      </c>
      <c r="CH6">
        <v>0.19536492228507901</v>
      </c>
      <c r="CI6">
        <v>0.73307502269744795</v>
      </c>
      <c r="CJ6">
        <v>0.85020011663436801</v>
      </c>
      <c r="CK6">
        <v>0.74228405952453602</v>
      </c>
      <c r="CL6">
        <v>1.53626147657632E-2</v>
      </c>
      <c r="CM6">
        <v>0.69313871860504095</v>
      </c>
      <c r="CN6">
        <v>0.53727465867996205</v>
      </c>
      <c r="CO6">
        <v>0.92988222837448098</v>
      </c>
      <c r="CP6">
        <v>0.731295406818389</v>
      </c>
      <c r="CQ6">
        <v>1.30506129935383E-2</v>
      </c>
      <c r="CR6">
        <v>3.6429774481803101E-3</v>
      </c>
      <c r="CS6">
        <v>2.5203758850693699E-2</v>
      </c>
      <c r="CT6" s="8">
        <v>2.5352305783599099E-6</v>
      </c>
      <c r="CU6">
        <v>3.0546390917152101E-3</v>
      </c>
      <c r="CV6" s="8">
        <v>2.74592257483163E-5</v>
      </c>
      <c r="CW6">
        <v>1.6373224556445999E-2</v>
      </c>
      <c r="CX6">
        <v>0.475101947784423</v>
      </c>
      <c r="CY6">
        <v>1.0011966805905099E-3</v>
      </c>
      <c r="CZ6">
        <v>2.8542070649564201E-3</v>
      </c>
      <c r="DA6">
        <v>0.55141305923461903</v>
      </c>
      <c r="DB6" s="8">
        <v>6.5735192038118799E-5</v>
      </c>
      <c r="DC6">
        <v>4.53710108995437E-2</v>
      </c>
      <c r="DD6">
        <v>1.04147205129265E-2</v>
      </c>
      <c r="DE6">
        <v>2.3021365050226398E-3</v>
      </c>
    </row>
    <row r="7" spans="1:109" x14ac:dyDescent="0.3">
      <c r="A7" t="s">
        <v>209</v>
      </c>
      <c r="B7" t="s">
        <v>204</v>
      </c>
      <c r="C7" t="s">
        <v>208</v>
      </c>
      <c r="D7" t="s">
        <v>204</v>
      </c>
      <c r="E7">
        <v>441.18</v>
      </c>
      <c r="F7">
        <v>447.89077127563399</v>
      </c>
      <c r="G7">
        <v>0.98501694675127605</v>
      </c>
      <c r="H7">
        <v>8</v>
      </c>
      <c r="I7">
        <v>0</v>
      </c>
      <c r="J7">
        <v>85.5</v>
      </c>
      <c r="K7">
        <v>5</v>
      </c>
      <c r="L7">
        <v>5</v>
      </c>
      <c r="M7">
        <v>15</v>
      </c>
      <c r="N7">
        <v>8</v>
      </c>
      <c r="O7">
        <v>0</v>
      </c>
      <c r="P7">
        <v>29</v>
      </c>
      <c r="Q7">
        <v>0.17241379310344801</v>
      </c>
      <c r="R7">
        <v>0</v>
      </c>
      <c r="S7">
        <v>0</v>
      </c>
      <c r="T7">
        <v>0.34699999999999998</v>
      </c>
      <c r="U7">
        <v>2.9660000000000002</v>
      </c>
      <c r="V7">
        <v>0.2</v>
      </c>
      <c r="W7">
        <v>54</v>
      </c>
      <c r="X7">
        <v>-0.441</v>
      </c>
      <c r="Y7" t="s">
        <v>1298</v>
      </c>
      <c r="Z7" t="s">
        <v>1298</v>
      </c>
      <c r="AA7" t="s">
        <v>1298</v>
      </c>
      <c r="AB7" t="s">
        <v>1298</v>
      </c>
      <c r="AC7">
        <v>0</v>
      </c>
      <c r="AD7">
        <v>0</v>
      </c>
      <c r="AE7">
        <v>1</v>
      </c>
      <c r="AF7">
        <v>0</v>
      </c>
      <c r="AG7">
        <v>-3.6471960882769299</v>
      </c>
      <c r="AH7">
        <v>1.71400567013991</v>
      </c>
      <c r="AI7">
        <v>1.58564113990511</v>
      </c>
      <c r="AJ7">
        <v>172.38288370567199</v>
      </c>
      <c r="AK7">
        <v>323.21526575285998</v>
      </c>
      <c r="AL7">
        <v>8.9208976313828696</v>
      </c>
      <c r="AM7">
        <v>5.9714719892472896</v>
      </c>
      <c r="AN7">
        <v>-5.0429276772889597</v>
      </c>
      <c r="AO7">
        <v>-4.63602481305265</v>
      </c>
      <c r="AP7">
        <v>5.8762446045875501E-2</v>
      </c>
      <c r="AQ7">
        <v>0.211598590016365</v>
      </c>
      <c r="AR7">
        <v>0.13636255264282199</v>
      </c>
      <c r="AS7">
        <v>2.9486417770385699E-4</v>
      </c>
      <c r="AT7">
        <v>9.3692541122436502E-4</v>
      </c>
      <c r="AU7">
        <v>4.1308641433715799E-2</v>
      </c>
      <c r="AV7">
        <v>0.14348477125167799</v>
      </c>
      <c r="AW7">
        <v>2.91330907493829E-2</v>
      </c>
      <c r="AX7">
        <v>2.9087606817483899E-2</v>
      </c>
      <c r="AY7">
        <v>1.0286460630595601E-2</v>
      </c>
      <c r="AZ7">
        <v>0.99986171722412098</v>
      </c>
      <c r="BA7">
        <v>0.34744206070899902</v>
      </c>
      <c r="BB7">
        <v>0.52107071876525801</v>
      </c>
      <c r="BC7">
        <v>75.208437302992294</v>
      </c>
      <c r="BD7">
        <v>-0.38295861571876699</v>
      </c>
      <c r="BE7">
        <v>19.441958759051001</v>
      </c>
      <c r="BF7">
        <v>0.24757541716098699</v>
      </c>
      <c r="BG7">
        <v>0.99144190549850397</v>
      </c>
      <c r="BH7">
        <v>0.99932861328125</v>
      </c>
      <c r="BI7">
        <v>0.99545234441757202</v>
      </c>
      <c r="BJ7">
        <v>1.9270066171884499E-2</v>
      </c>
      <c r="BK7">
        <v>0.84362858533859197</v>
      </c>
      <c r="BL7">
        <v>1.06292392592877E-3</v>
      </c>
      <c r="BM7">
        <v>1.6176471486687601E-2</v>
      </c>
      <c r="BN7">
        <v>0.94494646787643399</v>
      </c>
      <c r="BO7">
        <v>0.99089419841766302</v>
      </c>
      <c r="BP7">
        <v>2.7493326924741199E-3</v>
      </c>
      <c r="BQ7">
        <v>1.21963901619892E-4</v>
      </c>
      <c r="BR7">
        <v>0.87893331050872803</v>
      </c>
      <c r="BS7">
        <v>0.99100482463836603</v>
      </c>
      <c r="BT7">
        <v>2.5063745840469598</v>
      </c>
      <c r="BU7">
        <v>0.73097557152442105</v>
      </c>
      <c r="BV7">
        <v>1.4890998913117399</v>
      </c>
      <c r="BW7">
        <v>4.2659418207107498</v>
      </c>
      <c r="BX7">
        <v>5.4318419272404999</v>
      </c>
      <c r="BY7">
        <v>5.0395535722559304</v>
      </c>
      <c r="BZ7">
        <v>0.56949758529662997</v>
      </c>
      <c r="CA7">
        <v>0.62803411483764604</v>
      </c>
      <c r="CB7">
        <v>0.96366328001022294</v>
      </c>
      <c r="CC7">
        <v>0.89973604679107599</v>
      </c>
      <c r="CD7">
        <v>0.68798971176147405</v>
      </c>
      <c r="CE7">
        <v>0.86682534217834395</v>
      </c>
      <c r="CF7">
        <v>0.94873279333114602</v>
      </c>
      <c r="CG7">
        <v>0.81892454624176003</v>
      </c>
      <c r="CH7" s="8">
        <v>1.20903985134646E-6</v>
      </c>
      <c r="CI7">
        <v>0.465720504522323</v>
      </c>
      <c r="CJ7">
        <v>0.78061163425445501</v>
      </c>
      <c r="CK7">
        <v>0.46626633405685403</v>
      </c>
      <c r="CL7">
        <v>0.71169096231460505</v>
      </c>
      <c r="CM7">
        <v>0.35533398389816201</v>
      </c>
      <c r="CN7">
        <v>0.56317311525344804</v>
      </c>
      <c r="CO7">
        <v>0.46520075201988198</v>
      </c>
      <c r="CP7">
        <v>0.99996554851531905</v>
      </c>
      <c r="CQ7">
        <v>0.17933157086372301</v>
      </c>
      <c r="CR7">
        <v>8.8053978979587499E-2</v>
      </c>
      <c r="CS7">
        <v>0.84534782171249301</v>
      </c>
      <c r="CT7">
        <v>0.12640686333179399</v>
      </c>
      <c r="CU7" s="8">
        <v>5.1762421207968098E-5</v>
      </c>
      <c r="CV7" s="8">
        <v>4.3495961676853698E-7</v>
      </c>
      <c r="CW7">
        <v>1.4119361294433401E-3</v>
      </c>
      <c r="CX7">
        <v>3.4606992267072201E-3</v>
      </c>
      <c r="CY7" s="8">
        <v>1.7996843837408899E-7</v>
      </c>
      <c r="CZ7" s="8">
        <v>1.3601456885226001E-6</v>
      </c>
      <c r="DA7">
        <v>0.112434059381484</v>
      </c>
      <c r="DB7" s="8">
        <v>4.3831823859363699E-5</v>
      </c>
      <c r="DC7" s="8">
        <v>4.7169869503704797E-5</v>
      </c>
      <c r="DD7">
        <v>1.11717665567994E-2</v>
      </c>
      <c r="DE7">
        <v>2.5341909378767E-2</v>
      </c>
    </row>
    <row r="8" spans="1:109" x14ac:dyDescent="0.3">
      <c r="A8" t="s">
        <v>1176</v>
      </c>
      <c r="B8" t="s">
        <v>408</v>
      </c>
      <c r="C8" t="s">
        <v>411</v>
      </c>
      <c r="D8" t="s">
        <v>408</v>
      </c>
      <c r="E8">
        <v>422.16</v>
      </c>
      <c r="F8">
        <v>416.415885752549</v>
      </c>
      <c r="G8">
        <v>1.01379417655277</v>
      </c>
      <c r="H8">
        <v>9</v>
      </c>
      <c r="I8">
        <v>1</v>
      </c>
      <c r="J8">
        <v>104.83</v>
      </c>
      <c r="K8">
        <v>7</v>
      </c>
      <c r="L8">
        <v>4</v>
      </c>
      <c r="M8">
        <v>9</v>
      </c>
      <c r="N8">
        <v>9</v>
      </c>
      <c r="O8">
        <v>0</v>
      </c>
      <c r="P8">
        <v>25</v>
      </c>
      <c r="Q8">
        <v>0.28000000000000003</v>
      </c>
      <c r="R8">
        <v>0</v>
      </c>
      <c r="S8">
        <v>0</v>
      </c>
      <c r="T8">
        <v>0.496</v>
      </c>
      <c r="U8">
        <v>2.5</v>
      </c>
      <c r="V8">
        <v>0.27300000000000002</v>
      </c>
      <c r="W8">
        <v>52.570999999999998</v>
      </c>
      <c r="X8">
        <v>-0.77600000000000002</v>
      </c>
      <c r="Y8" t="s">
        <v>1300</v>
      </c>
      <c r="Z8" t="s">
        <v>1301</v>
      </c>
      <c r="AA8" t="s">
        <v>1298</v>
      </c>
      <c r="AB8" t="s">
        <v>1298</v>
      </c>
      <c r="AC8">
        <v>0</v>
      </c>
      <c r="AD8">
        <v>0</v>
      </c>
      <c r="AE8">
        <v>1</v>
      </c>
      <c r="AF8">
        <v>0</v>
      </c>
      <c r="AG8">
        <v>-2.8031884918796601</v>
      </c>
      <c r="AH8">
        <v>1.7520695385378899</v>
      </c>
      <c r="AI8">
        <v>1.39046384787782</v>
      </c>
      <c r="AJ8">
        <v>178.34429331406801</v>
      </c>
      <c r="AK8">
        <v>307.95266860378899</v>
      </c>
      <c r="AL8">
        <v>9.0480879018672002</v>
      </c>
      <c r="AM8">
        <v>4.5235686130318804</v>
      </c>
      <c r="AN8">
        <v>-4.7877004220235797</v>
      </c>
      <c r="AO8">
        <v>-4.7026278578731997</v>
      </c>
      <c r="AP8">
        <v>5.6391712278127601E-2</v>
      </c>
      <c r="AQ8">
        <v>0.909720778465271</v>
      </c>
      <c r="AR8">
        <v>0.31717121601104697</v>
      </c>
      <c r="AS8">
        <v>0.13699322938919001</v>
      </c>
      <c r="AT8">
        <v>0.63207936286926203</v>
      </c>
      <c r="AU8">
        <v>0.75858959555625904</v>
      </c>
      <c r="AV8">
        <v>0.81579162180423703</v>
      </c>
      <c r="AW8">
        <v>0.98512899875640803</v>
      </c>
      <c r="AX8">
        <v>0.99545788764953602</v>
      </c>
      <c r="AY8">
        <v>1.0148923844099E-2</v>
      </c>
      <c r="AZ8">
        <v>0.98958402872085505</v>
      </c>
      <c r="BA8">
        <v>0.30002674460411</v>
      </c>
      <c r="BB8">
        <v>0.89230400323867798</v>
      </c>
      <c r="BC8">
        <v>98.333803589291804</v>
      </c>
      <c r="BD8">
        <v>-0.19199450784549499</v>
      </c>
      <c r="BE8">
        <v>1.6227379918170299</v>
      </c>
      <c r="BF8">
        <v>2.9648351483046998E-4</v>
      </c>
      <c r="BG8">
        <v>3.7952585262246397E-4</v>
      </c>
      <c r="BH8">
        <v>3.6107897758483803E-2</v>
      </c>
      <c r="BI8">
        <v>4.7740261070430201E-3</v>
      </c>
      <c r="BJ8">
        <v>1.5967519721016201E-3</v>
      </c>
      <c r="BK8">
        <v>0.99967133998870805</v>
      </c>
      <c r="BL8" s="8">
        <v>1.72516791963062E-7</v>
      </c>
      <c r="BM8">
        <v>0.95368701219558705</v>
      </c>
      <c r="BN8">
        <v>0.34669435024261402</v>
      </c>
      <c r="BO8">
        <v>0.43966189026832497</v>
      </c>
      <c r="BP8" s="8">
        <v>1.5116904251044599E-5</v>
      </c>
      <c r="BQ8" s="8">
        <v>8.0417272840804799E-8</v>
      </c>
      <c r="BR8">
        <v>4.1479766368865897E-3</v>
      </c>
      <c r="BS8">
        <v>0.14881923794746399</v>
      </c>
      <c r="BT8">
        <v>6.0395958744759701</v>
      </c>
      <c r="BU8">
        <v>0.29569158051421301</v>
      </c>
      <c r="BV8">
        <v>0.44907779850792801</v>
      </c>
      <c r="BW8">
        <v>3.0542448618546501</v>
      </c>
      <c r="BX8">
        <v>4.3144704507448397</v>
      </c>
      <c r="BY8">
        <v>3.7821480762944</v>
      </c>
      <c r="BZ8">
        <v>0.56688719987869196</v>
      </c>
      <c r="CA8">
        <v>0.24520106613636</v>
      </c>
      <c r="CB8">
        <v>0.95649659633636397</v>
      </c>
      <c r="CC8">
        <v>0.39953148365020702</v>
      </c>
      <c r="CD8">
        <v>0.77002382278442305</v>
      </c>
      <c r="CE8">
        <v>0.66040331125259399</v>
      </c>
      <c r="CF8">
        <v>0.12490621954202601</v>
      </c>
      <c r="CG8">
        <v>0.54170030355453402</v>
      </c>
      <c r="CH8" s="8">
        <v>1.9049045008046001E-8</v>
      </c>
      <c r="CI8">
        <v>1.80848464369773E-2</v>
      </c>
      <c r="CJ8">
        <v>0.77331840991973799</v>
      </c>
      <c r="CK8">
        <v>0.806210696697235</v>
      </c>
      <c r="CL8">
        <v>0.81431418657302801</v>
      </c>
      <c r="CM8">
        <v>0.49825280904769897</v>
      </c>
      <c r="CN8">
        <v>0.42967185378074602</v>
      </c>
      <c r="CO8">
        <v>0.81766980886459295</v>
      </c>
      <c r="CP8">
        <v>0.999420166015625</v>
      </c>
      <c r="CQ8">
        <v>0.103064119815826</v>
      </c>
      <c r="CR8">
        <v>6.7900344729423495E-2</v>
      </c>
      <c r="CS8">
        <v>0.27082180976867598</v>
      </c>
      <c r="CT8">
        <v>0.28173950314521701</v>
      </c>
      <c r="CU8">
        <v>4.7813251148909298E-4</v>
      </c>
      <c r="CV8">
        <v>1.8651392310857699E-3</v>
      </c>
      <c r="CW8">
        <v>6.4983749762177398E-3</v>
      </c>
      <c r="CX8">
        <v>5.0541707314550799E-3</v>
      </c>
      <c r="CY8">
        <v>1.0993194300681301E-3</v>
      </c>
      <c r="CZ8" s="8">
        <v>4.7487519623246003E-5</v>
      </c>
      <c r="DA8">
        <v>0.51503479480743397</v>
      </c>
      <c r="DB8">
        <v>3.12932743690907E-3</v>
      </c>
      <c r="DC8">
        <v>0.13109357655048301</v>
      </c>
      <c r="DD8">
        <v>6.2735788524150796E-3</v>
      </c>
      <c r="DE8">
        <v>0.256059199571609</v>
      </c>
    </row>
    <row r="9" spans="1:109" x14ac:dyDescent="0.3">
      <c r="A9" t="s">
        <v>1177</v>
      </c>
      <c r="B9" t="s">
        <v>404</v>
      </c>
      <c r="C9" t="s">
        <v>406</v>
      </c>
      <c r="D9" t="s">
        <v>1302</v>
      </c>
      <c r="E9">
        <v>532.14</v>
      </c>
      <c r="F9">
        <v>488.70003273055403</v>
      </c>
      <c r="G9">
        <v>1.0888888159608401</v>
      </c>
      <c r="H9">
        <v>13</v>
      </c>
      <c r="I9">
        <v>2</v>
      </c>
      <c r="J9">
        <v>160.72999999999999</v>
      </c>
      <c r="K9">
        <v>10</v>
      </c>
      <c r="L9">
        <v>4</v>
      </c>
      <c r="M9">
        <v>9</v>
      </c>
      <c r="N9">
        <v>14</v>
      </c>
      <c r="O9">
        <v>0</v>
      </c>
      <c r="P9">
        <v>26</v>
      </c>
      <c r="Q9">
        <v>0.38461538461538403</v>
      </c>
      <c r="R9">
        <v>0</v>
      </c>
      <c r="S9">
        <v>0</v>
      </c>
      <c r="T9">
        <v>0.246</v>
      </c>
      <c r="U9">
        <v>2.9369999999999998</v>
      </c>
      <c r="V9">
        <v>0.30399999999999999</v>
      </c>
      <c r="W9">
        <v>61.2</v>
      </c>
      <c r="X9">
        <v>-0.621</v>
      </c>
      <c r="Y9" t="s">
        <v>1303</v>
      </c>
      <c r="Z9" t="s">
        <v>1304</v>
      </c>
      <c r="AA9" t="s">
        <v>1298</v>
      </c>
      <c r="AB9" t="s">
        <v>1298</v>
      </c>
      <c r="AC9">
        <v>1</v>
      </c>
      <c r="AD9">
        <v>0</v>
      </c>
      <c r="AE9">
        <v>1</v>
      </c>
      <c r="AF9">
        <v>1</v>
      </c>
      <c r="AG9">
        <v>-2.70015182923333</v>
      </c>
      <c r="AH9">
        <v>1.15980545630493</v>
      </c>
      <c r="AI9">
        <v>0.114822421724508</v>
      </c>
      <c r="AJ9">
        <v>203.23626152604001</v>
      </c>
      <c r="AK9">
        <v>294.19823410512902</v>
      </c>
      <c r="AL9">
        <v>5.1384415169135096</v>
      </c>
      <c r="AM9">
        <v>3.51890591422507</v>
      </c>
      <c r="AN9">
        <v>-5.1634247387068104</v>
      </c>
      <c r="AO9">
        <v>-4.90465199078825</v>
      </c>
      <c r="AP9">
        <v>0.107278905808925</v>
      </c>
      <c r="AQ9">
        <v>0.98014760017394997</v>
      </c>
      <c r="AR9" s="8">
        <v>5.5859880376374302E-5</v>
      </c>
      <c r="AS9">
        <v>8.1750750541686994E-3</v>
      </c>
      <c r="AT9">
        <v>8.0651044845581E-4</v>
      </c>
      <c r="AU9">
        <v>1.56090259552001E-2</v>
      </c>
      <c r="AV9">
        <v>3.04160118103027E-2</v>
      </c>
      <c r="AW9">
        <v>0.99970978498458796</v>
      </c>
      <c r="AX9">
        <v>0.99991858005523604</v>
      </c>
      <c r="AY9">
        <v>1.3647203333675801E-2</v>
      </c>
      <c r="AZ9">
        <v>0.99943751096725397</v>
      </c>
      <c r="BA9">
        <v>2.46827770024538E-3</v>
      </c>
      <c r="BB9">
        <v>0.77229285240173295</v>
      </c>
      <c r="BC9">
        <v>96.578596734461897</v>
      </c>
      <c r="BD9">
        <v>-0.12641151311542201</v>
      </c>
      <c r="BE9">
        <v>3.5760408283135199</v>
      </c>
      <c r="BF9" s="8">
        <v>6.4068497174218903E-9</v>
      </c>
      <c r="BG9" s="8">
        <v>1.1797260759428799E-13</v>
      </c>
      <c r="BH9" s="8">
        <v>4.8065176088130102E-6</v>
      </c>
      <c r="BI9" s="8">
        <v>1.4429143391225799E-7</v>
      </c>
      <c r="BJ9" s="8">
        <v>7.2224996984004907E-5</v>
      </c>
      <c r="BK9">
        <v>0.99971920251846302</v>
      </c>
      <c r="BL9" s="8">
        <v>6.4021736534414199E-7</v>
      </c>
      <c r="BM9" s="8">
        <v>2.2502999854623299E-5</v>
      </c>
      <c r="BN9" s="8">
        <v>1.27517045811487E-8</v>
      </c>
      <c r="BO9" s="8">
        <v>8.5440952091175806E-8</v>
      </c>
      <c r="BP9" s="8">
        <v>1.35019433855632E-6</v>
      </c>
      <c r="BQ9" s="8">
        <v>2.4028188519672502E-18</v>
      </c>
      <c r="BR9">
        <v>1.4615299005527001E-4</v>
      </c>
      <c r="BS9">
        <v>0.91991162300109797</v>
      </c>
      <c r="BT9">
        <v>3.0398900688205401</v>
      </c>
      <c r="BU9">
        <v>0.99989125736727502</v>
      </c>
      <c r="BV9">
        <v>0.225519501355436</v>
      </c>
      <c r="BW9">
        <v>2.8659711400861601</v>
      </c>
      <c r="BX9">
        <v>4.4001824450826996</v>
      </c>
      <c r="BY9">
        <v>3.6364545434723898</v>
      </c>
      <c r="BZ9">
        <v>0.33572304248809798</v>
      </c>
      <c r="CA9">
        <v>6.6780135035514804E-2</v>
      </c>
      <c r="CB9">
        <v>0.98998254537582397</v>
      </c>
      <c r="CC9">
        <v>8.9585870504379203E-2</v>
      </c>
      <c r="CD9">
        <v>0.24071070551872201</v>
      </c>
      <c r="CE9">
        <v>0.97071588039398105</v>
      </c>
      <c r="CF9">
        <v>0.18554599583148901</v>
      </c>
      <c r="CG9">
        <v>0.66803717613220204</v>
      </c>
      <c r="CH9" s="8">
        <v>5.0743848012402199E-10</v>
      </c>
      <c r="CI9">
        <v>1.7983262659981799E-3</v>
      </c>
      <c r="CJ9">
        <v>0.94169247150421098</v>
      </c>
      <c r="CK9">
        <v>0.82137423753738403</v>
      </c>
      <c r="CL9">
        <v>0.51639783382415705</v>
      </c>
      <c r="CM9">
        <v>0.41331714391708302</v>
      </c>
      <c r="CN9">
        <v>0.24994362890720301</v>
      </c>
      <c r="CO9">
        <v>0.99422919750213601</v>
      </c>
      <c r="CP9">
        <v>0.99999272823333696</v>
      </c>
      <c r="CQ9">
        <v>0.112757235765457</v>
      </c>
      <c r="CR9">
        <v>8.4372851997613907E-3</v>
      </c>
      <c r="CS9">
        <v>0.24434493482112801</v>
      </c>
      <c r="CT9">
        <v>2.96988524496555E-4</v>
      </c>
      <c r="CU9">
        <v>0.118612580001354</v>
      </c>
      <c r="CV9">
        <v>3.2996517256833602E-4</v>
      </c>
      <c r="CW9">
        <v>1.05201201222371E-4</v>
      </c>
      <c r="CX9">
        <v>2.8096187859773601E-2</v>
      </c>
      <c r="CY9">
        <v>4.36412030830979E-3</v>
      </c>
      <c r="CZ9" s="8">
        <v>4.5280230551725203E-6</v>
      </c>
      <c r="DA9">
        <v>3.71380634605884E-2</v>
      </c>
      <c r="DB9">
        <v>1.7064899438992099E-3</v>
      </c>
      <c r="DC9">
        <v>4.1459994390606802E-3</v>
      </c>
      <c r="DD9" s="8">
        <v>1.31976148622925E-5</v>
      </c>
      <c r="DE9">
        <v>3.4876473248004899E-2</v>
      </c>
    </row>
    <row r="10" spans="1:109" x14ac:dyDescent="0.3">
      <c r="A10" t="s">
        <v>952</v>
      </c>
      <c r="B10" t="s">
        <v>532</v>
      </c>
      <c r="C10" t="s">
        <v>536</v>
      </c>
      <c r="D10" t="s">
        <v>532</v>
      </c>
      <c r="E10">
        <v>372.11</v>
      </c>
      <c r="F10">
        <v>356.63076532625399</v>
      </c>
      <c r="G10">
        <v>1.0434040923518799</v>
      </c>
      <c r="H10">
        <v>6</v>
      </c>
      <c r="I10">
        <v>1</v>
      </c>
      <c r="J10">
        <v>82.87</v>
      </c>
      <c r="K10">
        <v>5</v>
      </c>
      <c r="L10">
        <v>3</v>
      </c>
      <c r="M10">
        <v>6</v>
      </c>
      <c r="N10">
        <v>8</v>
      </c>
      <c r="O10">
        <v>0</v>
      </c>
      <c r="P10">
        <v>18</v>
      </c>
      <c r="Q10">
        <v>0.27777777777777701</v>
      </c>
      <c r="R10">
        <v>1</v>
      </c>
      <c r="S10">
        <v>0</v>
      </c>
      <c r="T10">
        <v>0.71399999999999997</v>
      </c>
      <c r="U10">
        <v>3.4590000000000001</v>
      </c>
      <c r="V10">
        <v>0.16700000000000001</v>
      </c>
      <c r="W10">
        <v>38</v>
      </c>
      <c r="X10">
        <v>-1.071</v>
      </c>
      <c r="Y10" t="s">
        <v>1305</v>
      </c>
      <c r="Z10" t="s">
        <v>1298</v>
      </c>
      <c r="AA10" t="s">
        <v>1298</v>
      </c>
      <c r="AB10" t="s">
        <v>1298</v>
      </c>
      <c r="AC10">
        <v>0</v>
      </c>
      <c r="AD10">
        <v>0</v>
      </c>
      <c r="AE10">
        <v>0</v>
      </c>
      <c r="AF10">
        <v>0</v>
      </c>
      <c r="AG10">
        <v>-3.7342600772084502</v>
      </c>
      <c r="AH10">
        <v>2.2204009533024398</v>
      </c>
      <c r="AI10">
        <v>2.2095572239340902</v>
      </c>
      <c r="AJ10">
        <v>169.39972722210001</v>
      </c>
      <c r="AK10">
        <v>331.43017146637601</v>
      </c>
      <c r="AL10">
        <v>7.7079053092522196</v>
      </c>
      <c r="AM10">
        <v>2.6494932721044901</v>
      </c>
      <c r="AN10">
        <v>-4.5975129491637103</v>
      </c>
      <c r="AO10">
        <v>-4.45762134248187</v>
      </c>
      <c r="AP10">
        <v>1.27599562983959E-3</v>
      </c>
      <c r="AQ10">
        <v>3.9724111557006801E-3</v>
      </c>
      <c r="AR10">
        <v>5.9781747404485898E-4</v>
      </c>
      <c r="AS10">
        <v>0</v>
      </c>
      <c r="AT10" s="8">
        <v>1.19209289550781E-7</v>
      </c>
      <c r="AU10" s="8">
        <v>5.9604644775390604E-7</v>
      </c>
      <c r="AV10">
        <v>4.5715570449829102E-3</v>
      </c>
      <c r="AW10" s="8">
        <v>3.5959872093371801E-6</v>
      </c>
      <c r="AX10">
        <v>3.9071999490261E-3</v>
      </c>
      <c r="AY10">
        <v>0.29442065954208302</v>
      </c>
      <c r="AZ10">
        <v>0.99933063983917203</v>
      </c>
      <c r="BA10">
        <v>9.2216040939092601E-3</v>
      </c>
      <c r="BB10">
        <v>0.99964368343353205</v>
      </c>
      <c r="BC10">
        <v>70.771980393798003</v>
      </c>
      <c r="BD10">
        <v>4.9648618147975901E-2</v>
      </c>
      <c r="BE10">
        <v>14.8908930426583</v>
      </c>
      <c r="BF10">
        <v>0.86519598960876398</v>
      </c>
      <c r="BG10">
        <v>0.150776267051696</v>
      </c>
      <c r="BH10">
        <v>1.13973449915647E-2</v>
      </c>
      <c r="BI10">
        <v>0.37578150629997198</v>
      </c>
      <c r="BJ10" s="8">
        <v>7.0089452492538799E-5</v>
      </c>
      <c r="BK10">
        <v>0.29970085620880099</v>
      </c>
      <c r="BL10" s="8">
        <v>1.9681372975810498E-8</v>
      </c>
      <c r="BM10">
        <v>0.35069915652275002</v>
      </c>
      <c r="BN10" s="8">
        <v>1.6931269897213399E-7</v>
      </c>
      <c r="BO10">
        <v>0.112235367298126</v>
      </c>
      <c r="BP10">
        <v>1.5393954236060301E-3</v>
      </c>
      <c r="BQ10" s="8">
        <v>2.7179339667782099E-5</v>
      </c>
      <c r="BR10">
        <v>1.5778532251715601E-2</v>
      </c>
      <c r="BS10">
        <v>3.1743641942739403E-2</v>
      </c>
      <c r="BT10">
        <v>1.66340843996856</v>
      </c>
      <c r="BU10">
        <v>0.79307041627438801</v>
      </c>
      <c r="BV10">
        <v>1.2005987948441801</v>
      </c>
      <c r="BW10">
        <v>3.5277472432689199</v>
      </c>
      <c r="BX10">
        <v>4.66783524706078</v>
      </c>
      <c r="BY10">
        <v>4.3244809240563598</v>
      </c>
      <c r="BZ10">
        <v>1.88282225281E-2</v>
      </c>
      <c r="CA10">
        <v>0.25843366980552601</v>
      </c>
      <c r="CB10">
        <v>0.94147485494613603</v>
      </c>
      <c r="CC10">
        <v>0.86145097017288197</v>
      </c>
      <c r="CD10">
        <v>0.49540415406227101</v>
      </c>
      <c r="CE10">
        <v>0.97254282236099199</v>
      </c>
      <c r="CF10">
        <v>0.99979358911514205</v>
      </c>
      <c r="CG10">
        <v>0.94713681936264005</v>
      </c>
      <c r="CH10" s="8">
        <v>1.75525547092547E-5</v>
      </c>
      <c r="CI10">
        <v>0.84233164787292403</v>
      </c>
      <c r="CJ10">
        <v>0.85340452194213801</v>
      </c>
      <c r="CK10">
        <v>0.99158877134323098</v>
      </c>
      <c r="CL10">
        <v>0.228052392601966</v>
      </c>
      <c r="CM10">
        <v>0.37446689605712802</v>
      </c>
      <c r="CN10">
        <v>0.611181139945983</v>
      </c>
      <c r="CO10">
        <v>0.89709663391113204</v>
      </c>
      <c r="CP10">
        <v>0.99999976158142001</v>
      </c>
      <c r="CQ10">
        <v>2.75522489100694E-2</v>
      </c>
      <c r="CR10">
        <v>1.5222204092424301E-4</v>
      </c>
      <c r="CS10">
        <v>0.490653395652771</v>
      </c>
      <c r="CT10">
        <v>0.41758558154106101</v>
      </c>
      <c r="CU10">
        <v>1.11903864890336E-2</v>
      </c>
      <c r="CV10">
        <v>1.3815416023135101E-3</v>
      </c>
      <c r="CW10" s="8">
        <v>3.2452146115247099E-5</v>
      </c>
      <c r="CX10">
        <v>0.480815529823303</v>
      </c>
      <c r="CY10" s="8">
        <v>3.0114983019302599E-5</v>
      </c>
      <c r="CZ10">
        <v>1.05277271359227E-4</v>
      </c>
      <c r="DA10">
        <v>0.413934797048568</v>
      </c>
      <c r="DB10">
        <v>3.7852381356060501E-3</v>
      </c>
      <c r="DC10" s="8">
        <v>1.2496939234551901E-5</v>
      </c>
      <c r="DD10">
        <v>7.7882520854473097E-3</v>
      </c>
      <c r="DE10">
        <v>5.33721707761287E-2</v>
      </c>
    </row>
    <row r="11" spans="1:109" x14ac:dyDescent="0.3">
      <c r="A11" t="s">
        <v>195</v>
      </c>
      <c r="B11" t="s">
        <v>190</v>
      </c>
      <c r="C11" t="s">
        <v>194</v>
      </c>
      <c r="D11" t="s">
        <v>190</v>
      </c>
      <c r="E11">
        <v>666.18</v>
      </c>
      <c r="F11">
        <v>582.43822661352306</v>
      </c>
      <c r="G11">
        <v>1.14377794856181</v>
      </c>
      <c r="H11">
        <v>20</v>
      </c>
      <c r="I11">
        <v>10</v>
      </c>
      <c r="J11">
        <v>302.20999999999998</v>
      </c>
      <c r="K11">
        <v>15</v>
      </c>
      <c r="L11">
        <v>4</v>
      </c>
      <c r="M11">
        <v>8</v>
      </c>
      <c r="N11">
        <v>22</v>
      </c>
      <c r="O11">
        <v>0</v>
      </c>
      <c r="P11">
        <v>25</v>
      </c>
      <c r="Q11">
        <v>0.6</v>
      </c>
      <c r="R11">
        <v>2</v>
      </c>
      <c r="S11">
        <v>0</v>
      </c>
      <c r="T11">
        <v>4.9000000000000002E-2</v>
      </c>
      <c r="U11">
        <v>4.7590000000000003</v>
      </c>
      <c r="V11">
        <v>0.435</v>
      </c>
      <c r="W11">
        <v>101.818</v>
      </c>
      <c r="X11">
        <v>-0.31900000000000001</v>
      </c>
      <c r="Y11" t="s">
        <v>1306</v>
      </c>
      <c r="Z11" t="s">
        <v>1307</v>
      </c>
      <c r="AA11" t="s">
        <v>1298</v>
      </c>
      <c r="AB11" t="s">
        <v>1298</v>
      </c>
      <c r="AC11">
        <v>1</v>
      </c>
      <c r="AD11">
        <v>0</v>
      </c>
      <c r="AE11">
        <v>1</v>
      </c>
      <c r="AF11">
        <v>1</v>
      </c>
      <c r="AG11">
        <v>-2.0603859188286</v>
      </c>
      <c r="AH11">
        <v>-0.43909887829907701</v>
      </c>
      <c r="AI11">
        <v>-1.42904756755152</v>
      </c>
      <c r="AJ11">
        <v>178.50963926885601</v>
      </c>
      <c r="AK11">
        <v>357.61549852362998</v>
      </c>
      <c r="AL11">
        <v>5.9678982264410303</v>
      </c>
      <c r="AM11">
        <v>4.19063964479842</v>
      </c>
      <c r="AN11">
        <v>-6.0158422898460699</v>
      </c>
      <c r="AO11">
        <v>-5.7233040066840797</v>
      </c>
      <c r="AP11">
        <v>0.99999821186065596</v>
      </c>
      <c r="AQ11" s="8">
        <v>1.54179787159591E-7</v>
      </c>
      <c r="AR11">
        <v>0.99897289276123002</v>
      </c>
      <c r="AS11">
        <v>0.99926726100966301</v>
      </c>
      <c r="AT11">
        <v>0.960659850388765</v>
      </c>
      <c r="AU11">
        <v>0.99491129862144501</v>
      </c>
      <c r="AV11">
        <v>0.99985580105567295</v>
      </c>
      <c r="AW11">
        <v>0.40520009398460299</v>
      </c>
      <c r="AX11">
        <v>0.20530410110950401</v>
      </c>
      <c r="AY11" s="8">
        <v>1.4080129284721399E-9</v>
      </c>
      <c r="AZ11">
        <v>7.3476467514410604E-4</v>
      </c>
      <c r="BA11" s="8">
        <v>2.32254564025424E-7</v>
      </c>
      <c r="BB11">
        <v>0.98815327882766701</v>
      </c>
      <c r="BC11">
        <v>7.1041509179251499</v>
      </c>
      <c r="BD11">
        <v>-0.75739051465973695</v>
      </c>
      <c r="BE11">
        <v>81.074201024822003</v>
      </c>
      <c r="BF11" s="8">
        <v>4.2458562887759399E-8</v>
      </c>
      <c r="BG11" s="8">
        <v>2.6444502509548298E-5</v>
      </c>
      <c r="BH11" s="8">
        <v>2.7385767265020101E-12</v>
      </c>
      <c r="BI11" s="8">
        <v>6.0700523363266204E-7</v>
      </c>
      <c r="BJ11" s="8">
        <v>2.1472039424264001E-10</v>
      </c>
      <c r="BK11" s="8">
        <v>1.7840306099969799E-5</v>
      </c>
      <c r="BL11" s="8">
        <v>1.48874870764537E-11</v>
      </c>
      <c r="BM11">
        <v>3.05213709361851E-3</v>
      </c>
      <c r="BN11" s="8">
        <v>1.1941300215312301E-7</v>
      </c>
      <c r="BO11">
        <v>6.6711120307445498E-2</v>
      </c>
      <c r="BP11" s="8">
        <v>2.66227561951382E-6</v>
      </c>
      <c r="BQ11" s="8">
        <v>6.8531194102885399E-18</v>
      </c>
      <c r="BR11" s="8">
        <v>2.5089214261697601E-8</v>
      </c>
      <c r="BS11" s="8">
        <v>2.13106545743357E-8</v>
      </c>
      <c r="BT11">
        <v>1.79028915434384</v>
      </c>
      <c r="BU11">
        <v>1.6923343647581199</v>
      </c>
      <c r="BV11">
        <v>0.38486631100562702</v>
      </c>
      <c r="BW11">
        <v>3.2630424241851799</v>
      </c>
      <c r="BX11">
        <v>5.0645642919579901</v>
      </c>
      <c r="BY11">
        <v>4.21167609975448</v>
      </c>
      <c r="BZ11">
        <v>7.4388913810253102E-2</v>
      </c>
      <c r="CA11">
        <v>9.0091060847043904E-3</v>
      </c>
      <c r="CB11">
        <v>0.99952483177185003</v>
      </c>
      <c r="CC11">
        <v>4.0845762938260997E-2</v>
      </c>
      <c r="CD11">
        <v>7.3323227465152699E-2</v>
      </c>
      <c r="CE11">
        <v>3.1998981721699199E-3</v>
      </c>
      <c r="CF11">
        <v>0.99999988079071001</v>
      </c>
      <c r="CG11">
        <v>3.1417872756719499E-2</v>
      </c>
      <c r="CH11" s="8">
        <v>9.5570447389281503E-11</v>
      </c>
      <c r="CI11">
        <v>2.2549197077751101E-2</v>
      </c>
      <c r="CJ11">
        <v>8.76403041183948E-3</v>
      </c>
      <c r="CK11">
        <v>0.75820684432983398</v>
      </c>
      <c r="CL11">
        <v>7.1096734609454805E-4</v>
      </c>
      <c r="CM11">
        <v>0.924155473709106</v>
      </c>
      <c r="CN11">
        <v>1.7793418839573801E-2</v>
      </c>
      <c r="CO11">
        <v>0.99775069952011097</v>
      </c>
      <c r="CP11">
        <v>1</v>
      </c>
      <c r="CQ11">
        <v>2.0529819652438101E-2</v>
      </c>
      <c r="CR11" s="8">
        <v>4.4853409235656702E-6</v>
      </c>
      <c r="CS11">
        <v>6.6516841761767804E-3</v>
      </c>
      <c r="CT11">
        <v>6.8850436946377104E-4</v>
      </c>
      <c r="CU11">
        <v>4.4935935875400901E-4</v>
      </c>
      <c r="CV11" s="8">
        <v>1.2234222594997799E-6</v>
      </c>
      <c r="CW11" s="8">
        <v>9.6627221779499401E-9</v>
      </c>
      <c r="CX11">
        <v>8.0738821998238498E-4</v>
      </c>
      <c r="CY11" s="8">
        <v>1.1340346439680999E-8</v>
      </c>
      <c r="CZ11" s="8">
        <v>4.8058890200763895E-10</v>
      </c>
      <c r="DA11">
        <v>4.2381146922707497E-3</v>
      </c>
      <c r="DB11" s="8">
        <v>6.1587490662873196E-10</v>
      </c>
      <c r="DC11" s="8">
        <v>6.8704006928044204E-9</v>
      </c>
      <c r="DD11" s="8">
        <v>5.3466133742574501E-9</v>
      </c>
      <c r="DE11" s="8">
        <v>2.4380003083024301E-7</v>
      </c>
    </row>
    <row r="12" spans="1:109" x14ac:dyDescent="0.3">
      <c r="A12" t="s">
        <v>351</v>
      </c>
      <c r="B12" t="s">
        <v>346</v>
      </c>
      <c r="C12" t="s">
        <v>350</v>
      </c>
      <c r="D12" t="s">
        <v>346</v>
      </c>
      <c r="E12">
        <v>396.04</v>
      </c>
      <c r="F12">
        <v>352.92056490505098</v>
      </c>
      <c r="G12">
        <v>1.1221788679459599</v>
      </c>
      <c r="H12">
        <v>8</v>
      </c>
      <c r="I12">
        <v>2</v>
      </c>
      <c r="J12">
        <v>113.01</v>
      </c>
      <c r="K12">
        <v>8</v>
      </c>
      <c r="L12">
        <v>3</v>
      </c>
      <c r="M12">
        <v>8</v>
      </c>
      <c r="N12">
        <v>10</v>
      </c>
      <c r="O12">
        <v>0</v>
      </c>
      <c r="P12">
        <v>18</v>
      </c>
      <c r="Q12">
        <v>0.44444444444444398</v>
      </c>
      <c r="R12">
        <v>2</v>
      </c>
      <c r="S12">
        <v>0</v>
      </c>
      <c r="T12">
        <v>0.53400000000000003</v>
      </c>
      <c r="U12">
        <v>3.35</v>
      </c>
      <c r="V12">
        <v>0.375</v>
      </c>
      <c r="W12">
        <v>62.182000000000002</v>
      </c>
      <c r="X12">
        <v>-0.36599999999999999</v>
      </c>
      <c r="Y12" t="s">
        <v>1308</v>
      </c>
      <c r="Z12" t="s">
        <v>1309</v>
      </c>
      <c r="AA12" t="s">
        <v>1298</v>
      </c>
      <c r="AB12" t="s">
        <v>1298</v>
      </c>
      <c r="AC12">
        <v>0</v>
      </c>
      <c r="AD12">
        <v>0</v>
      </c>
      <c r="AE12">
        <v>0</v>
      </c>
      <c r="AF12">
        <v>0</v>
      </c>
      <c r="AG12">
        <v>-1.59899953110841</v>
      </c>
      <c r="AH12">
        <v>0.27928825794828999</v>
      </c>
      <c r="AI12">
        <v>-0.20012024495679101</v>
      </c>
      <c r="AJ12">
        <v>167.71918469153599</v>
      </c>
      <c r="AK12">
        <v>286.73249926974398</v>
      </c>
      <c r="AL12">
        <v>3.2953048922093702</v>
      </c>
      <c r="AM12">
        <v>1.8174036845124799</v>
      </c>
      <c r="AN12">
        <v>-5.9028281555780602</v>
      </c>
      <c r="AO12">
        <v>-5.2082804341200699</v>
      </c>
      <c r="AP12">
        <v>0.98999935388564997</v>
      </c>
      <c r="AQ12">
        <v>4.7342833131551699E-3</v>
      </c>
      <c r="AR12">
        <v>0.88862317800521795</v>
      </c>
      <c r="AS12">
        <v>0.99380009761080101</v>
      </c>
      <c r="AT12">
        <v>0.99223521072417498</v>
      </c>
      <c r="AU12">
        <v>0.97329794801771596</v>
      </c>
      <c r="AV12">
        <v>0.94362330809235495</v>
      </c>
      <c r="AW12">
        <v>7.3686994612216894E-2</v>
      </c>
      <c r="AX12">
        <v>2.1244388073682698E-2</v>
      </c>
      <c r="AY12" s="8">
        <v>4.21282893512398E-5</v>
      </c>
      <c r="AZ12">
        <v>0.74786293506622303</v>
      </c>
      <c r="BA12" s="8">
        <v>2.0737810700666098E-5</v>
      </c>
      <c r="BB12">
        <v>0.93480843305587702</v>
      </c>
      <c r="BC12">
        <v>63.807442847127703</v>
      </c>
      <c r="BD12">
        <v>-1.10685773434848</v>
      </c>
      <c r="BE12">
        <v>35.238239419506101</v>
      </c>
      <c r="BF12" s="8">
        <v>1.8489080488848201E-8</v>
      </c>
      <c r="BG12" s="8">
        <v>4.0249092307931202E-6</v>
      </c>
      <c r="BH12">
        <v>6.1642494983971097E-4</v>
      </c>
      <c r="BI12">
        <v>2.3941532708704398E-3</v>
      </c>
      <c r="BJ12" s="8">
        <v>5.2075476560276002E-5</v>
      </c>
      <c r="BK12">
        <v>1.9917362078558599E-4</v>
      </c>
      <c r="BL12">
        <v>7.1918675675988197E-3</v>
      </c>
      <c r="BM12">
        <v>1.3351954112294999E-4</v>
      </c>
      <c r="BN12">
        <v>1.2617884203791601E-3</v>
      </c>
      <c r="BO12">
        <v>0.45278841257095298</v>
      </c>
      <c r="BP12" s="8">
        <v>1.00344468592084E-5</v>
      </c>
      <c r="BQ12" s="8">
        <v>2.1880247613736898E-11</v>
      </c>
      <c r="BR12">
        <v>6.6678095608949601E-3</v>
      </c>
      <c r="BS12">
        <v>3.4972775727510397E-2</v>
      </c>
      <c r="BT12">
        <v>0.88713576243867998</v>
      </c>
      <c r="BU12">
        <v>0.996706421752386</v>
      </c>
      <c r="BV12">
        <v>0.48171492070869698</v>
      </c>
      <c r="BW12">
        <v>3.1425555154004998</v>
      </c>
      <c r="BX12">
        <v>4.7278255211672597</v>
      </c>
      <c r="BY12">
        <v>4.1633012516291004</v>
      </c>
      <c r="BZ12">
        <v>3.9756413549184799E-2</v>
      </c>
      <c r="CA12">
        <v>3.9076108485460198E-2</v>
      </c>
      <c r="CB12">
        <v>0.99997961521148604</v>
      </c>
      <c r="CC12">
        <v>9.2944502830505302E-2</v>
      </c>
      <c r="CD12">
        <v>1.26646449789404E-2</v>
      </c>
      <c r="CE12">
        <v>2.1269073477014899E-4</v>
      </c>
      <c r="CF12">
        <v>0.99993801116943304</v>
      </c>
      <c r="CG12">
        <v>3.4256510436534798E-2</v>
      </c>
      <c r="CH12" s="8">
        <v>7.1428279625251794E-5</v>
      </c>
      <c r="CI12">
        <v>0.71869575977325395</v>
      </c>
      <c r="CJ12">
        <v>1.8332397565245601E-2</v>
      </c>
      <c r="CK12">
        <v>0.58386385440826405</v>
      </c>
      <c r="CL12">
        <v>6.3128134934231596E-4</v>
      </c>
      <c r="CM12">
        <v>0.44442099332809398</v>
      </c>
      <c r="CN12">
        <v>0.71826338768005304</v>
      </c>
      <c r="CO12">
        <v>0.99223160743713301</v>
      </c>
      <c r="CP12">
        <v>0.99997341632842995</v>
      </c>
      <c r="CQ12">
        <v>1.07868155464529E-2</v>
      </c>
      <c r="CR12" s="8">
        <v>1.9826144125545299E-5</v>
      </c>
      <c r="CS12">
        <v>9.3609996838495103E-4</v>
      </c>
      <c r="CT12">
        <v>3.4391158260404999E-4</v>
      </c>
      <c r="CU12">
        <v>1.0274142958223801E-2</v>
      </c>
      <c r="CV12">
        <v>3.5546093713492099E-3</v>
      </c>
      <c r="CW12" s="8">
        <v>6.36948561805184E-6</v>
      </c>
      <c r="CX12">
        <v>0.38769078254699701</v>
      </c>
      <c r="CY12">
        <v>0.29134958982467601</v>
      </c>
      <c r="CZ12" s="8">
        <v>1.8383254882792199E-6</v>
      </c>
      <c r="DA12">
        <v>0.91938656568527199</v>
      </c>
      <c r="DB12">
        <v>1.1088580358773401E-3</v>
      </c>
      <c r="DC12">
        <v>0.41570717096328702</v>
      </c>
      <c r="DD12">
        <v>2.37758125877007E-4</v>
      </c>
      <c r="DE12">
        <v>1.07754627242684E-3</v>
      </c>
    </row>
    <row r="13" spans="1:109" x14ac:dyDescent="0.3">
      <c r="A13" t="s">
        <v>501</v>
      </c>
      <c r="B13" t="s">
        <v>499</v>
      </c>
      <c r="C13" t="s">
        <v>501</v>
      </c>
      <c r="D13" t="s">
        <v>499</v>
      </c>
      <c r="E13">
        <v>388.08</v>
      </c>
      <c r="F13">
        <v>365.77427440235198</v>
      </c>
      <c r="G13">
        <v>1.0609822154225901</v>
      </c>
      <c r="H13">
        <v>6</v>
      </c>
      <c r="I13">
        <v>1</v>
      </c>
      <c r="J13">
        <v>87.78</v>
      </c>
      <c r="K13">
        <v>5</v>
      </c>
      <c r="L13">
        <v>3</v>
      </c>
      <c r="M13">
        <v>9</v>
      </c>
      <c r="N13">
        <v>8</v>
      </c>
      <c r="O13">
        <v>0</v>
      </c>
      <c r="P13">
        <v>19</v>
      </c>
      <c r="Q13">
        <v>0.26315789473684198</v>
      </c>
      <c r="R13">
        <v>0</v>
      </c>
      <c r="S13">
        <v>0</v>
      </c>
      <c r="T13">
        <v>0.72599999999999998</v>
      </c>
      <c r="U13">
        <v>2.681</v>
      </c>
      <c r="V13">
        <v>0.222</v>
      </c>
      <c r="W13">
        <v>20</v>
      </c>
      <c r="X13">
        <v>-1.631</v>
      </c>
      <c r="Y13" t="s">
        <v>1310</v>
      </c>
      <c r="Z13" t="s">
        <v>1298</v>
      </c>
      <c r="AA13" t="s">
        <v>1298</v>
      </c>
      <c r="AB13" t="s">
        <v>1298</v>
      </c>
      <c r="AC13">
        <v>0</v>
      </c>
      <c r="AD13">
        <v>0</v>
      </c>
      <c r="AE13">
        <v>0</v>
      </c>
      <c r="AF13">
        <v>0</v>
      </c>
      <c r="AG13">
        <v>-4.7461957453950401</v>
      </c>
      <c r="AH13">
        <v>2.85140884614477</v>
      </c>
      <c r="AI13">
        <v>2.9263274899406202</v>
      </c>
      <c r="AJ13">
        <v>174.81423322545101</v>
      </c>
      <c r="AK13">
        <v>304.67537371120699</v>
      </c>
      <c r="AL13">
        <v>8.7710482193436992</v>
      </c>
      <c r="AM13">
        <v>5.1224098852602697</v>
      </c>
      <c r="AN13">
        <v>-5.2740652069358998</v>
      </c>
      <c r="AO13">
        <v>-4.9013524008880003</v>
      </c>
      <c r="AP13">
        <v>0.57934457063674905</v>
      </c>
      <c r="AQ13">
        <v>0.294183850288391</v>
      </c>
      <c r="AR13" s="8">
        <v>1.24153793876757E-5</v>
      </c>
      <c r="AS13">
        <v>1.66791677474975E-3</v>
      </c>
      <c r="AT13">
        <v>5.1904916763305603E-3</v>
      </c>
      <c r="AU13">
        <v>1.6790449619293199E-2</v>
      </c>
      <c r="AV13">
        <v>0.21080273389816201</v>
      </c>
      <c r="AW13">
        <v>0.19270344078540799</v>
      </c>
      <c r="AX13">
        <v>0.67539703845977705</v>
      </c>
      <c r="AY13" s="8">
        <v>9.6669725735409799E-7</v>
      </c>
      <c r="AZ13">
        <v>0.99997723102569502</v>
      </c>
      <c r="BA13">
        <v>0.18152426183223699</v>
      </c>
      <c r="BB13">
        <v>0.82579499483108498</v>
      </c>
      <c r="BC13">
        <v>87.909411557595703</v>
      </c>
      <c r="BD13">
        <v>0.28354127292007802</v>
      </c>
      <c r="BE13">
        <v>11.1705472435712</v>
      </c>
      <c r="BF13">
        <v>0.98390120267867998</v>
      </c>
      <c r="BG13">
        <v>0.102643102407455</v>
      </c>
      <c r="BH13">
        <v>1.09329493716359E-2</v>
      </c>
      <c r="BI13">
        <v>1.2050288496538899E-3</v>
      </c>
      <c r="BJ13">
        <v>2.0192928786855099E-4</v>
      </c>
      <c r="BK13">
        <v>3.9049349725246402E-2</v>
      </c>
      <c r="BL13" s="8">
        <v>7.34986970201134E-5</v>
      </c>
      <c r="BM13">
        <v>1.2332375627011001E-4</v>
      </c>
      <c r="BN13">
        <v>0.99979871511459295</v>
      </c>
      <c r="BO13">
        <v>0.14918139576911901</v>
      </c>
      <c r="BP13">
        <v>1.08287464827299E-2</v>
      </c>
      <c r="BQ13" s="8">
        <v>3.5777989637608698E-7</v>
      </c>
      <c r="BR13">
        <v>0.24686203896999301</v>
      </c>
      <c r="BS13">
        <v>0.99401420354843095</v>
      </c>
      <c r="BT13">
        <v>5.1369564195538402</v>
      </c>
      <c r="BU13">
        <v>0.63564648153660797</v>
      </c>
      <c r="BV13">
        <v>0.66942940685894803</v>
      </c>
      <c r="BW13">
        <v>3.25578560896883</v>
      </c>
      <c r="BX13">
        <v>4.5755972166020902</v>
      </c>
      <c r="BY13">
        <v>4.2244652089498702</v>
      </c>
      <c r="BZ13">
        <v>0.52340835332870395</v>
      </c>
      <c r="CA13">
        <v>0.61161243915557795</v>
      </c>
      <c r="CB13">
        <v>0.97327029705047596</v>
      </c>
      <c r="CC13">
        <v>0.242321997880935</v>
      </c>
      <c r="CD13">
        <v>0.92143553495407104</v>
      </c>
      <c r="CE13">
        <v>0.96613043546676602</v>
      </c>
      <c r="CF13">
        <v>0.96991181373596103</v>
      </c>
      <c r="CG13">
        <v>0.20317405462265001</v>
      </c>
      <c r="CH13">
        <v>1.0020312765846E-4</v>
      </c>
      <c r="CI13">
        <v>2.9629874974489202E-2</v>
      </c>
      <c r="CJ13">
        <v>0.96787428855895996</v>
      </c>
      <c r="CK13">
        <v>0.90032064914703303</v>
      </c>
      <c r="CL13">
        <v>0.94731682538986195</v>
      </c>
      <c r="CM13">
        <v>0.77978557348251298</v>
      </c>
      <c r="CN13">
        <v>0.58782219886779696</v>
      </c>
      <c r="CO13">
        <v>0.87979292869567804</v>
      </c>
      <c r="CP13">
        <v>0.99760532379150302</v>
      </c>
      <c r="CQ13">
        <v>3.7809818983078003E-2</v>
      </c>
      <c r="CR13">
        <v>8.5565194487571702E-2</v>
      </c>
      <c r="CS13">
        <v>0.21443219482898701</v>
      </c>
      <c r="CT13">
        <v>0.23382180929183899</v>
      </c>
      <c r="CU13">
        <v>8.6365435272455198E-3</v>
      </c>
      <c r="CV13">
        <v>5.4310640553012404E-4</v>
      </c>
      <c r="CW13">
        <v>1.49616680573672E-4</v>
      </c>
      <c r="CX13">
        <v>0.90232229232787997</v>
      </c>
      <c r="CY13">
        <v>4.56916876137256E-2</v>
      </c>
      <c r="CZ13">
        <v>1.9664746650960199E-4</v>
      </c>
      <c r="DA13">
        <v>0.330208629369735</v>
      </c>
      <c r="DB13">
        <v>5.2946410141885205E-4</v>
      </c>
      <c r="DC13">
        <v>2.6164923328906198E-3</v>
      </c>
      <c r="DD13">
        <v>0.579484462738037</v>
      </c>
      <c r="DE13">
        <v>0.24761185050010601</v>
      </c>
    </row>
    <row r="14" spans="1:109" x14ac:dyDescent="0.3">
      <c r="A14" t="s">
        <v>35</v>
      </c>
      <c r="B14" t="s">
        <v>33</v>
      </c>
      <c r="C14" t="s">
        <v>34</v>
      </c>
      <c r="D14" t="s">
        <v>33</v>
      </c>
      <c r="E14">
        <v>747.48</v>
      </c>
      <c r="F14">
        <v>760.13131368270695</v>
      </c>
      <c r="G14">
        <v>0.98335641032677101</v>
      </c>
      <c r="H14">
        <v>14</v>
      </c>
      <c r="I14">
        <v>4</v>
      </c>
      <c r="J14">
        <v>182.91</v>
      </c>
      <c r="K14">
        <v>8</v>
      </c>
      <c r="L14">
        <v>3</v>
      </c>
      <c r="M14">
        <v>14</v>
      </c>
      <c r="N14">
        <v>14</v>
      </c>
      <c r="O14">
        <v>0</v>
      </c>
      <c r="P14">
        <v>28</v>
      </c>
      <c r="Q14">
        <v>0.28571428571428498</v>
      </c>
      <c r="R14">
        <v>18</v>
      </c>
      <c r="S14">
        <v>1</v>
      </c>
      <c r="T14">
        <v>0.26600000000000001</v>
      </c>
      <c r="U14">
        <v>6.1159999999999997</v>
      </c>
      <c r="V14">
        <v>0.94699999999999995</v>
      </c>
      <c r="W14">
        <v>92.432000000000002</v>
      </c>
      <c r="X14">
        <v>1.768</v>
      </c>
      <c r="Y14" t="s">
        <v>1299</v>
      </c>
      <c r="Z14" t="s">
        <v>1298</v>
      </c>
      <c r="AA14" t="s">
        <v>1298</v>
      </c>
      <c r="AB14" t="s">
        <v>1298</v>
      </c>
      <c r="AC14">
        <v>1</v>
      </c>
      <c r="AD14">
        <v>0</v>
      </c>
      <c r="AE14">
        <v>1</v>
      </c>
      <c r="AF14">
        <v>1</v>
      </c>
      <c r="AG14">
        <v>-3.12563211659812</v>
      </c>
      <c r="AH14">
        <v>2.6731522451398302</v>
      </c>
      <c r="AI14">
        <v>2.2367395250277</v>
      </c>
      <c r="AJ14">
        <v>167.40693763205101</v>
      </c>
      <c r="AK14">
        <v>251.43293878750401</v>
      </c>
      <c r="AL14">
        <v>6.3741338866687904</v>
      </c>
      <c r="AM14">
        <v>6.4821529601581496</v>
      </c>
      <c r="AN14">
        <v>-5.5031805477952398</v>
      </c>
      <c r="AO14">
        <v>-5.1636731397105002</v>
      </c>
      <c r="AP14">
        <v>0.999492287635803</v>
      </c>
      <c r="AQ14">
        <v>3.5260748118162099E-3</v>
      </c>
      <c r="AR14">
        <v>0.94534260034561102</v>
      </c>
      <c r="AS14" s="8">
        <v>7.1644783020019504E-5</v>
      </c>
      <c r="AT14">
        <v>9.9436044692993095E-3</v>
      </c>
      <c r="AU14">
        <v>6.3555240631103498E-3</v>
      </c>
      <c r="AV14">
        <v>0.88002483546733801</v>
      </c>
      <c r="AW14">
        <v>0.99959152936935403</v>
      </c>
      <c r="AX14">
        <v>0.99977749586105302</v>
      </c>
      <c r="AY14">
        <v>1.43539933487772E-2</v>
      </c>
      <c r="AZ14">
        <v>0.98233634233474698</v>
      </c>
      <c r="BA14" s="8">
        <v>2.78989209618885E-5</v>
      </c>
      <c r="BB14">
        <v>0.97589701414108199</v>
      </c>
      <c r="BC14">
        <v>47.260362958492898</v>
      </c>
      <c r="BD14">
        <v>1.1964252530278E-2</v>
      </c>
      <c r="BE14">
        <v>51.101120549870501</v>
      </c>
      <c r="BF14" s="8">
        <v>4.8269123073540999E-12</v>
      </c>
      <c r="BG14">
        <v>2.1277454216033199E-3</v>
      </c>
      <c r="BH14" s="8">
        <v>1.8960830128200699E-10</v>
      </c>
      <c r="BI14">
        <v>0.99944978952407804</v>
      </c>
      <c r="BJ14" s="8">
        <v>4.7914756606814899E-9</v>
      </c>
      <c r="BK14" s="8">
        <v>1.6299563920796299E-9</v>
      </c>
      <c r="BL14" s="8">
        <v>2.38042275668703E-7</v>
      </c>
      <c r="BM14" s="8">
        <v>9.6236192348442207E-9</v>
      </c>
      <c r="BN14">
        <v>1.5950652305036701E-3</v>
      </c>
      <c r="BO14">
        <v>0.99992835521697998</v>
      </c>
      <c r="BP14">
        <v>0.99903213977813698</v>
      </c>
      <c r="BQ14" s="8">
        <v>1.48306380417247E-18</v>
      </c>
      <c r="BR14">
        <v>0.215018570423126</v>
      </c>
      <c r="BS14">
        <v>0.60629218816757202</v>
      </c>
      <c r="BT14">
        <v>8.2586800743005906</v>
      </c>
      <c r="BU14">
        <v>4.6700928484857398</v>
      </c>
      <c r="BV14">
        <v>0.437387472616307</v>
      </c>
      <c r="BW14">
        <v>3.0880260004700899</v>
      </c>
      <c r="BX14">
        <v>4.6690313717313199</v>
      </c>
      <c r="BY14">
        <v>3.8730038066722901</v>
      </c>
      <c r="BZ14">
        <v>3.4082267433404902E-2</v>
      </c>
      <c r="CA14">
        <v>0.37351596355438199</v>
      </c>
      <c r="CB14">
        <v>0.76939439773559504</v>
      </c>
      <c r="CC14">
        <v>0.27476140856742798</v>
      </c>
      <c r="CD14">
        <v>4.4093951582908603E-2</v>
      </c>
      <c r="CE14">
        <v>8.9697606861591297E-2</v>
      </c>
      <c r="CF14">
        <v>0.99809175729751498</v>
      </c>
      <c r="CG14">
        <v>0.223742321133613</v>
      </c>
      <c r="CH14">
        <v>3.24364722473546E-4</v>
      </c>
      <c r="CI14">
        <v>3.0224723741412098E-4</v>
      </c>
      <c r="CJ14">
        <v>2.3505693301558401E-2</v>
      </c>
      <c r="CK14">
        <v>0.488422751426696</v>
      </c>
      <c r="CL14">
        <v>0.45757463574409402</v>
      </c>
      <c r="CM14">
        <v>0.98060238361358598</v>
      </c>
      <c r="CN14">
        <v>0.39959484338760298</v>
      </c>
      <c r="CO14">
        <v>0.98548144102096502</v>
      </c>
      <c r="CP14">
        <v>0.13678643107414201</v>
      </c>
      <c r="CQ14">
        <v>0.36654549837112399</v>
      </c>
      <c r="CR14">
        <v>0.16067834198474801</v>
      </c>
      <c r="CS14">
        <v>0.28043824434280301</v>
      </c>
      <c r="CT14" s="8">
        <v>9.8711257123795804E-7</v>
      </c>
      <c r="CU14" s="8">
        <v>7.8726690844632604E-5</v>
      </c>
      <c r="CV14" s="8">
        <v>4.13640208307697E-7</v>
      </c>
      <c r="CW14" s="8">
        <v>8.6993286458891799E-6</v>
      </c>
      <c r="CX14">
        <v>0.11565414816141099</v>
      </c>
      <c r="CY14" s="8">
        <v>2.42885467294229E-9</v>
      </c>
      <c r="CZ14" s="8">
        <v>1.2181171349379099E-10</v>
      </c>
      <c r="DA14" s="8">
        <v>2.0252418835298099E-6</v>
      </c>
      <c r="DB14" s="8">
        <v>2.83962964253703E-9</v>
      </c>
      <c r="DC14" s="8">
        <v>6.9881533892868199E-10</v>
      </c>
      <c r="DD14" s="8">
        <v>1.89167437270043E-8</v>
      </c>
      <c r="DE14" s="8">
        <v>9.7496786111150805E-7</v>
      </c>
    </row>
    <row r="15" spans="1:109" x14ac:dyDescent="0.3">
      <c r="A15" t="s">
        <v>440</v>
      </c>
      <c r="B15" t="s">
        <v>435</v>
      </c>
      <c r="C15" t="s">
        <v>439</v>
      </c>
      <c r="D15" t="s">
        <v>435</v>
      </c>
      <c r="E15">
        <v>408.1</v>
      </c>
      <c r="F15">
        <v>361.91731266253601</v>
      </c>
      <c r="G15">
        <v>1.1276056317884</v>
      </c>
      <c r="H15">
        <v>8</v>
      </c>
      <c r="I15">
        <v>1</v>
      </c>
      <c r="J15">
        <v>87.91</v>
      </c>
      <c r="K15">
        <v>5</v>
      </c>
      <c r="L15">
        <v>4</v>
      </c>
      <c r="M15">
        <v>6</v>
      </c>
      <c r="N15">
        <v>11</v>
      </c>
      <c r="O15">
        <v>0</v>
      </c>
      <c r="P15">
        <v>24</v>
      </c>
      <c r="Q15">
        <v>0.20833333333333301</v>
      </c>
      <c r="R15">
        <v>1</v>
      </c>
      <c r="S15">
        <v>0</v>
      </c>
      <c r="T15">
        <v>0.76100000000000001</v>
      </c>
      <c r="U15">
        <v>3.8029999999999999</v>
      </c>
      <c r="V15">
        <v>0.27800000000000002</v>
      </c>
      <c r="W15">
        <v>77</v>
      </c>
      <c r="X15">
        <v>-0.79900000000000004</v>
      </c>
      <c r="Y15" t="s">
        <v>1311</v>
      </c>
      <c r="Z15" t="s">
        <v>1298</v>
      </c>
      <c r="AA15" t="s">
        <v>1298</v>
      </c>
      <c r="AB15" t="s">
        <v>1298</v>
      </c>
      <c r="AC15">
        <v>0</v>
      </c>
      <c r="AD15">
        <v>0</v>
      </c>
      <c r="AE15">
        <v>1</v>
      </c>
      <c r="AF15">
        <v>0</v>
      </c>
      <c r="AG15">
        <v>-3.17031692006374</v>
      </c>
      <c r="AH15">
        <v>1.8410962968809499</v>
      </c>
      <c r="AI15">
        <v>1.63448902328867</v>
      </c>
      <c r="AJ15">
        <v>161.41246705389699</v>
      </c>
      <c r="AK15">
        <v>306.08044722221001</v>
      </c>
      <c r="AL15">
        <v>7.7730622301786196</v>
      </c>
      <c r="AM15">
        <v>3.9522305065896801</v>
      </c>
      <c r="AN15">
        <v>-4.8341039076625396</v>
      </c>
      <c r="AO15">
        <v>-4.6342481598531</v>
      </c>
      <c r="AP15">
        <v>1.0155388154089401E-2</v>
      </c>
      <c r="AQ15">
        <v>2.6170436758548E-3</v>
      </c>
      <c r="AR15">
        <v>0.87186300754547097</v>
      </c>
      <c r="AS15" s="8">
        <v>1.19209289550781E-7</v>
      </c>
      <c r="AT15" s="8">
        <v>1.07288360595703E-6</v>
      </c>
      <c r="AU15" s="8">
        <v>1.8477439880370999E-5</v>
      </c>
      <c r="AV15" s="8">
        <v>7.1525573730468697E-7</v>
      </c>
      <c r="AW15" s="8">
        <v>7.7332675573416E-5</v>
      </c>
      <c r="AX15" s="8">
        <v>3.9698547880107003E-6</v>
      </c>
      <c r="AY15">
        <v>8.3206716226413803E-4</v>
      </c>
      <c r="AZ15">
        <v>0.53238075971603305</v>
      </c>
      <c r="BA15">
        <v>5.3562536835670402E-2</v>
      </c>
      <c r="BB15">
        <v>0.99326515197753895</v>
      </c>
      <c r="BC15">
        <v>76.367512067634095</v>
      </c>
      <c r="BD15">
        <v>-0.14771900958742301</v>
      </c>
      <c r="BE15">
        <v>20.1478116119189</v>
      </c>
      <c r="BF15">
        <v>3.7614986300468403E-2</v>
      </c>
      <c r="BG15">
        <v>0.73007506132125799</v>
      </c>
      <c r="BH15">
        <v>0.23659563064575101</v>
      </c>
      <c r="BI15">
        <v>2.4952094536274602E-3</v>
      </c>
      <c r="BJ15">
        <v>2.4795940145850098E-2</v>
      </c>
      <c r="BK15">
        <v>1.9763938616961202E-3</v>
      </c>
      <c r="BL15" s="8">
        <v>6.6542570493766098E-6</v>
      </c>
      <c r="BM15">
        <v>2.9979597311466902E-3</v>
      </c>
      <c r="BN15">
        <v>5.8789812028407998E-3</v>
      </c>
      <c r="BO15">
        <v>1.97909120470285E-2</v>
      </c>
      <c r="BP15">
        <v>0.18990971148013999</v>
      </c>
      <c r="BQ15" s="8">
        <v>1.08927658004631E-8</v>
      </c>
      <c r="BR15">
        <v>0.98985075950622503</v>
      </c>
      <c r="BS15">
        <v>0.97713267803192105</v>
      </c>
      <c r="BT15">
        <v>1.49124037559074</v>
      </c>
      <c r="BU15">
        <v>1.2150524502256199</v>
      </c>
      <c r="BV15">
        <v>1.1880770288958999</v>
      </c>
      <c r="BW15">
        <v>3.7348546730992398</v>
      </c>
      <c r="BX15">
        <v>5.3633789092965198</v>
      </c>
      <c r="BY15">
        <v>4.9117447379389896</v>
      </c>
      <c r="BZ15">
        <v>0.238186866044998</v>
      </c>
      <c r="CA15">
        <v>0.36261925101280201</v>
      </c>
      <c r="CB15">
        <v>0.999794781208038</v>
      </c>
      <c r="CC15">
        <v>0.97507029771804798</v>
      </c>
      <c r="CD15">
        <v>0.791925728321075</v>
      </c>
      <c r="CE15">
        <v>0.80745244026184004</v>
      </c>
      <c r="CF15">
        <v>0.95632362365722601</v>
      </c>
      <c r="CG15">
        <v>0.72450006008148105</v>
      </c>
      <c r="CH15" s="8">
        <v>6.37717675999738E-5</v>
      </c>
      <c r="CI15">
        <v>0.20612925291061401</v>
      </c>
      <c r="CJ15">
        <v>0.78953182697296098</v>
      </c>
      <c r="CK15">
        <v>0.98503613471984797</v>
      </c>
      <c r="CL15">
        <v>0.99971109628677302</v>
      </c>
      <c r="CM15">
        <v>0.96169644594192505</v>
      </c>
      <c r="CN15">
        <v>0.60415816307067804</v>
      </c>
      <c r="CO15">
        <v>0.99963045120239202</v>
      </c>
      <c r="CP15">
        <v>1</v>
      </c>
      <c r="CQ15">
        <v>0.182083070278167</v>
      </c>
      <c r="CR15">
        <v>0.66218411922454801</v>
      </c>
      <c r="CS15">
        <v>0.48131278157234098</v>
      </c>
      <c r="CT15">
        <v>6.9640852510929094E-2</v>
      </c>
      <c r="CU15">
        <v>0.23997671902179701</v>
      </c>
      <c r="CV15">
        <v>0.118569768965244</v>
      </c>
      <c r="CW15">
        <v>0.24820680916309301</v>
      </c>
      <c r="CX15">
        <v>0.97491663694381703</v>
      </c>
      <c r="CY15">
        <v>0.200019136071205</v>
      </c>
      <c r="CZ15">
        <v>3.2906915992498398E-2</v>
      </c>
      <c r="DA15">
        <v>0.62522566318511896</v>
      </c>
      <c r="DB15">
        <v>0.243181496858596</v>
      </c>
      <c r="DC15">
        <v>3.88834625482559E-2</v>
      </c>
      <c r="DD15">
        <v>1.36786205694079E-2</v>
      </c>
      <c r="DE15">
        <v>0.21209485828876401</v>
      </c>
    </row>
    <row r="16" spans="1:109" x14ac:dyDescent="0.3">
      <c r="A16" t="s">
        <v>51</v>
      </c>
      <c r="B16" t="s">
        <v>48</v>
      </c>
      <c r="C16" t="s">
        <v>50</v>
      </c>
      <c r="D16" t="s">
        <v>48</v>
      </c>
      <c r="E16">
        <v>1619.71</v>
      </c>
      <c r="F16">
        <v>1563.94799858546</v>
      </c>
      <c r="G16">
        <v>1.03565463907046</v>
      </c>
      <c r="H16">
        <v>43</v>
      </c>
      <c r="I16">
        <v>25</v>
      </c>
      <c r="J16">
        <v>702.02</v>
      </c>
      <c r="K16">
        <v>39</v>
      </c>
      <c r="L16">
        <v>4</v>
      </c>
      <c r="M16">
        <v>31</v>
      </c>
      <c r="N16">
        <v>43</v>
      </c>
      <c r="O16">
        <v>0</v>
      </c>
      <c r="P16">
        <v>67</v>
      </c>
      <c r="Q16">
        <v>0.58208955223880599</v>
      </c>
      <c r="R16">
        <v>13</v>
      </c>
      <c r="S16">
        <v>1</v>
      </c>
      <c r="T16">
        <v>1.0999999999999999E-2</v>
      </c>
      <c r="U16">
        <v>7.8490000000000002</v>
      </c>
      <c r="V16">
        <v>0.52800000000000002</v>
      </c>
      <c r="W16">
        <v>160</v>
      </c>
      <c r="X16">
        <v>0.69799999999999995</v>
      </c>
      <c r="Y16" t="s">
        <v>1312</v>
      </c>
      <c r="Z16" t="s">
        <v>1313</v>
      </c>
      <c r="AA16" t="s">
        <v>1298</v>
      </c>
      <c r="AB16" t="s">
        <v>1298</v>
      </c>
      <c r="AC16">
        <v>1</v>
      </c>
      <c r="AD16">
        <v>0</v>
      </c>
      <c r="AE16">
        <v>1</v>
      </c>
      <c r="AF16">
        <v>1</v>
      </c>
      <c r="AG16">
        <v>-1.9069038714706901</v>
      </c>
      <c r="AH16">
        <v>0.70572747071905695</v>
      </c>
      <c r="AI16">
        <v>-7.3020159283107594E-2</v>
      </c>
      <c r="AJ16">
        <v>186.46939364978601</v>
      </c>
      <c r="AK16">
        <v>297.15914294368702</v>
      </c>
      <c r="AL16">
        <v>3.7716077130461998</v>
      </c>
      <c r="AM16">
        <v>5.5226335107000599</v>
      </c>
      <c r="AN16">
        <v>-6.3280292725605998</v>
      </c>
      <c r="AO16">
        <v>-4.9253280261551096</v>
      </c>
      <c r="AP16">
        <v>0.99999988079071001</v>
      </c>
      <c r="AQ16">
        <v>4.7843181528151001E-3</v>
      </c>
      <c r="AR16">
        <v>0.99556976556777899</v>
      </c>
      <c r="AS16">
        <v>0.99999997472051805</v>
      </c>
      <c r="AT16">
        <v>0.99999999999858902</v>
      </c>
      <c r="AU16">
        <v>0.999999999999997</v>
      </c>
      <c r="AV16">
        <v>0.999999999999996</v>
      </c>
      <c r="AW16">
        <v>0.99999821186065596</v>
      </c>
      <c r="AX16">
        <v>1</v>
      </c>
      <c r="AY16" s="8">
        <v>6.7852215579478002E-6</v>
      </c>
      <c r="AZ16">
        <v>0.380101889371871</v>
      </c>
      <c r="BA16" s="8">
        <v>1.2676651454830501E-19</v>
      </c>
      <c r="BB16">
        <v>4.7193717211484902E-2</v>
      </c>
      <c r="BC16">
        <v>44.1331323327747</v>
      </c>
      <c r="BD16">
        <v>-0.65783915930382897</v>
      </c>
      <c r="BE16">
        <v>75.093657074629206</v>
      </c>
      <c r="BF16" s="8">
        <v>7.6532235708089901E-35</v>
      </c>
      <c r="BG16" s="8">
        <v>2.6695636950563997E-29</v>
      </c>
      <c r="BH16" s="8">
        <v>4.6939661498907498E-19</v>
      </c>
      <c r="BI16" s="8">
        <v>6.5111413505292095E-7</v>
      </c>
      <c r="BJ16" s="8">
        <v>5.7452223259535597E-35</v>
      </c>
      <c r="BK16" s="8">
        <v>5.3986082271251201E-9</v>
      </c>
      <c r="BL16" s="8">
        <v>1.5683189039961501E-23</v>
      </c>
      <c r="BM16" s="8">
        <v>3.6979576475792998E-16</v>
      </c>
      <c r="BN16" s="8">
        <v>6.16695716715298E-9</v>
      </c>
      <c r="BO16" s="8">
        <v>1.36520551817324E-17</v>
      </c>
      <c r="BP16" s="8">
        <v>2.4212956639679801E-10</v>
      </c>
      <c r="BQ16">
        <v>0</v>
      </c>
      <c r="BR16" s="8">
        <v>2.4052938797575901E-19</v>
      </c>
      <c r="BS16" s="8">
        <v>1.6295739202476501E-9</v>
      </c>
      <c r="BT16">
        <v>0.99154093937521803</v>
      </c>
      <c r="BU16">
        <v>2.5639766675495301</v>
      </c>
      <c r="BV16">
        <v>-0.21559683018262499</v>
      </c>
      <c r="BW16">
        <v>3.0085593268444701</v>
      </c>
      <c r="BX16">
        <v>4.8879123073678503</v>
      </c>
      <c r="BY16">
        <v>3.9383890729081998</v>
      </c>
      <c r="BZ16" s="8">
        <v>2.5252427349187201E-7</v>
      </c>
      <c r="CA16" s="8">
        <v>1.20263239367091E-8</v>
      </c>
      <c r="CB16">
        <v>0.96823477745056097</v>
      </c>
      <c r="CC16">
        <v>2.2073488216847099E-3</v>
      </c>
      <c r="CD16">
        <v>6.9935256615281096E-3</v>
      </c>
      <c r="CE16">
        <v>1.5815090155228901E-3</v>
      </c>
      <c r="CF16">
        <v>0.99999988079071001</v>
      </c>
      <c r="CG16">
        <v>1.18345793453045E-4</v>
      </c>
      <c r="CH16" s="8">
        <v>2.9378849340105898E-23</v>
      </c>
      <c r="CI16" s="8">
        <v>1.58270019312567E-9</v>
      </c>
      <c r="CJ16">
        <v>8.6251570610329498E-4</v>
      </c>
      <c r="CK16">
        <v>7.8804336488246904E-2</v>
      </c>
      <c r="CL16">
        <v>0.99181729555130005</v>
      </c>
      <c r="CM16">
        <v>0.99946290254592896</v>
      </c>
      <c r="CN16">
        <v>0.123045742511749</v>
      </c>
      <c r="CO16">
        <v>0.99990403652191095</v>
      </c>
      <c r="CP16">
        <v>1</v>
      </c>
      <c r="CQ16">
        <v>1.0905201546847799E-2</v>
      </c>
      <c r="CR16" s="8">
        <v>3.3262049364823903E-11</v>
      </c>
      <c r="CS16" s="8">
        <v>2.9354711728046802E-7</v>
      </c>
      <c r="CT16" s="8">
        <v>9.4484621136151699E-14</v>
      </c>
      <c r="CU16" s="8">
        <v>1.40255840275216E-9</v>
      </c>
      <c r="CV16" s="8">
        <v>1.57141938350591E-10</v>
      </c>
      <c r="CW16" s="8">
        <v>4.5097640899438502E-11</v>
      </c>
      <c r="CX16" s="8">
        <v>4.06767837051206E-15</v>
      </c>
      <c r="CY16" s="8">
        <v>1.68097304712856E-19</v>
      </c>
      <c r="CZ16" s="8">
        <v>2.1858098664395601E-11</v>
      </c>
      <c r="DA16">
        <v>0.97185337543487504</v>
      </c>
      <c r="DB16" s="8">
        <v>2.6741658887274799E-10</v>
      </c>
      <c r="DC16" s="8">
        <v>1.02674919822266E-15</v>
      </c>
      <c r="DD16" s="8">
        <v>2.9173760629497203E-11</v>
      </c>
      <c r="DE16" s="8">
        <v>1.9457647795206799E-5</v>
      </c>
    </row>
    <row r="17" spans="1:109" x14ac:dyDescent="0.3">
      <c r="A17" t="s">
        <v>513</v>
      </c>
      <c r="B17" t="s">
        <v>508</v>
      </c>
      <c r="C17" t="s">
        <v>512</v>
      </c>
      <c r="D17" t="s">
        <v>1314</v>
      </c>
      <c r="E17">
        <v>294.01</v>
      </c>
      <c r="F17">
        <v>272.81324263870999</v>
      </c>
      <c r="G17">
        <v>1.0776969517911501</v>
      </c>
      <c r="H17">
        <v>3</v>
      </c>
      <c r="I17">
        <v>1</v>
      </c>
      <c r="J17">
        <v>52.16</v>
      </c>
      <c r="K17">
        <v>4</v>
      </c>
      <c r="L17">
        <v>2</v>
      </c>
      <c r="M17">
        <v>6</v>
      </c>
      <c r="N17">
        <v>5</v>
      </c>
      <c r="O17">
        <v>-1</v>
      </c>
      <c r="P17">
        <v>13</v>
      </c>
      <c r="Q17">
        <v>0.30769230769230699</v>
      </c>
      <c r="R17">
        <v>0</v>
      </c>
      <c r="S17">
        <v>0</v>
      </c>
      <c r="T17">
        <v>0.94299999999999995</v>
      </c>
      <c r="U17">
        <v>2.3759999999999999</v>
      </c>
      <c r="V17">
        <v>7.0999999999999994E-2</v>
      </c>
      <c r="W17">
        <v>12</v>
      </c>
      <c r="X17">
        <v>-1.0760000000000001</v>
      </c>
      <c r="Y17" t="s">
        <v>1315</v>
      </c>
      <c r="Z17" t="s">
        <v>1298</v>
      </c>
      <c r="AA17" t="s">
        <v>1298</v>
      </c>
      <c r="AB17" t="s">
        <v>1298</v>
      </c>
      <c r="AC17">
        <v>0</v>
      </c>
      <c r="AD17">
        <v>0</v>
      </c>
      <c r="AE17">
        <v>0</v>
      </c>
      <c r="AF17">
        <v>0</v>
      </c>
      <c r="AG17">
        <v>-2.0356779206125801</v>
      </c>
      <c r="AH17">
        <v>1.41126298181532</v>
      </c>
      <c r="AI17">
        <v>1.7837206392031699</v>
      </c>
      <c r="AJ17">
        <v>98.833885419461396</v>
      </c>
      <c r="AK17">
        <v>294.49283068045003</v>
      </c>
      <c r="AL17">
        <v>8.5367567903038193</v>
      </c>
      <c r="AM17">
        <v>5.7093559920156602</v>
      </c>
      <c r="AN17">
        <v>-4.56284729562132</v>
      </c>
      <c r="AO17">
        <v>-4.4866449198234601</v>
      </c>
      <c r="AP17">
        <v>0.25868797302245999</v>
      </c>
      <c r="AQ17">
        <v>8.3213968900963599E-4</v>
      </c>
      <c r="AR17" s="8">
        <v>7.9838418969302404E-6</v>
      </c>
      <c r="AS17">
        <v>0</v>
      </c>
      <c r="AT17" s="8">
        <v>3.5762786865234301E-7</v>
      </c>
      <c r="AU17" s="8">
        <v>1.4305114746093699E-6</v>
      </c>
      <c r="AV17">
        <v>5.3137540817260699E-4</v>
      </c>
      <c r="AW17">
        <v>4.82476223260164E-3</v>
      </c>
      <c r="AX17">
        <v>0.154088750481605</v>
      </c>
      <c r="AY17" s="8">
        <v>7.9702240327605893E-6</v>
      </c>
      <c r="AZ17">
        <v>0.99984407424926702</v>
      </c>
      <c r="BA17">
        <v>0.99210876226425104</v>
      </c>
      <c r="BB17">
        <v>0.99625599384307795</v>
      </c>
      <c r="BC17">
        <v>99.228137921786697</v>
      </c>
      <c r="BD17">
        <v>-0.33963362182600099</v>
      </c>
      <c r="BE17">
        <v>0.46231972070685101</v>
      </c>
      <c r="BF17" s="8">
        <v>5.6469059927621802E-5</v>
      </c>
      <c r="BG17">
        <v>0.99999988079071001</v>
      </c>
      <c r="BH17">
        <v>1.1278071178821799E-4</v>
      </c>
      <c r="BI17">
        <v>0.99999952316284102</v>
      </c>
      <c r="BJ17">
        <v>0.99996685981750399</v>
      </c>
      <c r="BK17">
        <v>0.99999964237213101</v>
      </c>
      <c r="BL17">
        <v>2.6382191572338299E-3</v>
      </c>
      <c r="BM17">
        <v>4.4575496576726399E-4</v>
      </c>
      <c r="BN17" s="8">
        <v>4.6643115638289601E-5</v>
      </c>
      <c r="BO17">
        <v>1</v>
      </c>
      <c r="BP17">
        <v>8.5359059274196597E-2</v>
      </c>
      <c r="BQ17">
        <v>0.99999594688415505</v>
      </c>
      <c r="BR17">
        <v>3.3518293639644899E-4</v>
      </c>
      <c r="BS17">
        <v>0.44094613194465598</v>
      </c>
      <c r="BT17">
        <v>1.7244278262403501</v>
      </c>
      <c r="BU17">
        <v>3.5361443250707101</v>
      </c>
      <c r="BV17">
        <v>2.4713273478059401</v>
      </c>
      <c r="BW17">
        <v>4.3561671115803602</v>
      </c>
      <c r="BX17">
        <v>5.5435732884839704</v>
      </c>
      <c r="BY17">
        <v>5.2245842914408804</v>
      </c>
      <c r="BZ17">
        <v>0.114925436675548</v>
      </c>
      <c r="CA17">
        <v>0.12923577427864</v>
      </c>
      <c r="CB17">
        <v>0.99936407804489102</v>
      </c>
      <c r="CC17">
        <v>0.26066139340400601</v>
      </c>
      <c r="CD17">
        <v>0.58638709783553999</v>
      </c>
      <c r="CE17">
        <v>0.20481863617897</v>
      </c>
      <c r="CF17">
        <v>0.99975115060806197</v>
      </c>
      <c r="CG17">
        <v>9.8905391991138403E-2</v>
      </c>
      <c r="CH17">
        <v>7.3867805302143097E-2</v>
      </c>
      <c r="CI17">
        <v>0.984968781471252</v>
      </c>
      <c r="CJ17">
        <v>0.55370187759399403</v>
      </c>
      <c r="CK17">
        <v>0.99825137853622403</v>
      </c>
      <c r="CL17">
        <v>0.99145340919494596</v>
      </c>
      <c r="CM17">
        <v>0.96544778347015303</v>
      </c>
      <c r="CN17">
        <v>0.86649578809738104</v>
      </c>
      <c r="CO17">
        <v>0.87314426898956299</v>
      </c>
      <c r="CP17">
        <v>0.99999976158142001</v>
      </c>
      <c r="CQ17">
        <v>1.1247652582824201E-2</v>
      </c>
      <c r="CR17">
        <v>1.0296037653460999E-3</v>
      </c>
      <c r="CS17">
        <v>3.7631943821907002E-2</v>
      </c>
      <c r="CT17">
        <v>0.21990303695201799</v>
      </c>
      <c r="CU17">
        <v>5.3441692143678603E-2</v>
      </c>
      <c r="CV17">
        <v>4.4003780931234299E-3</v>
      </c>
      <c r="CW17">
        <v>0.106080412864685</v>
      </c>
      <c r="CX17">
        <v>0.22444730997085499</v>
      </c>
      <c r="CY17">
        <v>0.16314938664436299</v>
      </c>
      <c r="CZ17">
        <v>0.25431802868843001</v>
      </c>
      <c r="DA17">
        <v>0.941644728183746</v>
      </c>
      <c r="DB17">
        <v>3.4667262807488398E-3</v>
      </c>
      <c r="DC17">
        <v>0.16922883689403501</v>
      </c>
      <c r="DD17">
        <v>0.76603478193283003</v>
      </c>
      <c r="DE17">
        <v>0.97816359996795599</v>
      </c>
    </row>
    <row r="18" spans="1:109" x14ac:dyDescent="0.3">
      <c r="A18" t="s">
        <v>94</v>
      </c>
      <c r="B18" t="s">
        <v>89</v>
      </c>
      <c r="C18" t="s">
        <v>93</v>
      </c>
      <c r="D18" t="s">
        <v>1316</v>
      </c>
      <c r="E18">
        <v>418.12</v>
      </c>
      <c r="F18">
        <v>386.91696103634303</v>
      </c>
      <c r="G18">
        <v>1.08064531180044</v>
      </c>
      <c r="H18">
        <v>8</v>
      </c>
      <c r="I18">
        <v>1</v>
      </c>
      <c r="J18">
        <v>103.7</v>
      </c>
      <c r="K18">
        <v>4</v>
      </c>
      <c r="L18">
        <v>4</v>
      </c>
      <c r="M18">
        <v>14</v>
      </c>
      <c r="N18">
        <v>10</v>
      </c>
      <c r="O18">
        <v>-1</v>
      </c>
      <c r="P18">
        <v>25</v>
      </c>
      <c r="Q18">
        <v>0.16</v>
      </c>
      <c r="R18">
        <v>2</v>
      </c>
      <c r="S18">
        <v>1</v>
      </c>
      <c r="T18">
        <v>0.79100000000000004</v>
      </c>
      <c r="U18">
        <v>3.915</v>
      </c>
      <c r="V18">
        <v>0.35</v>
      </c>
      <c r="W18">
        <v>84.259</v>
      </c>
      <c r="X18">
        <v>-1.093</v>
      </c>
      <c r="Y18" t="s">
        <v>1298</v>
      </c>
      <c r="Z18" t="s">
        <v>1298</v>
      </c>
      <c r="AA18" t="s">
        <v>1298</v>
      </c>
      <c r="AB18" t="s">
        <v>1298</v>
      </c>
      <c r="AC18">
        <v>0</v>
      </c>
      <c r="AD18">
        <v>0</v>
      </c>
      <c r="AE18">
        <v>1</v>
      </c>
      <c r="AF18">
        <v>0</v>
      </c>
      <c r="AG18">
        <v>-1.6511669240593001</v>
      </c>
      <c r="AH18">
        <v>-0.12866749156700399</v>
      </c>
      <c r="AI18">
        <v>0.18611871602674601</v>
      </c>
      <c r="AJ18">
        <v>149.4114642223</v>
      </c>
      <c r="AK18">
        <v>320.91782183733102</v>
      </c>
      <c r="AL18">
        <v>10.3207776959154</v>
      </c>
      <c r="AM18">
        <v>5.20923475148469</v>
      </c>
      <c r="AN18">
        <v>-4.9869015653488296</v>
      </c>
      <c r="AO18">
        <v>-4.6526224354137904</v>
      </c>
      <c r="AP18">
        <v>0.33015251159667902</v>
      </c>
      <c r="AQ18">
        <v>0.99341362714767401</v>
      </c>
      <c r="AR18">
        <v>1.11128785647451E-4</v>
      </c>
      <c r="AS18">
        <v>5.8233737945556597E-3</v>
      </c>
      <c r="AT18">
        <v>8.9145302772521903E-3</v>
      </c>
      <c r="AU18">
        <v>0.1841681599617</v>
      </c>
      <c r="AV18">
        <v>5.8613240718841497E-2</v>
      </c>
      <c r="AW18">
        <v>0.99333739280700595</v>
      </c>
      <c r="AX18">
        <v>0.99836140871047896</v>
      </c>
      <c r="AY18" s="8">
        <v>7.5915336310572397E-6</v>
      </c>
      <c r="AZ18">
        <v>0.99998867511749201</v>
      </c>
      <c r="BA18">
        <v>3.2442298252135498E-3</v>
      </c>
      <c r="BB18">
        <v>0.67706799507141102</v>
      </c>
      <c r="BC18">
        <v>98.556011103773997</v>
      </c>
      <c r="BD18">
        <v>-0.166336216292997</v>
      </c>
      <c r="BE18">
        <v>1.2411286045461301</v>
      </c>
      <c r="BF18">
        <v>7.70361488685011E-3</v>
      </c>
      <c r="BG18">
        <v>5.3352478425949801E-4</v>
      </c>
      <c r="BH18">
        <v>0.86948323249816895</v>
      </c>
      <c r="BI18" s="8">
        <v>1.46914089782512E-5</v>
      </c>
      <c r="BJ18">
        <v>0.99942362308502197</v>
      </c>
      <c r="BK18" s="8">
        <v>8.0007244832813699E-5</v>
      </c>
      <c r="BL18" s="8">
        <v>2.9779872420476699E-5</v>
      </c>
      <c r="BM18" s="8">
        <v>6.6465768213674799E-6</v>
      </c>
      <c r="BN18">
        <v>0.98297804594039895</v>
      </c>
      <c r="BO18">
        <v>3.4355567186139502E-4</v>
      </c>
      <c r="BP18">
        <v>1.39812612906098E-3</v>
      </c>
      <c r="BQ18" s="8">
        <v>2.70522215739532E-11</v>
      </c>
      <c r="BR18">
        <v>0.99118089675903298</v>
      </c>
      <c r="BS18">
        <v>0.41144773364067</v>
      </c>
      <c r="BT18">
        <v>2.3975885311727301</v>
      </c>
      <c r="BU18">
        <v>1.87138301978626</v>
      </c>
      <c r="BV18">
        <v>0.86868517766647002</v>
      </c>
      <c r="BW18">
        <v>3.5635223221570298</v>
      </c>
      <c r="BX18">
        <v>5.6138771392163802</v>
      </c>
      <c r="BY18">
        <v>4.7519645956442602</v>
      </c>
      <c r="BZ18">
        <v>0.20648014545440599</v>
      </c>
      <c r="CA18">
        <v>6.6054984927177401E-2</v>
      </c>
      <c r="CB18">
        <v>0.99559813737869196</v>
      </c>
      <c r="CC18">
        <v>0.91131961345672596</v>
      </c>
      <c r="CD18">
        <v>0.23785993456840501</v>
      </c>
      <c r="CE18">
        <v>0.53723174333572299</v>
      </c>
      <c r="CF18">
        <v>0.95750355720519997</v>
      </c>
      <c r="CG18">
        <v>0.59284746646881104</v>
      </c>
      <c r="CH18" s="8">
        <v>2.85009349454412E-7</v>
      </c>
      <c r="CI18">
        <v>0.29594615101814198</v>
      </c>
      <c r="CJ18">
        <v>7.7724598348140703E-2</v>
      </c>
      <c r="CK18">
        <v>0.99915504455566395</v>
      </c>
      <c r="CL18">
        <v>0.99044501781463601</v>
      </c>
      <c r="CM18">
        <v>0.98183053731918302</v>
      </c>
      <c r="CN18">
        <v>0.83810484409332198</v>
      </c>
      <c r="CO18">
        <v>0.99420338869094804</v>
      </c>
      <c r="CP18">
        <v>1</v>
      </c>
      <c r="CQ18">
        <v>4.4993892312049803E-2</v>
      </c>
      <c r="CR18">
        <v>6.9568054750561697E-3</v>
      </c>
      <c r="CS18">
        <v>8.36937725543975E-2</v>
      </c>
      <c r="CT18">
        <v>9.40346252173185E-3</v>
      </c>
      <c r="CU18">
        <v>9.6788508817553503E-3</v>
      </c>
      <c r="CV18">
        <v>1.42888783011585E-3</v>
      </c>
      <c r="CW18">
        <v>1.9396177958697E-3</v>
      </c>
      <c r="CX18">
        <v>0.32313710451126099</v>
      </c>
      <c r="CY18">
        <v>1.41952070407569E-3</v>
      </c>
      <c r="CZ18" s="8">
        <v>1.6809728549560501E-5</v>
      </c>
      <c r="DA18">
        <v>0.70421200990676802</v>
      </c>
      <c r="DB18">
        <v>4.9087260849773797E-3</v>
      </c>
      <c r="DC18" s="8">
        <v>9.3103219114709605E-5</v>
      </c>
      <c r="DD18">
        <v>1.2094230391085099E-2</v>
      </c>
      <c r="DE18">
        <v>4.7949265688657698E-2</v>
      </c>
    </row>
    <row r="19" spans="1:109" x14ac:dyDescent="0.3">
      <c r="A19" t="s">
        <v>391</v>
      </c>
      <c r="B19" t="s">
        <v>386</v>
      </c>
      <c r="C19" t="s">
        <v>390</v>
      </c>
      <c r="D19" t="s">
        <v>386</v>
      </c>
      <c r="E19">
        <v>420.11</v>
      </c>
      <c r="F19">
        <v>368.16393666760098</v>
      </c>
      <c r="G19">
        <v>1.14109492581642</v>
      </c>
      <c r="H19">
        <v>10</v>
      </c>
      <c r="I19">
        <v>6</v>
      </c>
      <c r="J19">
        <v>162.06</v>
      </c>
      <c r="K19">
        <v>7</v>
      </c>
      <c r="L19">
        <v>3</v>
      </c>
      <c r="M19">
        <v>7</v>
      </c>
      <c r="N19">
        <v>12</v>
      </c>
      <c r="O19">
        <v>0</v>
      </c>
      <c r="P19">
        <v>17</v>
      </c>
      <c r="Q19">
        <v>0.41176470588235198</v>
      </c>
      <c r="R19">
        <v>6</v>
      </c>
      <c r="S19">
        <v>1</v>
      </c>
      <c r="T19">
        <v>0.308</v>
      </c>
      <c r="U19">
        <v>4.5330000000000004</v>
      </c>
      <c r="V19">
        <v>0.73299999999999998</v>
      </c>
      <c r="W19">
        <v>58.384999999999998</v>
      </c>
      <c r="X19">
        <v>0.73</v>
      </c>
      <c r="Y19" t="s">
        <v>1317</v>
      </c>
      <c r="Z19" t="s">
        <v>1318</v>
      </c>
      <c r="AA19" t="s">
        <v>1298</v>
      </c>
      <c r="AB19" t="s">
        <v>1298</v>
      </c>
      <c r="AC19">
        <v>0</v>
      </c>
      <c r="AD19">
        <v>0</v>
      </c>
      <c r="AE19">
        <v>1</v>
      </c>
      <c r="AF19">
        <v>0</v>
      </c>
      <c r="AG19">
        <v>-1.7219215363100899</v>
      </c>
      <c r="AH19">
        <v>0.62812331922045095</v>
      </c>
      <c r="AI19">
        <v>-0.493171583290893</v>
      </c>
      <c r="AJ19">
        <v>206.413649738864</v>
      </c>
      <c r="AK19">
        <v>284.32178233073</v>
      </c>
      <c r="AL19">
        <v>4.2518177688249503</v>
      </c>
      <c r="AM19">
        <v>5.3126647003229799</v>
      </c>
      <c r="AN19">
        <v>-6.1271215438349698</v>
      </c>
      <c r="AO19">
        <v>-5.1953619370269903</v>
      </c>
      <c r="AP19">
        <v>0.99753880500793402</v>
      </c>
      <c r="AQ19">
        <v>1.6374269034713501E-4</v>
      </c>
      <c r="AR19">
        <v>0.40336966514587402</v>
      </c>
      <c r="AS19" s="8">
        <v>8.1181526184082004E-5</v>
      </c>
      <c r="AT19">
        <v>3.3200144767761203E-2</v>
      </c>
      <c r="AU19">
        <v>4.3867528438568101E-2</v>
      </c>
      <c r="AV19">
        <v>0.27358078956603998</v>
      </c>
      <c r="AW19">
        <v>7.7669784426689106E-2</v>
      </c>
      <c r="AX19">
        <v>2.4521343875676298E-3</v>
      </c>
      <c r="AY19" s="8">
        <v>1.9337350749992701E-5</v>
      </c>
      <c r="AZ19">
        <v>2.5662232656031799E-3</v>
      </c>
      <c r="BA19" s="8">
        <v>2.9359376640059E-5</v>
      </c>
      <c r="BB19">
        <v>0.91543680429458596</v>
      </c>
      <c r="BC19">
        <v>14.4218343623539</v>
      </c>
      <c r="BD19">
        <v>-0.63677766017030701</v>
      </c>
      <c r="BE19">
        <v>78.669148121129396</v>
      </c>
      <c r="BF19" s="8">
        <v>1.2092866855453701E-12</v>
      </c>
      <c r="BG19" s="8">
        <v>5.5565846368565903E-10</v>
      </c>
      <c r="BH19" s="8">
        <v>6.1346035806764094E-8</v>
      </c>
      <c r="BI19">
        <v>0.833751261234283</v>
      </c>
      <c r="BJ19" s="8">
        <v>1.56045260268911E-7</v>
      </c>
      <c r="BK19" s="8">
        <v>9.8974439755039599E-11</v>
      </c>
      <c r="BL19" s="8">
        <v>8.1691918854542807E-12</v>
      </c>
      <c r="BM19" s="8">
        <v>4.97022824674786E-7</v>
      </c>
      <c r="BN19" s="8">
        <v>4.8518691286858401E-9</v>
      </c>
      <c r="BO19">
        <v>0.493182033300399</v>
      </c>
      <c r="BP19" s="8">
        <v>1.2147411325713601E-6</v>
      </c>
      <c r="BQ19" s="8">
        <v>1.0651326656340799E-14</v>
      </c>
      <c r="BR19" s="8">
        <v>7.99844149246276E-11</v>
      </c>
      <c r="BS19" s="8">
        <v>1.3622223349329899E-9</v>
      </c>
      <c r="BT19">
        <v>2.3658352800253599</v>
      </c>
      <c r="BU19">
        <v>1.41790901599233</v>
      </c>
      <c r="BV19">
        <v>0.105392751157141</v>
      </c>
      <c r="BW19">
        <v>2.6270999873179899</v>
      </c>
      <c r="BX19">
        <v>4.1692788080543499</v>
      </c>
      <c r="BY19">
        <v>3.2087211689523301</v>
      </c>
      <c r="BZ19">
        <v>3.5843197256326599E-2</v>
      </c>
      <c r="CA19">
        <v>2.3752503097057301E-2</v>
      </c>
      <c r="CB19">
        <v>0.99970191717147805</v>
      </c>
      <c r="CC19">
        <v>0.61459261178970304</v>
      </c>
      <c r="CD19">
        <v>9.4524078071117401E-2</v>
      </c>
      <c r="CE19">
        <v>0.116307027637958</v>
      </c>
      <c r="CF19">
        <v>0.98792403936386097</v>
      </c>
      <c r="CG19">
        <v>8.7336212396621704E-2</v>
      </c>
      <c r="CH19" s="8">
        <v>9.3750298901795695E-7</v>
      </c>
      <c r="CI19">
        <v>5.3436616435647002E-3</v>
      </c>
      <c r="CJ19">
        <v>0.268875122070312</v>
      </c>
      <c r="CK19">
        <v>0.95839762687683105</v>
      </c>
      <c r="CL19">
        <v>4.0552467107772801E-3</v>
      </c>
      <c r="CM19">
        <v>0.98285228013992298</v>
      </c>
      <c r="CN19">
        <v>0.947662413120269</v>
      </c>
      <c r="CO19">
        <v>0.84005224704742398</v>
      </c>
      <c r="CP19">
        <v>0.99999761581420898</v>
      </c>
      <c r="CQ19">
        <v>4.1350729763507801E-2</v>
      </c>
      <c r="CR19">
        <v>1.1943721910938601E-3</v>
      </c>
      <c r="CS19">
        <v>7.9940687865018793E-3</v>
      </c>
      <c r="CT19" s="8">
        <v>2.1558587832259902E-5</v>
      </c>
      <c r="CU19">
        <v>4.1273520328104496E-3</v>
      </c>
      <c r="CV19">
        <v>1.16146940854378E-4</v>
      </c>
      <c r="CW19" s="8">
        <v>2.3477345223454899E-7</v>
      </c>
      <c r="CX19">
        <v>0.29757928848266602</v>
      </c>
      <c r="CY19">
        <v>5.4899645037948998E-3</v>
      </c>
      <c r="CZ19" s="8">
        <v>1.21370831038802E-5</v>
      </c>
      <c r="DA19">
        <v>2.20599654130637E-3</v>
      </c>
      <c r="DB19" s="8">
        <v>6.13608199273585E-6</v>
      </c>
      <c r="DC19" s="8">
        <v>8.8317474364885095E-6</v>
      </c>
      <c r="DD19">
        <v>7.1899930480867603E-4</v>
      </c>
      <c r="DE19">
        <v>1.35519236209802E-4</v>
      </c>
    </row>
    <row r="20" spans="1:109" x14ac:dyDescent="0.3">
      <c r="A20" t="s">
        <v>231</v>
      </c>
      <c r="B20" t="s">
        <v>226</v>
      </c>
      <c r="C20" t="s">
        <v>230</v>
      </c>
      <c r="D20" t="s">
        <v>226</v>
      </c>
      <c r="E20">
        <v>227.07</v>
      </c>
      <c r="F20">
        <v>201.99009387744499</v>
      </c>
      <c r="G20">
        <v>1.12416404013243</v>
      </c>
      <c r="H20">
        <v>6</v>
      </c>
      <c r="I20">
        <v>3</v>
      </c>
      <c r="J20">
        <v>90.37</v>
      </c>
      <c r="K20">
        <v>2</v>
      </c>
      <c r="L20">
        <v>2</v>
      </c>
      <c r="M20">
        <v>6</v>
      </c>
      <c r="N20">
        <v>7</v>
      </c>
      <c r="O20">
        <v>0</v>
      </c>
      <c r="P20">
        <v>12</v>
      </c>
      <c r="Q20">
        <v>0.16666666666666599</v>
      </c>
      <c r="R20">
        <v>2</v>
      </c>
      <c r="S20">
        <v>0</v>
      </c>
      <c r="T20">
        <v>0.65900000000000003</v>
      </c>
      <c r="U20">
        <v>3.8290000000000002</v>
      </c>
      <c r="V20">
        <v>0.33300000000000002</v>
      </c>
      <c r="W20">
        <v>40</v>
      </c>
      <c r="X20">
        <v>0.68799999999999994</v>
      </c>
      <c r="Y20" t="s">
        <v>1319</v>
      </c>
      <c r="Z20" t="s">
        <v>1298</v>
      </c>
      <c r="AA20" t="s">
        <v>1298</v>
      </c>
      <c r="AB20" t="s">
        <v>1298</v>
      </c>
      <c r="AC20">
        <v>0</v>
      </c>
      <c r="AD20">
        <v>0</v>
      </c>
      <c r="AE20">
        <v>0</v>
      </c>
      <c r="AF20">
        <v>0</v>
      </c>
      <c r="AG20">
        <v>-0.62123411636302805</v>
      </c>
      <c r="AH20">
        <v>-0.96881276409442096</v>
      </c>
      <c r="AI20">
        <v>-1.08191577029413</v>
      </c>
      <c r="AJ20">
        <v>184.937607866272</v>
      </c>
      <c r="AK20">
        <v>290.49585784134598</v>
      </c>
      <c r="AL20">
        <v>9.8849057896332795</v>
      </c>
      <c r="AM20">
        <v>3.1055886719377499</v>
      </c>
      <c r="AN20">
        <v>-5.5306217296192397</v>
      </c>
      <c r="AO20">
        <v>-5.1397717286933204</v>
      </c>
      <c r="AP20">
        <v>7.6139785349368994E-2</v>
      </c>
      <c r="AQ20">
        <v>3.3848907332867303E-4</v>
      </c>
      <c r="AR20">
        <v>1.55483104754239E-3</v>
      </c>
      <c r="AS20" s="8">
        <v>9.5367431640625E-7</v>
      </c>
      <c r="AT20" s="8">
        <v>1.00135803222656E-5</v>
      </c>
      <c r="AU20" s="8">
        <v>2.2172927856445299E-5</v>
      </c>
      <c r="AV20" s="8">
        <v>2.11000442504882E-5</v>
      </c>
      <c r="AW20">
        <v>1.4460498641710701E-4</v>
      </c>
      <c r="AX20" s="8">
        <v>4.1988991142716198E-5</v>
      </c>
      <c r="AY20" s="8">
        <v>2.08179244509665E-6</v>
      </c>
      <c r="AZ20">
        <v>0.88685816526412897</v>
      </c>
      <c r="BA20">
        <v>0.85406041145324696</v>
      </c>
      <c r="BB20">
        <v>0.97595936059951705</v>
      </c>
      <c r="BC20">
        <v>4.3741435052466997</v>
      </c>
      <c r="BD20">
        <v>-0.103434907288896</v>
      </c>
      <c r="BE20">
        <v>95.535010429394006</v>
      </c>
      <c r="BF20" s="8">
        <v>1.81821883415977E-6</v>
      </c>
      <c r="BG20">
        <v>0.94949942827224698</v>
      </c>
      <c r="BH20" s="8">
        <v>1.60953689487541E-7</v>
      </c>
      <c r="BI20">
        <v>0.696047723293304</v>
      </c>
      <c r="BJ20" s="8">
        <v>8.9203222159994698E-6</v>
      </c>
      <c r="BK20">
        <v>0.99830996990203802</v>
      </c>
      <c r="BL20" s="8">
        <v>1.4505153558275099E-6</v>
      </c>
      <c r="BM20">
        <v>0.136777773499488</v>
      </c>
      <c r="BN20">
        <v>1.21950171887874E-3</v>
      </c>
      <c r="BO20">
        <v>0.99909341335296598</v>
      </c>
      <c r="BP20" s="8">
        <v>8.3314538642298403E-5</v>
      </c>
      <c r="BQ20">
        <v>5.3222244605421998E-4</v>
      </c>
      <c r="BR20">
        <v>1.05043016374111E-2</v>
      </c>
      <c r="BS20">
        <v>0.185055032372474</v>
      </c>
      <c r="BT20">
        <v>7.4775765541179799</v>
      </c>
      <c r="BU20">
        <v>1.6229147149060099</v>
      </c>
      <c r="BV20">
        <v>0.17132697760997001</v>
      </c>
      <c r="BW20">
        <v>2.5025173433484502</v>
      </c>
      <c r="BX20">
        <v>4.0477525311762204</v>
      </c>
      <c r="BY20">
        <v>2.99215482511514</v>
      </c>
      <c r="BZ20">
        <v>6.6255360841751099E-2</v>
      </c>
      <c r="CA20">
        <v>0.219844534993171</v>
      </c>
      <c r="CB20">
        <v>0.95572799444198597</v>
      </c>
      <c r="CC20">
        <v>0.90183079242706299</v>
      </c>
      <c r="CD20">
        <v>0.44946894049644398</v>
      </c>
      <c r="CE20">
        <v>0.17648021876811901</v>
      </c>
      <c r="CF20">
        <v>0.85715508460998502</v>
      </c>
      <c r="CG20">
        <v>0.86585104465484597</v>
      </c>
      <c r="CH20">
        <v>2.6218838989734601E-2</v>
      </c>
      <c r="CI20">
        <v>0.73146057128906194</v>
      </c>
      <c r="CJ20">
        <v>0.511654913425445</v>
      </c>
      <c r="CK20">
        <v>0.90052711963653498</v>
      </c>
      <c r="CL20">
        <v>0.95416951179504395</v>
      </c>
      <c r="CM20">
        <v>0.80401855707168501</v>
      </c>
      <c r="CN20">
        <v>0.77368581295013406</v>
      </c>
      <c r="CO20">
        <v>0.81158298254012995</v>
      </c>
      <c r="CP20">
        <v>0.99587965011596602</v>
      </c>
      <c r="CQ20">
        <v>0.10794524103403</v>
      </c>
      <c r="CR20">
        <v>8.7506256997585297E-2</v>
      </c>
      <c r="CS20">
        <v>0.18343318998813599</v>
      </c>
      <c r="CT20">
        <v>7.9697761684656108E-3</v>
      </c>
      <c r="CU20">
        <v>6.2342632561921997E-2</v>
      </c>
      <c r="CV20">
        <v>8.2274014130234701E-3</v>
      </c>
      <c r="CW20">
        <v>8.20123255252838E-2</v>
      </c>
      <c r="CX20">
        <v>0.38001874089241</v>
      </c>
      <c r="CY20">
        <v>5.9486512094736099E-2</v>
      </c>
      <c r="CZ20">
        <v>1.2942028697580099E-3</v>
      </c>
      <c r="DA20">
        <v>0.50712978839874201</v>
      </c>
      <c r="DB20">
        <v>4.3995091691613197E-3</v>
      </c>
      <c r="DC20">
        <v>4.3629412539303303E-3</v>
      </c>
      <c r="DD20">
        <v>5.7935821823775699E-3</v>
      </c>
      <c r="DE20">
        <v>0.97054064273834195</v>
      </c>
    </row>
    <row r="21" spans="1:109" x14ac:dyDescent="0.3">
      <c r="A21" t="s">
        <v>454</v>
      </c>
      <c r="B21" t="s">
        <v>449</v>
      </c>
      <c r="C21" t="s">
        <v>453</v>
      </c>
      <c r="D21" t="s">
        <v>449</v>
      </c>
      <c r="E21">
        <v>436.13</v>
      </c>
      <c r="F21">
        <v>415.76620108552402</v>
      </c>
      <c r="G21">
        <v>1.04897896669163</v>
      </c>
      <c r="H21">
        <v>7</v>
      </c>
      <c r="I21">
        <v>4</v>
      </c>
      <c r="J21">
        <v>108.61</v>
      </c>
      <c r="K21">
        <v>6</v>
      </c>
      <c r="L21">
        <v>4</v>
      </c>
      <c r="M21">
        <v>7</v>
      </c>
      <c r="N21">
        <v>8</v>
      </c>
      <c r="O21">
        <v>0</v>
      </c>
      <c r="P21">
        <v>21</v>
      </c>
      <c r="Q21">
        <v>0.28571428571428498</v>
      </c>
      <c r="R21">
        <v>5</v>
      </c>
      <c r="S21">
        <v>1</v>
      </c>
      <c r="T21">
        <v>0.54100000000000004</v>
      </c>
      <c r="U21">
        <v>4.7249999999999996</v>
      </c>
      <c r="V21">
        <v>0.45500000000000002</v>
      </c>
      <c r="W21">
        <v>87.75</v>
      </c>
      <c r="X21">
        <v>0.78300000000000003</v>
      </c>
      <c r="Y21" t="s">
        <v>1320</v>
      </c>
      <c r="Z21" t="s">
        <v>1298</v>
      </c>
      <c r="AA21" t="s">
        <v>1298</v>
      </c>
      <c r="AB21" t="s">
        <v>1298</v>
      </c>
      <c r="AC21">
        <v>0</v>
      </c>
      <c r="AD21">
        <v>0</v>
      </c>
      <c r="AE21">
        <v>1</v>
      </c>
      <c r="AF21">
        <v>0</v>
      </c>
      <c r="AG21">
        <v>-4.6871077732763204</v>
      </c>
      <c r="AH21">
        <v>3.19063853947823</v>
      </c>
      <c r="AI21">
        <v>3.5772900339240499</v>
      </c>
      <c r="AJ21">
        <v>124.075621661836</v>
      </c>
      <c r="AK21">
        <v>302.07721280685701</v>
      </c>
      <c r="AL21">
        <v>6.2336353906002602</v>
      </c>
      <c r="AM21">
        <v>5.0457645218503799</v>
      </c>
      <c r="AN21">
        <v>-5.4582479338933796</v>
      </c>
      <c r="AO21">
        <v>-4.8755128807174497</v>
      </c>
      <c r="AP21">
        <v>0.67555326223373402</v>
      </c>
      <c r="AQ21">
        <v>2.6352195069193798E-2</v>
      </c>
      <c r="AR21">
        <v>0.13181145489215801</v>
      </c>
      <c r="AS21">
        <v>5.58918714523315E-3</v>
      </c>
      <c r="AT21">
        <v>2.3135602474212601E-2</v>
      </c>
      <c r="AU21">
        <v>8.6400449275970403E-2</v>
      </c>
      <c r="AV21">
        <v>0.69425243139266901</v>
      </c>
      <c r="AW21">
        <v>0.99987125396728505</v>
      </c>
      <c r="AX21">
        <v>0.99954444169998102</v>
      </c>
      <c r="AY21">
        <v>9.5146680250763893E-3</v>
      </c>
      <c r="AZ21">
        <v>0.99996066093444802</v>
      </c>
      <c r="BA21">
        <v>0.248358368873596</v>
      </c>
      <c r="BB21">
        <v>0.33502399921417197</v>
      </c>
      <c r="BC21">
        <v>90.5232462720233</v>
      </c>
      <c r="BD21">
        <v>7.8823680872438101E-2</v>
      </c>
      <c r="BE21">
        <v>9.0680496606167402</v>
      </c>
      <c r="BF21">
        <v>3.9594285772181999E-4</v>
      </c>
      <c r="BG21">
        <v>0.99909293651580799</v>
      </c>
      <c r="BH21">
        <v>2.17331573367118E-2</v>
      </c>
      <c r="BI21">
        <v>0.30473837256431502</v>
      </c>
      <c r="BJ21">
        <v>5.1610093563795E-2</v>
      </c>
      <c r="BK21">
        <v>0.91581761837005604</v>
      </c>
      <c r="BL21">
        <v>1.84034797712229E-4</v>
      </c>
      <c r="BM21">
        <v>0.49460840225219699</v>
      </c>
      <c r="BN21">
        <v>3.8504605181515199E-3</v>
      </c>
      <c r="BO21">
        <v>0.20034390687942499</v>
      </c>
      <c r="BP21">
        <v>0.99997949600219704</v>
      </c>
      <c r="BQ21" s="8">
        <v>3.4972038598368702E-9</v>
      </c>
      <c r="BR21">
        <v>0.99951660633087103</v>
      </c>
      <c r="BS21">
        <v>0.88971155881881703</v>
      </c>
      <c r="BT21">
        <v>4.3088699997919404</v>
      </c>
      <c r="BU21">
        <v>2.5898385858695598</v>
      </c>
      <c r="BV21">
        <v>1.58622873084785</v>
      </c>
      <c r="BW21">
        <v>3.85682632005574</v>
      </c>
      <c r="BX21">
        <v>5.2981873845828904</v>
      </c>
      <c r="BY21">
        <v>4.7207922502339503</v>
      </c>
      <c r="BZ21">
        <v>0.260667264461517</v>
      </c>
      <c r="CA21">
        <v>0.49312484264373702</v>
      </c>
      <c r="CB21">
        <v>0.62528663873672397</v>
      </c>
      <c r="CC21">
        <v>0.81409597396850497</v>
      </c>
      <c r="CD21">
        <v>0.298399567604064</v>
      </c>
      <c r="CE21">
        <v>0.31784313917160001</v>
      </c>
      <c r="CF21">
        <v>0.99938416481018</v>
      </c>
      <c r="CG21">
        <v>0.75211358070373502</v>
      </c>
      <c r="CH21">
        <v>1.0041111381724401E-3</v>
      </c>
      <c r="CI21">
        <v>0.58245831727981501</v>
      </c>
      <c r="CJ21">
        <v>0.14739678800105999</v>
      </c>
      <c r="CK21">
        <v>0.38442912697791998</v>
      </c>
      <c r="CL21">
        <v>0.236237853765487</v>
      </c>
      <c r="CM21">
        <v>0.823708295822143</v>
      </c>
      <c r="CN21">
        <v>0.104066364467144</v>
      </c>
      <c r="CO21">
        <v>0.850142002105712</v>
      </c>
      <c r="CP21">
        <v>0.32470178604125899</v>
      </c>
      <c r="CQ21">
        <v>0.28237020969390803</v>
      </c>
      <c r="CR21">
        <v>5.9409458190202699E-2</v>
      </c>
      <c r="CS21">
        <v>0.82322901487350397</v>
      </c>
      <c r="CT21">
        <v>0.345832079648971</v>
      </c>
      <c r="CU21">
        <v>3.1686086207628202E-2</v>
      </c>
      <c r="CV21">
        <v>7.1228579618036704E-3</v>
      </c>
      <c r="CW21">
        <v>0.11029028147459</v>
      </c>
      <c r="CX21">
        <v>0.75881302356719904</v>
      </c>
      <c r="CY21">
        <v>0.396094650030136</v>
      </c>
      <c r="CZ21">
        <v>2.2184323461260601E-4</v>
      </c>
      <c r="DA21">
        <v>0.24347579479217499</v>
      </c>
      <c r="DB21">
        <v>1.0191177716478701E-3</v>
      </c>
      <c r="DC21">
        <v>3.8639422506093903E-2</v>
      </c>
      <c r="DD21">
        <v>0.84052014350891102</v>
      </c>
      <c r="DE21">
        <v>6.8121924996375996E-2</v>
      </c>
    </row>
    <row r="22" spans="1:109" x14ac:dyDescent="0.3">
      <c r="A22" t="s">
        <v>293</v>
      </c>
      <c r="B22" t="s">
        <v>290</v>
      </c>
      <c r="C22" t="s">
        <v>292</v>
      </c>
      <c r="D22" t="s">
        <v>290</v>
      </c>
      <c r="E22">
        <v>733.46</v>
      </c>
      <c r="F22">
        <v>742.83532845884895</v>
      </c>
      <c r="G22">
        <v>0.98737899491358205</v>
      </c>
      <c r="H22">
        <v>14</v>
      </c>
      <c r="I22">
        <v>5</v>
      </c>
      <c r="J22">
        <v>193.91</v>
      </c>
      <c r="K22">
        <v>7</v>
      </c>
      <c r="L22">
        <v>3</v>
      </c>
      <c r="M22">
        <v>14</v>
      </c>
      <c r="N22">
        <v>14</v>
      </c>
      <c r="O22">
        <v>0</v>
      </c>
      <c r="P22">
        <v>28</v>
      </c>
      <c r="Q22">
        <v>0.25</v>
      </c>
      <c r="R22">
        <v>18</v>
      </c>
      <c r="S22">
        <v>1</v>
      </c>
      <c r="T22">
        <v>0.23799999999999999</v>
      </c>
      <c r="U22">
        <v>6.0880000000000001</v>
      </c>
      <c r="V22">
        <v>0.94599999999999995</v>
      </c>
      <c r="W22">
        <v>93</v>
      </c>
      <c r="X22">
        <v>1.895</v>
      </c>
      <c r="Y22" t="s">
        <v>1299</v>
      </c>
      <c r="Z22" t="s">
        <v>1298</v>
      </c>
      <c r="AA22" t="s">
        <v>1298</v>
      </c>
      <c r="AB22" t="s">
        <v>1298</v>
      </c>
      <c r="AC22">
        <v>1</v>
      </c>
      <c r="AD22">
        <v>0</v>
      </c>
      <c r="AE22">
        <v>1</v>
      </c>
      <c r="AF22">
        <v>1</v>
      </c>
      <c r="AG22">
        <v>-2.9951249490647101</v>
      </c>
      <c r="AH22">
        <v>2.5860594822181699</v>
      </c>
      <c r="AI22">
        <v>2.1539717047611999</v>
      </c>
      <c r="AJ22">
        <v>179.959624109435</v>
      </c>
      <c r="AK22">
        <v>261.94890823277098</v>
      </c>
      <c r="AL22">
        <v>6.5451460186494401</v>
      </c>
      <c r="AM22">
        <v>6.5550511097706101</v>
      </c>
      <c r="AN22">
        <v>-5.8523013939231303</v>
      </c>
      <c r="AO22">
        <v>-5.2030620650585702</v>
      </c>
      <c r="AP22">
        <v>0.99995791912078802</v>
      </c>
      <c r="AQ22">
        <v>1.3599146041087801E-4</v>
      </c>
      <c r="AR22">
        <v>0.96949118375778198</v>
      </c>
      <c r="AS22">
        <v>2.9236078262329102E-4</v>
      </c>
      <c r="AT22">
        <v>2.3249924182891801E-2</v>
      </c>
      <c r="AU22">
        <v>1.50686502456665E-2</v>
      </c>
      <c r="AV22">
        <v>0.95844653248786904</v>
      </c>
      <c r="AW22">
        <v>0.99643987417221003</v>
      </c>
      <c r="AX22">
        <v>0.99921023845672596</v>
      </c>
      <c r="AY22">
        <v>3.66601371206343E-3</v>
      </c>
      <c r="AZ22">
        <v>0.92495232820510798</v>
      </c>
      <c r="BA22" s="8">
        <v>3.0902695016265999E-6</v>
      </c>
      <c r="BB22">
        <v>0.96784526109695401</v>
      </c>
      <c r="BC22">
        <v>39.360573041855602</v>
      </c>
      <c r="BD22">
        <v>-4.2462346665318597E-2</v>
      </c>
      <c r="BE22">
        <v>60.051331991137197</v>
      </c>
      <c r="BF22" s="8">
        <v>3.0865143340469398E-12</v>
      </c>
      <c r="BG22">
        <v>3.8972541224211398E-3</v>
      </c>
      <c r="BH22" s="8">
        <v>2.6329227686971902E-10</v>
      </c>
      <c r="BI22">
        <v>0.96077859401702803</v>
      </c>
      <c r="BJ22" s="8">
        <v>9.7621399852698604E-10</v>
      </c>
      <c r="BK22" s="8">
        <v>1.08849365076935E-8</v>
      </c>
      <c r="BL22" s="8">
        <v>1.7667478857674699E-7</v>
      </c>
      <c r="BM22" s="8">
        <v>2.6342345904595197E-7</v>
      </c>
      <c r="BN22">
        <v>5.3744334727525702E-3</v>
      </c>
      <c r="BO22">
        <v>0.98498028516769398</v>
      </c>
      <c r="BP22">
        <v>0.93268197774886996</v>
      </c>
      <c r="BQ22" s="8">
        <v>5.5841799930718496E-20</v>
      </c>
      <c r="BR22">
        <v>3.34474723786115E-3</v>
      </c>
      <c r="BS22">
        <v>0.33760365843772799</v>
      </c>
      <c r="BT22">
        <v>6.0618302297554498</v>
      </c>
      <c r="BU22">
        <v>5.0820488717843402</v>
      </c>
      <c r="BV22">
        <v>0.35308134922824302</v>
      </c>
      <c r="BW22">
        <v>2.94752256266541</v>
      </c>
      <c r="BX22">
        <v>4.5451109563902703</v>
      </c>
      <c r="BY22">
        <v>3.6774612560109801</v>
      </c>
      <c r="BZ22">
        <v>3.2408643513917902E-2</v>
      </c>
      <c r="CA22">
        <v>0.32032969594001698</v>
      </c>
      <c r="CB22">
        <v>0.80774837732314997</v>
      </c>
      <c r="CC22">
        <v>0.32473701238632202</v>
      </c>
      <c r="CD22">
        <v>3.6502048373222303E-2</v>
      </c>
      <c r="CE22">
        <v>9.0644203126430498E-2</v>
      </c>
      <c r="CF22">
        <v>0.99855262041091897</v>
      </c>
      <c r="CG22">
        <v>0.166200250387191</v>
      </c>
      <c r="CH22">
        <v>1.8747788271866701E-4</v>
      </c>
      <c r="CI22">
        <v>2.7855578809976502E-4</v>
      </c>
      <c r="CJ22">
        <v>2.18097791075706E-2</v>
      </c>
      <c r="CK22">
        <v>0.52173185348510698</v>
      </c>
      <c r="CL22">
        <v>0.409982770681381</v>
      </c>
      <c r="CM22">
        <v>0.98342239856719904</v>
      </c>
      <c r="CN22">
        <v>0.35490599274635298</v>
      </c>
      <c r="CO22">
        <v>0.98741340637206998</v>
      </c>
      <c r="CP22">
        <v>0.22033180296421001</v>
      </c>
      <c r="CQ22">
        <v>0.38923007249832098</v>
      </c>
      <c r="CR22">
        <v>0.22483877837657901</v>
      </c>
      <c r="CS22">
        <v>0.25759807229041998</v>
      </c>
      <c r="CT22" s="8">
        <v>1.3742087503487699E-6</v>
      </c>
      <c r="CU22">
        <v>1.6047540702857001E-4</v>
      </c>
      <c r="CV22" s="8">
        <v>5.6766714351397198E-7</v>
      </c>
      <c r="CW22" s="8">
        <v>1.15604589154827E-5</v>
      </c>
      <c r="CX22">
        <v>0.13624684512615201</v>
      </c>
      <c r="CY22" s="8">
        <v>2.0506327746971899E-9</v>
      </c>
      <c r="CZ22" s="8">
        <v>1.8509703492153299E-10</v>
      </c>
      <c r="DA22" s="8">
        <v>2.39587643591221E-6</v>
      </c>
      <c r="DB22" s="8">
        <v>3.8619223374780598E-9</v>
      </c>
      <c r="DC22" s="8">
        <v>8.2189788308539805E-10</v>
      </c>
      <c r="DD22" s="8">
        <v>2.9418211866527599E-8</v>
      </c>
      <c r="DE22" s="8">
        <v>1.43886779824242E-6</v>
      </c>
    </row>
    <row r="23" spans="1:109" x14ac:dyDescent="0.3">
      <c r="A23" t="s">
        <v>289</v>
      </c>
      <c r="B23" t="s">
        <v>284</v>
      </c>
      <c r="C23" t="s">
        <v>288</v>
      </c>
      <c r="D23" t="s">
        <v>284</v>
      </c>
      <c r="E23">
        <v>321.14</v>
      </c>
      <c r="F23">
        <v>307.91329129437003</v>
      </c>
      <c r="G23">
        <v>1.0429559524696901</v>
      </c>
      <c r="H23">
        <v>9</v>
      </c>
      <c r="I23">
        <v>2</v>
      </c>
      <c r="J23">
        <v>122.22</v>
      </c>
      <c r="K23">
        <v>9</v>
      </c>
      <c r="L23">
        <v>2</v>
      </c>
      <c r="M23">
        <v>9</v>
      </c>
      <c r="N23">
        <v>9</v>
      </c>
      <c r="O23">
        <v>0</v>
      </c>
      <c r="P23">
        <v>12</v>
      </c>
      <c r="Q23">
        <v>0.75</v>
      </c>
      <c r="R23">
        <v>0</v>
      </c>
      <c r="S23">
        <v>0</v>
      </c>
      <c r="T23">
        <v>0.73299999999999998</v>
      </c>
      <c r="U23">
        <v>2.8069999999999999</v>
      </c>
      <c r="V23">
        <v>0.5</v>
      </c>
      <c r="W23">
        <v>13</v>
      </c>
      <c r="X23">
        <v>-0.19600000000000001</v>
      </c>
      <c r="Y23" t="s">
        <v>1298</v>
      </c>
      <c r="Z23" t="s">
        <v>1298</v>
      </c>
      <c r="AA23" t="s">
        <v>1298</v>
      </c>
      <c r="AB23" t="s">
        <v>1298</v>
      </c>
      <c r="AC23">
        <v>0</v>
      </c>
      <c r="AD23">
        <v>0</v>
      </c>
      <c r="AE23">
        <v>0</v>
      </c>
      <c r="AF23">
        <v>0</v>
      </c>
      <c r="AG23">
        <v>-1.45593606166595</v>
      </c>
      <c r="AH23">
        <v>0.46921244144185598</v>
      </c>
      <c r="AI23">
        <v>0.13726618710030999</v>
      </c>
      <c r="AJ23">
        <v>116.548478584994</v>
      </c>
      <c r="AK23">
        <v>296.57795573755698</v>
      </c>
      <c r="AL23">
        <v>8.5219205819576</v>
      </c>
      <c r="AM23">
        <v>5.2911915018403901</v>
      </c>
      <c r="AN23">
        <v>-5.5801608652687396</v>
      </c>
      <c r="AO23">
        <v>-4.7910943412135696</v>
      </c>
      <c r="AP23">
        <v>0.63744747638702304</v>
      </c>
      <c r="AQ23">
        <v>9.4502102583646705E-3</v>
      </c>
      <c r="AR23">
        <v>0.44708329439163202</v>
      </c>
      <c r="AS23">
        <v>1.1444091796875E-4</v>
      </c>
      <c r="AT23">
        <v>1.12414360046386E-4</v>
      </c>
      <c r="AU23">
        <v>1.8741488456726E-3</v>
      </c>
      <c r="AV23">
        <v>6.57922029495239E-3</v>
      </c>
      <c r="AW23">
        <v>7.8247087076306308E-3</v>
      </c>
      <c r="AX23">
        <v>3.7978455424308701E-2</v>
      </c>
      <c r="AY23">
        <v>4.4324155896902001E-2</v>
      </c>
      <c r="AZ23">
        <v>1.08331954106688E-2</v>
      </c>
      <c r="BA23">
        <v>0.99473273754119795</v>
      </c>
      <c r="BB23">
        <v>0.98894941806793202</v>
      </c>
      <c r="BC23">
        <v>11.384648958643</v>
      </c>
      <c r="BD23">
        <v>-5.75205069352175E-2</v>
      </c>
      <c r="BE23">
        <v>92.645380118321697</v>
      </c>
      <c r="BF23">
        <v>4.12556953961029E-4</v>
      </c>
      <c r="BG23">
        <v>1.09580783173441E-2</v>
      </c>
      <c r="BH23">
        <v>1.3738090638071201E-3</v>
      </c>
      <c r="BI23">
        <v>4.32237284258008E-3</v>
      </c>
      <c r="BJ23" s="8">
        <v>1.6899617776289199E-6</v>
      </c>
      <c r="BK23">
        <v>9.2907603830099106E-3</v>
      </c>
      <c r="BL23">
        <v>1.0871923528611599E-2</v>
      </c>
      <c r="BM23" s="8">
        <v>4.6176251089491399E-6</v>
      </c>
      <c r="BN23">
        <v>4.75335691589862E-4</v>
      </c>
      <c r="BO23">
        <v>0.99991595745086603</v>
      </c>
      <c r="BP23">
        <v>9.13402810692787E-3</v>
      </c>
      <c r="BQ23" s="8">
        <v>5.4749472155890502E-7</v>
      </c>
      <c r="BR23">
        <v>0.54715776443481401</v>
      </c>
      <c r="BS23">
        <v>0.91424936056136996</v>
      </c>
      <c r="BT23">
        <v>5.6046929951272304</v>
      </c>
      <c r="BU23">
        <v>0.88958449277867202</v>
      </c>
      <c r="BV23">
        <v>0.52514052796625199</v>
      </c>
      <c r="BW23">
        <v>3.0627903113291199</v>
      </c>
      <c r="BX23">
        <v>4.6159750223250304</v>
      </c>
      <c r="BY23">
        <v>4.2930088700158704</v>
      </c>
      <c r="BZ23">
        <v>8.39987397193908E-2</v>
      </c>
      <c r="CA23">
        <v>0.25550812482833801</v>
      </c>
      <c r="CB23">
        <v>0.98216426372527998</v>
      </c>
      <c r="CC23">
        <v>0.96515887975692705</v>
      </c>
      <c r="CD23">
        <v>8.9368142187595298E-2</v>
      </c>
      <c r="CE23">
        <v>0.14107753336429499</v>
      </c>
      <c r="CF23">
        <v>0.89138740301132202</v>
      </c>
      <c r="CG23">
        <v>0.95150816440582198</v>
      </c>
      <c r="CH23" s="8">
        <v>2.21614504880562E-6</v>
      </c>
      <c r="CI23">
        <v>8.5311569273471805E-2</v>
      </c>
      <c r="CJ23">
        <v>4.1145928204059601E-2</v>
      </c>
      <c r="CK23">
        <v>0.82082551717758101</v>
      </c>
      <c r="CL23">
        <v>0.94441175460815396</v>
      </c>
      <c r="CM23">
        <v>0.75565874576568604</v>
      </c>
      <c r="CN23">
        <v>0.84251791238784701</v>
      </c>
      <c r="CO23">
        <v>0.87211531400680498</v>
      </c>
      <c r="CP23">
        <v>0.998496294021606</v>
      </c>
      <c r="CQ23">
        <v>8.2599751651286996E-2</v>
      </c>
      <c r="CR23">
        <v>5.80032989382743E-2</v>
      </c>
      <c r="CS23">
        <v>0.170166134834289</v>
      </c>
      <c r="CT23">
        <v>1.10551183752249E-4</v>
      </c>
      <c r="CU23">
        <v>2.1780883253086299E-4</v>
      </c>
      <c r="CV23" s="8">
        <v>1.07832911453442E-5</v>
      </c>
      <c r="CW23" s="8">
        <v>1.3072960882709499E-6</v>
      </c>
      <c r="CX23">
        <v>0.14625234901904999</v>
      </c>
      <c r="CY23" s="8">
        <v>7.6522783274413002E-6</v>
      </c>
      <c r="CZ23" s="8">
        <v>7.3744382689255798E-7</v>
      </c>
      <c r="DA23">
        <v>1.53976585716009E-2</v>
      </c>
      <c r="DB23" s="8">
        <v>4.8262958443956402E-5</v>
      </c>
      <c r="DC23" s="8">
        <v>6.9118010287638699E-5</v>
      </c>
      <c r="DD23">
        <v>2.00080234208144E-4</v>
      </c>
      <c r="DE23">
        <v>1.7377893673256001E-3</v>
      </c>
    </row>
    <row r="24" spans="1:109" x14ac:dyDescent="0.3">
      <c r="A24" t="s">
        <v>475</v>
      </c>
      <c r="B24" t="s">
        <v>472</v>
      </c>
      <c r="C24" t="s">
        <v>471</v>
      </c>
      <c r="D24" t="s">
        <v>472</v>
      </c>
      <c r="E24">
        <v>366.2</v>
      </c>
      <c r="F24">
        <v>344.722444616806</v>
      </c>
      <c r="G24">
        <v>1.0623039077338501</v>
      </c>
      <c r="H24">
        <v>7</v>
      </c>
      <c r="I24">
        <v>1</v>
      </c>
      <c r="J24">
        <v>64.599999999999994</v>
      </c>
      <c r="K24">
        <v>4</v>
      </c>
      <c r="L24">
        <v>4</v>
      </c>
      <c r="M24">
        <v>6</v>
      </c>
      <c r="N24">
        <v>9</v>
      </c>
      <c r="O24">
        <v>0</v>
      </c>
      <c r="P24">
        <v>23</v>
      </c>
      <c r="Q24">
        <v>0.17391304347826</v>
      </c>
      <c r="R24">
        <v>2</v>
      </c>
      <c r="S24">
        <v>0</v>
      </c>
      <c r="T24">
        <v>0.82399999999999995</v>
      </c>
      <c r="U24">
        <v>3.5659999999999998</v>
      </c>
      <c r="V24">
        <v>0.70599999999999996</v>
      </c>
      <c r="W24">
        <v>84.206999999999994</v>
      </c>
      <c r="X24">
        <v>-1.044</v>
      </c>
      <c r="Y24" t="s">
        <v>1321</v>
      </c>
      <c r="Z24" t="s">
        <v>1298</v>
      </c>
      <c r="AA24" t="s">
        <v>1298</v>
      </c>
      <c r="AB24" t="s">
        <v>1298</v>
      </c>
      <c r="AC24">
        <v>0</v>
      </c>
      <c r="AD24">
        <v>0</v>
      </c>
      <c r="AE24">
        <v>0</v>
      </c>
      <c r="AF24">
        <v>0</v>
      </c>
      <c r="AG24">
        <v>-1.4242620633656899</v>
      </c>
      <c r="AH24">
        <v>0.81716955706236305</v>
      </c>
      <c r="AI24">
        <v>0.65478097561878101</v>
      </c>
      <c r="AJ24">
        <v>143.04441471906901</v>
      </c>
      <c r="AK24">
        <v>260.72512802444299</v>
      </c>
      <c r="AL24">
        <v>8.8226168693140394</v>
      </c>
      <c r="AM24">
        <v>6.7497484449434504</v>
      </c>
      <c r="AN24">
        <v>-4.8457732546036496</v>
      </c>
      <c r="AO24">
        <v>-5.0296442251438398</v>
      </c>
      <c r="AP24">
        <v>2.9066404327750199E-2</v>
      </c>
      <c r="AQ24">
        <v>0.126062482595443</v>
      </c>
      <c r="AR24">
        <v>0.366522997617721</v>
      </c>
      <c r="AS24">
        <v>6.6238641738891602E-4</v>
      </c>
      <c r="AT24">
        <v>0.27302485704421903</v>
      </c>
      <c r="AU24">
        <v>0.16769921779632499</v>
      </c>
      <c r="AV24">
        <v>0.50972357392311096</v>
      </c>
      <c r="AW24">
        <v>0.46223574876785201</v>
      </c>
      <c r="AX24">
        <v>8.5781313478946603E-2</v>
      </c>
      <c r="AY24">
        <v>3.3727709203958497E-2</v>
      </c>
      <c r="AZ24">
        <v>0.98249799013137795</v>
      </c>
      <c r="BA24">
        <v>0.34834262728691101</v>
      </c>
      <c r="BB24">
        <v>0.94978064298629705</v>
      </c>
      <c r="BC24">
        <v>35.340737808973103</v>
      </c>
      <c r="BD24">
        <v>0.27406826162542602</v>
      </c>
      <c r="BE24">
        <v>58.307486682783797</v>
      </c>
      <c r="BF24" s="8">
        <v>1.21815301099559E-5</v>
      </c>
      <c r="BG24">
        <v>0.17146249115466999</v>
      </c>
      <c r="BH24">
        <v>9.4831269234418804E-4</v>
      </c>
      <c r="BI24">
        <v>0.99668818712234497</v>
      </c>
      <c r="BJ24">
        <v>1.4838778879493399E-3</v>
      </c>
      <c r="BK24" s="8">
        <v>2.59014232142362E-5</v>
      </c>
      <c r="BL24">
        <v>2.1575370337814002E-3</v>
      </c>
      <c r="BM24">
        <v>0.91995584964752197</v>
      </c>
      <c r="BN24">
        <v>5.4881162941455798E-3</v>
      </c>
      <c r="BO24">
        <v>0.99991309642791704</v>
      </c>
      <c r="BP24">
        <v>4.1046864353120301E-3</v>
      </c>
      <c r="BQ24" s="8">
        <v>2.3795787562619299E-9</v>
      </c>
      <c r="BR24" s="8">
        <v>1.5241464268456099E-7</v>
      </c>
      <c r="BS24">
        <v>0.56032139062881403</v>
      </c>
      <c r="BT24">
        <v>5.1250583715516704</v>
      </c>
      <c r="BU24">
        <v>0.80844913130128304</v>
      </c>
      <c r="BV24">
        <v>0.29929176189303902</v>
      </c>
      <c r="BW24">
        <v>2.6829013650462898</v>
      </c>
      <c r="BX24">
        <v>4.0049471521214697</v>
      </c>
      <c r="BY24">
        <v>3.1905085902042201</v>
      </c>
      <c r="BZ24">
        <v>0.79710203409194902</v>
      </c>
      <c r="CA24">
        <v>0.53065186738967896</v>
      </c>
      <c r="CB24">
        <v>0.77204173803329401</v>
      </c>
      <c r="CC24">
        <v>0.19266055524349199</v>
      </c>
      <c r="CD24">
        <v>0.92229419946670499</v>
      </c>
      <c r="CE24">
        <v>0.86671459674835205</v>
      </c>
      <c r="CF24">
        <v>0.55905902385711603</v>
      </c>
      <c r="CG24">
        <v>0.16538462042808499</v>
      </c>
      <c r="CH24" s="8">
        <v>6.2985218391986496E-6</v>
      </c>
      <c r="CI24">
        <v>1.1191954836249299E-2</v>
      </c>
      <c r="CJ24">
        <v>0.97791934013366699</v>
      </c>
      <c r="CK24">
        <v>0.86911612749099698</v>
      </c>
      <c r="CL24">
        <v>0.92126154899597101</v>
      </c>
      <c r="CM24">
        <v>0.70336890220642001</v>
      </c>
      <c r="CN24">
        <v>0.468973398208618</v>
      </c>
      <c r="CO24">
        <v>0.93396091461181596</v>
      </c>
      <c r="CP24">
        <v>0.99822884798049905</v>
      </c>
      <c r="CQ24">
        <v>0.12371844053268399</v>
      </c>
      <c r="CR24">
        <v>0.14842899143695801</v>
      </c>
      <c r="CS24">
        <v>0.38669875264167702</v>
      </c>
      <c r="CT24">
        <v>4.5281348866410499E-4</v>
      </c>
      <c r="CU24" s="8">
        <v>1.75910463440231E-5</v>
      </c>
      <c r="CV24" s="8">
        <v>4.5182441681390603E-6</v>
      </c>
      <c r="CW24" s="8">
        <v>5.4870797612238601E-5</v>
      </c>
      <c r="CX24">
        <v>3.5639309789985401E-3</v>
      </c>
      <c r="CY24" s="8">
        <v>1.31792637603211E-6</v>
      </c>
      <c r="CZ24">
        <v>4.4013690785504802E-4</v>
      </c>
      <c r="DA24">
        <v>4.8356339335441499E-2</v>
      </c>
      <c r="DB24" s="8">
        <v>3.7749749026261202E-5</v>
      </c>
      <c r="DC24" s="8">
        <v>2.1582347471849001E-5</v>
      </c>
      <c r="DD24" s="8">
        <v>4.06370190830784E-6</v>
      </c>
      <c r="DE24">
        <v>1.36923103127628E-4</v>
      </c>
    </row>
    <row r="25" spans="1:109" x14ac:dyDescent="0.3">
      <c r="A25" t="s">
        <v>57</v>
      </c>
      <c r="B25" t="s">
        <v>52</v>
      </c>
      <c r="C25" t="s">
        <v>56</v>
      </c>
      <c r="D25" t="s">
        <v>52</v>
      </c>
      <c r="E25">
        <v>371.13</v>
      </c>
      <c r="F25">
        <v>362.00141938105799</v>
      </c>
      <c r="G25">
        <v>1.0252169746586799</v>
      </c>
      <c r="H25">
        <v>7</v>
      </c>
      <c r="I25">
        <v>3</v>
      </c>
      <c r="J25">
        <v>104.45</v>
      </c>
      <c r="K25">
        <v>6</v>
      </c>
      <c r="L25">
        <v>3</v>
      </c>
      <c r="M25">
        <v>10</v>
      </c>
      <c r="N25">
        <v>8</v>
      </c>
      <c r="O25">
        <v>0</v>
      </c>
      <c r="P25">
        <v>19</v>
      </c>
      <c r="Q25">
        <v>0.31578947368421001</v>
      </c>
      <c r="R25">
        <v>0</v>
      </c>
      <c r="S25">
        <v>0</v>
      </c>
      <c r="T25">
        <v>0.623</v>
      </c>
      <c r="U25">
        <v>2.4329999999999998</v>
      </c>
      <c r="V25">
        <v>0.21099999999999999</v>
      </c>
      <c r="W25">
        <v>19</v>
      </c>
      <c r="X25">
        <v>-0.66600000000000004</v>
      </c>
      <c r="Y25" t="s">
        <v>1298</v>
      </c>
      <c r="Z25" t="s">
        <v>1298</v>
      </c>
      <c r="AA25" t="s">
        <v>1298</v>
      </c>
      <c r="AB25" t="s">
        <v>1298</v>
      </c>
      <c r="AC25">
        <v>0</v>
      </c>
      <c r="AD25">
        <v>0</v>
      </c>
      <c r="AE25">
        <v>0</v>
      </c>
      <c r="AF25">
        <v>0</v>
      </c>
      <c r="AG25">
        <v>-3.99526513203047</v>
      </c>
      <c r="AH25">
        <v>2.2656282524716098</v>
      </c>
      <c r="AI25">
        <v>2.1166378130691701</v>
      </c>
      <c r="AJ25">
        <v>160.85333147727101</v>
      </c>
      <c r="AK25">
        <v>304.876228137753</v>
      </c>
      <c r="AL25">
        <v>8.1634326828218295</v>
      </c>
      <c r="AM25">
        <v>5.13428695898053</v>
      </c>
      <c r="AN25">
        <v>-5.2932126160400399</v>
      </c>
      <c r="AO25">
        <v>-4.8414111016029002</v>
      </c>
      <c r="AP25">
        <v>0.25946375727653498</v>
      </c>
      <c r="AQ25">
        <v>0.28139522671699502</v>
      </c>
      <c r="AR25">
        <v>0.77462035417556696</v>
      </c>
      <c r="AS25" s="8">
        <v>6.0439109802245999E-5</v>
      </c>
      <c r="AT25">
        <v>6.6912174224853505E-4</v>
      </c>
      <c r="AU25">
        <v>1.3661384582519499E-4</v>
      </c>
      <c r="AV25">
        <v>4.7035813331604004E-3</v>
      </c>
      <c r="AW25">
        <v>0.70137548446655196</v>
      </c>
      <c r="AX25">
        <v>0.43229851126670799</v>
      </c>
      <c r="AY25">
        <v>1.44034752156585E-3</v>
      </c>
      <c r="AZ25">
        <v>0.99997317790985096</v>
      </c>
      <c r="BA25">
        <v>0.73942476511001498</v>
      </c>
      <c r="BB25">
        <v>0.95169389247894198</v>
      </c>
      <c r="BC25">
        <v>94.506083957061307</v>
      </c>
      <c r="BD25">
        <v>-0.26102777866864302</v>
      </c>
      <c r="BE25">
        <v>3.6332885840466398</v>
      </c>
      <c r="BF25">
        <v>0.63398587703704801</v>
      </c>
      <c r="BG25">
        <v>0.11694948375225001</v>
      </c>
      <c r="BH25">
        <v>7.0678927004337297E-2</v>
      </c>
      <c r="BI25">
        <v>2.0059023518115201E-4</v>
      </c>
      <c r="BJ25">
        <v>0.266325503587722</v>
      </c>
      <c r="BK25">
        <v>0.98178195953369096</v>
      </c>
      <c r="BL25">
        <v>3.8510730955749698E-3</v>
      </c>
      <c r="BM25">
        <v>0.23423470556735901</v>
      </c>
      <c r="BN25">
        <v>5.8498606085777196E-4</v>
      </c>
      <c r="BO25">
        <v>0.61659079790115301</v>
      </c>
      <c r="BP25">
        <v>0.11783517897129001</v>
      </c>
      <c r="BQ25" s="8">
        <v>4.6838863454468003E-8</v>
      </c>
      <c r="BR25">
        <v>0.70428347587585405</v>
      </c>
      <c r="BS25">
        <v>7.1857787668704903E-2</v>
      </c>
      <c r="BT25">
        <v>1.42108066544732</v>
      </c>
      <c r="BU25">
        <v>1.17577408550679</v>
      </c>
      <c r="BV25">
        <v>0.66828425317974505</v>
      </c>
      <c r="BW25">
        <v>3.4250096852922201</v>
      </c>
      <c r="BX25">
        <v>5.0578890669679</v>
      </c>
      <c r="BY25">
        <v>4.3972238700435504</v>
      </c>
      <c r="BZ25">
        <v>0.24096161127090401</v>
      </c>
      <c r="CA25">
        <v>0.34021627902984602</v>
      </c>
      <c r="CB25">
        <v>0.60139673948287897</v>
      </c>
      <c r="CC25">
        <v>0.81550115346908503</v>
      </c>
      <c r="CD25">
        <v>0.198803931474685</v>
      </c>
      <c r="CE25">
        <v>0.34729063510894698</v>
      </c>
      <c r="CF25">
        <v>0.79800659418106001</v>
      </c>
      <c r="CG25">
        <v>0.64466875791549605</v>
      </c>
      <c r="CH25" s="8">
        <v>6.9078455453563896E-6</v>
      </c>
      <c r="CI25">
        <v>0.57042568922042802</v>
      </c>
      <c r="CJ25">
        <v>0.40656778216362</v>
      </c>
      <c r="CK25">
        <v>0.732813000679016</v>
      </c>
      <c r="CL25">
        <v>0.70011085271835305</v>
      </c>
      <c r="CM25">
        <v>0.67338734865188599</v>
      </c>
      <c r="CN25">
        <v>0.47585943341255099</v>
      </c>
      <c r="CO25">
        <v>0.89491665363311701</v>
      </c>
      <c r="CP25">
        <v>0.98229444026946999</v>
      </c>
      <c r="CQ25">
        <v>8.8151052594184806E-2</v>
      </c>
      <c r="CR25">
        <v>0.19677202403545299</v>
      </c>
      <c r="CS25">
        <v>0.33082079887390098</v>
      </c>
      <c r="CT25">
        <v>0.171866089105606</v>
      </c>
      <c r="CU25">
        <v>2.5422688573598799E-2</v>
      </c>
      <c r="CV25">
        <v>1.1311544949421599E-4</v>
      </c>
      <c r="CW25">
        <v>2.3953791242092799E-4</v>
      </c>
      <c r="CX25">
        <v>0.28254243731498702</v>
      </c>
      <c r="CY25">
        <v>2.2559265198651701E-4</v>
      </c>
      <c r="CZ25" s="8">
        <v>5.7259653658547896E-6</v>
      </c>
      <c r="DA25">
        <v>7.0639051496982505E-2</v>
      </c>
      <c r="DB25">
        <v>1.1535162106156301E-2</v>
      </c>
      <c r="DC25">
        <v>1.78262460394762E-4</v>
      </c>
      <c r="DD25">
        <v>5.6539266370236798E-4</v>
      </c>
      <c r="DE25">
        <v>3.2539742533117498E-3</v>
      </c>
    </row>
    <row r="26" spans="1:109" x14ac:dyDescent="0.3">
      <c r="A26" t="s">
        <v>282</v>
      </c>
      <c r="B26" t="s">
        <v>277</v>
      </c>
      <c r="C26" t="s">
        <v>281</v>
      </c>
      <c r="D26" t="s">
        <v>277</v>
      </c>
      <c r="E26">
        <v>335.18</v>
      </c>
      <c r="F26">
        <v>346.58055711753599</v>
      </c>
      <c r="G26">
        <v>0.967105606810855</v>
      </c>
      <c r="H26">
        <v>4</v>
      </c>
      <c r="I26">
        <v>2</v>
      </c>
      <c r="J26">
        <v>48.39</v>
      </c>
      <c r="K26">
        <v>9</v>
      </c>
      <c r="L26">
        <v>2</v>
      </c>
      <c r="M26">
        <v>10</v>
      </c>
      <c r="N26">
        <v>5</v>
      </c>
      <c r="O26">
        <v>0</v>
      </c>
      <c r="P26">
        <v>11</v>
      </c>
      <c r="Q26">
        <v>0.81818181818181801</v>
      </c>
      <c r="R26">
        <v>1</v>
      </c>
      <c r="S26">
        <v>0</v>
      </c>
      <c r="T26">
        <v>0.73199999999999998</v>
      </c>
      <c r="U26">
        <v>2.7930000000000001</v>
      </c>
      <c r="V26">
        <v>0.5</v>
      </c>
      <c r="W26">
        <v>24</v>
      </c>
      <c r="X26">
        <v>-1.2310000000000001</v>
      </c>
      <c r="Y26" t="s">
        <v>1298</v>
      </c>
      <c r="Z26" t="s">
        <v>1298</v>
      </c>
      <c r="AA26" t="s">
        <v>1298</v>
      </c>
      <c r="AB26" t="s">
        <v>1298</v>
      </c>
      <c r="AC26">
        <v>0</v>
      </c>
      <c r="AD26">
        <v>1</v>
      </c>
      <c r="AE26">
        <v>0</v>
      </c>
      <c r="AF26">
        <v>0</v>
      </c>
      <c r="AG26">
        <v>-3.6372454438311999</v>
      </c>
      <c r="AH26">
        <v>3.37597345475525</v>
      </c>
      <c r="AI26">
        <v>3.8806474818107901</v>
      </c>
      <c r="AJ26">
        <v>101.385522844126</v>
      </c>
      <c r="AK26">
        <v>289.37022607619099</v>
      </c>
      <c r="AL26">
        <v>9.6258923843763498</v>
      </c>
      <c r="AM26">
        <v>8.0026372787971791</v>
      </c>
      <c r="AN26">
        <v>-5.1122134719650498</v>
      </c>
      <c r="AO26">
        <v>-5.4023303986826399</v>
      </c>
      <c r="AP26">
        <v>1.06862438842654E-2</v>
      </c>
      <c r="AQ26">
        <v>0.30970278382301297</v>
      </c>
      <c r="AR26">
        <v>0.17702430486678999</v>
      </c>
      <c r="AS26" s="8">
        <v>5.7220458984375E-6</v>
      </c>
      <c r="AT26">
        <v>1.9317865371704099E-4</v>
      </c>
      <c r="AU26">
        <v>3.2269954681396398E-4</v>
      </c>
      <c r="AV26">
        <v>1.0682523250579799E-2</v>
      </c>
      <c r="AW26">
        <v>0.96793860197067205</v>
      </c>
      <c r="AX26">
        <v>0.83153861761093095</v>
      </c>
      <c r="AY26">
        <v>8.42923894524574E-2</v>
      </c>
      <c r="AZ26">
        <v>0.99999594688415505</v>
      </c>
      <c r="BA26">
        <v>0.87048310041427601</v>
      </c>
      <c r="BB26">
        <v>0.99395591020584095</v>
      </c>
      <c r="BC26">
        <v>49.574546391776103</v>
      </c>
      <c r="BD26">
        <v>1.0383878959198301</v>
      </c>
      <c r="BE26">
        <v>52.314367674906499</v>
      </c>
      <c r="BF26">
        <v>1.37842884287238E-2</v>
      </c>
      <c r="BG26">
        <v>1.2773768045008099E-2</v>
      </c>
      <c r="BH26" s="8">
        <v>8.4449102359940298E-6</v>
      </c>
      <c r="BI26">
        <v>4.6337459236383403E-2</v>
      </c>
      <c r="BJ26" s="8">
        <v>2.1509308112399499E-7</v>
      </c>
      <c r="BK26" s="8">
        <v>1.02097037597559E-5</v>
      </c>
      <c r="BL26">
        <v>2.30008154176175E-4</v>
      </c>
      <c r="BM26">
        <v>1.53149093966931E-3</v>
      </c>
      <c r="BN26" s="8">
        <v>1.45909070852212E-5</v>
      </c>
      <c r="BO26">
        <v>0.99689376354217496</v>
      </c>
      <c r="BP26">
        <v>0.949241042137146</v>
      </c>
      <c r="BQ26" s="8">
        <v>1.7125151297037099E-9</v>
      </c>
      <c r="BR26">
        <v>0.63775873184204102</v>
      </c>
      <c r="BS26">
        <v>0.11009395122528</v>
      </c>
      <c r="BT26">
        <v>5.3372778513697599</v>
      </c>
      <c r="BU26">
        <v>0.58549856662544997</v>
      </c>
      <c r="BV26">
        <v>1.0790355941151499</v>
      </c>
      <c r="BW26">
        <v>3.5247178335051301</v>
      </c>
      <c r="BX26">
        <v>4.8451139381196899</v>
      </c>
      <c r="BY26">
        <v>4.2934715963534398</v>
      </c>
      <c r="BZ26">
        <v>0.92730951309204102</v>
      </c>
      <c r="CA26">
        <v>0.86459475755691495</v>
      </c>
      <c r="CB26">
        <v>0.50321900844573897</v>
      </c>
      <c r="CC26">
        <v>0.538224577903747</v>
      </c>
      <c r="CD26">
        <v>0.53427344560623102</v>
      </c>
      <c r="CE26">
        <v>9.65927019715309E-2</v>
      </c>
      <c r="CF26">
        <v>0.99433255195617598</v>
      </c>
      <c r="CG26">
        <v>0.25628146529197599</v>
      </c>
      <c r="CH26">
        <v>8.2272840663790703E-3</v>
      </c>
      <c r="CI26">
        <v>0.63451629877090399</v>
      </c>
      <c r="CJ26">
        <v>0.98553156852722101</v>
      </c>
      <c r="CK26">
        <v>0.74695605039596502</v>
      </c>
      <c r="CL26">
        <v>0.94965893030166604</v>
      </c>
      <c r="CM26">
        <v>0.74226719141006403</v>
      </c>
      <c r="CN26">
        <v>0.59360718727111805</v>
      </c>
      <c r="CO26">
        <v>0.98641240596771196</v>
      </c>
      <c r="CP26">
        <v>0.42246496677398598</v>
      </c>
      <c r="CQ26">
        <v>8.8256940245628301E-2</v>
      </c>
      <c r="CR26">
        <v>0.328624308109283</v>
      </c>
      <c r="CS26">
        <v>0.81299442052841098</v>
      </c>
      <c r="CT26">
        <v>3.7218652665614999E-2</v>
      </c>
      <c r="CU26">
        <v>9.2139234766364098E-4</v>
      </c>
      <c r="CV26">
        <v>2.0268505613785199E-4</v>
      </c>
      <c r="CW26">
        <v>2.0898488583043199E-4</v>
      </c>
      <c r="CX26">
        <v>0.42029419541358898</v>
      </c>
      <c r="CY26">
        <v>6.1880511930212303E-4</v>
      </c>
      <c r="CZ26" s="8">
        <v>1.12795105451368E-5</v>
      </c>
      <c r="DA26">
        <v>1.17593258619308E-2</v>
      </c>
      <c r="DB26" s="8">
        <v>5.4902826377656297E-5</v>
      </c>
      <c r="DC26">
        <v>2.5900313630700101E-4</v>
      </c>
      <c r="DD26">
        <v>2.5023464113473801E-3</v>
      </c>
      <c r="DE26">
        <v>3.4261897671967701E-3</v>
      </c>
    </row>
    <row r="27" spans="1:109" x14ac:dyDescent="0.3">
      <c r="A27" t="s">
        <v>1174</v>
      </c>
      <c r="B27" t="s">
        <v>248</v>
      </c>
      <c r="C27" t="s">
        <v>252</v>
      </c>
      <c r="D27" t="s">
        <v>248</v>
      </c>
      <c r="E27">
        <v>413.07</v>
      </c>
      <c r="F27">
        <v>394.205022782225</v>
      </c>
      <c r="G27">
        <v>1.0478557505042101</v>
      </c>
      <c r="H27">
        <v>6</v>
      </c>
      <c r="I27">
        <v>3</v>
      </c>
      <c r="J27">
        <v>108.97</v>
      </c>
      <c r="K27">
        <v>5</v>
      </c>
      <c r="L27">
        <v>3</v>
      </c>
      <c r="M27">
        <v>9</v>
      </c>
      <c r="N27">
        <v>8</v>
      </c>
      <c r="O27">
        <v>0</v>
      </c>
      <c r="P27">
        <v>20</v>
      </c>
      <c r="Q27">
        <v>0.25</v>
      </c>
      <c r="R27">
        <v>1</v>
      </c>
      <c r="S27">
        <v>1</v>
      </c>
      <c r="T27">
        <v>0.49099999999999999</v>
      </c>
      <c r="U27">
        <v>3.577</v>
      </c>
      <c r="V27">
        <v>0.1</v>
      </c>
      <c r="W27">
        <v>42</v>
      </c>
      <c r="X27">
        <v>-0.39700000000000002</v>
      </c>
      <c r="Y27" t="s">
        <v>1298</v>
      </c>
      <c r="Z27" t="s">
        <v>1298</v>
      </c>
      <c r="AA27" t="s">
        <v>1298</v>
      </c>
      <c r="AB27" t="s">
        <v>1298</v>
      </c>
      <c r="AC27">
        <v>0</v>
      </c>
      <c r="AD27">
        <v>0</v>
      </c>
      <c r="AE27">
        <v>1</v>
      </c>
      <c r="AF27">
        <v>0</v>
      </c>
      <c r="AG27">
        <v>-4.2746155316033096</v>
      </c>
      <c r="AH27">
        <v>2.7427470467182502</v>
      </c>
      <c r="AI27">
        <v>2.8792793445222302</v>
      </c>
      <c r="AJ27">
        <v>190.73380071017101</v>
      </c>
      <c r="AK27">
        <v>329.90596667778101</v>
      </c>
      <c r="AL27">
        <v>8.7919326822944406</v>
      </c>
      <c r="AM27">
        <v>3.95813943035072</v>
      </c>
      <c r="AN27">
        <v>-5.0933420293576201</v>
      </c>
      <c r="AO27">
        <v>-5.1196260672316898</v>
      </c>
      <c r="AP27">
        <v>0.65455394983291604</v>
      </c>
      <c r="AQ27">
        <v>0.24524669349193501</v>
      </c>
      <c r="AR27">
        <v>2.4749065050855198E-4</v>
      </c>
      <c r="AS27" s="8">
        <v>1.19209289550781E-7</v>
      </c>
      <c r="AT27" s="8">
        <v>2.4676322937011698E-5</v>
      </c>
      <c r="AU27" s="8">
        <v>4.0650367736816399E-5</v>
      </c>
      <c r="AV27">
        <v>3.8205981254577602E-2</v>
      </c>
      <c r="AW27">
        <v>0.93709045648574796</v>
      </c>
      <c r="AX27">
        <v>0.997483670711517</v>
      </c>
      <c r="AY27" s="8">
        <v>6.8313329393276902E-6</v>
      </c>
      <c r="AZ27">
        <v>0.99996769428253096</v>
      </c>
      <c r="BA27">
        <v>0.33249005675315801</v>
      </c>
      <c r="BB27">
        <v>0.83273983001708896</v>
      </c>
      <c r="BC27">
        <v>99.004043132686803</v>
      </c>
      <c r="BD27">
        <v>-0.19118999281597099</v>
      </c>
      <c r="BE27">
        <v>0.71986841551935699</v>
      </c>
      <c r="BF27">
        <v>0.99962496757507302</v>
      </c>
      <c r="BG27">
        <v>9.7484499216079698E-2</v>
      </c>
      <c r="BH27">
        <v>0.67249149084091098</v>
      </c>
      <c r="BI27">
        <v>2.9474305920302799E-3</v>
      </c>
      <c r="BJ27">
        <v>0.17307661473750999</v>
      </c>
      <c r="BK27">
        <v>3.2343309372663498E-2</v>
      </c>
      <c r="BL27">
        <v>4.4029165059328003E-2</v>
      </c>
      <c r="BM27">
        <v>5.6198737584054401E-3</v>
      </c>
      <c r="BN27">
        <v>6.1864810995757502E-3</v>
      </c>
      <c r="BO27">
        <v>0.571796715259552</v>
      </c>
      <c r="BP27">
        <v>0.96128869056701605</v>
      </c>
      <c r="BQ27" s="8">
        <v>4.7303454486780001E-9</v>
      </c>
      <c r="BR27">
        <v>0.98553013801574696</v>
      </c>
      <c r="BS27">
        <v>2.5454718619584999E-2</v>
      </c>
      <c r="BT27">
        <v>0.97789674866377796</v>
      </c>
      <c r="BU27">
        <v>1.33413707795098</v>
      </c>
      <c r="BV27">
        <v>0.49364322788833498</v>
      </c>
      <c r="BW27">
        <v>3.23276352447497</v>
      </c>
      <c r="BX27">
        <v>4.6597873550816802</v>
      </c>
      <c r="BY27">
        <v>3.9094319484495301</v>
      </c>
      <c r="BZ27">
        <v>0.12753833830356501</v>
      </c>
      <c r="CA27">
        <v>0.431078881025314</v>
      </c>
      <c r="CB27">
        <v>0.98638433218002297</v>
      </c>
      <c r="CC27">
        <v>0.57334899902343694</v>
      </c>
      <c r="CD27">
        <v>0.68545883893966597</v>
      </c>
      <c r="CE27">
        <v>0.87934553623199396</v>
      </c>
      <c r="CF27">
        <v>0.62736386060714699</v>
      </c>
      <c r="CG27">
        <v>0.876209557056427</v>
      </c>
      <c r="CH27">
        <v>1.2335010978858899E-4</v>
      </c>
      <c r="CI27">
        <v>0.80463308095931996</v>
      </c>
      <c r="CJ27">
        <v>0.94149845838546697</v>
      </c>
      <c r="CK27">
        <v>0.74336725473403897</v>
      </c>
      <c r="CL27">
        <v>0.91069358587265004</v>
      </c>
      <c r="CM27">
        <v>0.54812121391296298</v>
      </c>
      <c r="CN27">
        <v>0.23929651081562001</v>
      </c>
      <c r="CO27">
        <v>0.98550862073898304</v>
      </c>
      <c r="CP27">
        <v>0.99982160329818703</v>
      </c>
      <c r="CQ27">
        <v>7.5812548398971502E-2</v>
      </c>
      <c r="CR27">
        <v>0.21264907717704701</v>
      </c>
      <c r="CS27">
        <v>0.72679948806762695</v>
      </c>
      <c r="CT27">
        <v>0.42486372590065002</v>
      </c>
      <c r="CU27">
        <v>3.3993623219430399E-3</v>
      </c>
      <c r="CV27">
        <v>2.6777463033795301E-2</v>
      </c>
      <c r="CW27">
        <v>4.2222728952765404E-3</v>
      </c>
      <c r="CX27">
        <v>9.7416929900646196E-2</v>
      </c>
      <c r="CY27">
        <v>2.7134933043271299E-3</v>
      </c>
      <c r="CZ27">
        <v>7.9204380745068095E-4</v>
      </c>
      <c r="DA27">
        <v>0.83259505033492998</v>
      </c>
      <c r="DB27">
        <v>4.2336015030741596E-3</v>
      </c>
      <c r="DC27">
        <v>5.2350084297358903E-3</v>
      </c>
      <c r="DD27">
        <v>0.78743892908096302</v>
      </c>
      <c r="DE27">
        <v>6.2048647552728597E-2</v>
      </c>
    </row>
    <row r="28" spans="1:109" x14ac:dyDescent="0.3">
      <c r="A28" t="s">
        <v>463</v>
      </c>
      <c r="B28" t="s">
        <v>458</v>
      </c>
      <c r="C28" t="s">
        <v>462</v>
      </c>
      <c r="D28" t="s">
        <v>1322</v>
      </c>
      <c r="E28">
        <v>580.13</v>
      </c>
      <c r="F28">
        <v>552.01937103512103</v>
      </c>
      <c r="G28">
        <v>1.0509232654502001</v>
      </c>
      <c r="H28">
        <v>8</v>
      </c>
      <c r="I28">
        <v>2</v>
      </c>
      <c r="J28">
        <v>106.35</v>
      </c>
      <c r="K28">
        <v>11</v>
      </c>
      <c r="L28">
        <v>5</v>
      </c>
      <c r="M28">
        <v>10</v>
      </c>
      <c r="N28">
        <v>11</v>
      </c>
      <c r="O28">
        <v>0</v>
      </c>
      <c r="P28">
        <v>30</v>
      </c>
      <c r="Q28">
        <v>0.36666666666666597</v>
      </c>
      <c r="R28">
        <v>0</v>
      </c>
      <c r="S28">
        <v>0</v>
      </c>
      <c r="T28">
        <v>0.17899999999999999</v>
      </c>
      <c r="U28">
        <v>2.673</v>
      </c>
      <c r="V28">
        <v>0.17199999999999999</v>
      </c>
      <c r="W28">
        <v>29</v>
      </c>
      <c r="X28">
        <v>-1.593</v>
      </c>
      <c r="Y28" t="s">
        <v>1323</v>
      </c>
      <c r="Z28" t="s">
        <v>1298</v>
      </c>
      <c r="AA28" t="s">
        <v>1298</v>
      </c>
      <c r="AB28" t="s">
        <v>1298</v>
      </c>
      <c r="AC28">
        <v>0</v>
      </c>
      <c r="AD28">
        <v>0</v>
      </c>
      <c r="AE28">
        <v>1</v>
      </c>
      <c r="AF28">
        <v>1</v>
      </c>
      <c r="AG28">
        <v>-5.1553651366024003</v>
      </c>
      <c r="AH28">
        <v>3.4713841720544898</v>
      </c>
      <c r="AI28">
        <v>4.5453695772704199</v>
      </c>
      <c r="AJ28">
        <v>139.527050512622</v>
      </c>
      <c r="AK28">
        <v>361.16880692385598</v>
      </c>
      <c r="AL28">
        <v>8.7394711515593997</v>
      </c>
      <c r="AM28">
        <v>7.0600425714765596</v>
      </c>
      <c r="AN28">
        <v>-5.3040864823001899</v>
      </c>
      <c r="AO28">
        <v>-4.8815319454247703</v>
      </c>
      <c r="AP28">
        <v>0.99921655654907204</v>
      </c>
      <c r="AQ28">
        <v>0.16479469835758201</v>
      </c>
      <c r="AR28" s="8">
        <v>1.12980831090681E-6</v>
      </c>
      <c r="AS28">
        <v>5.2289843559265102E-2</v>
      </c>
      <c r="AT28">
        <v>0.99640016676858001</v>
      </c>
      <c r="AU28">
        <v>0.99452372035011605</v>
      </c>
      <c r="AV28">
        <v>8.21888446807861E-4</v>
      </c>
      <c r="AW28">
        <v>0.99914944171905495</v>
      </c>
      <c r="AX28">
        <v>0.99817538261413497</v>
      </c>
      <c r="AY28">
        <v>4.9620145000517299E-3</v>
      </c>
      <c r="AZ28">
        <v>0.99999940395355202</v>
      </c>
      <c r="BA28" s="8">
        <v>2.2737300753305999E-7</v>
      </c>
      <c r="BB28">
        <v>0.95212143659591597</v>
      </c>
      <c r="BC28">
        <v>98.978528440249306</v>
      </c>
      <c r="BD28">
        <v>0.13334050144030099</v>
      </c>
      <c r="BE28">
        <v>0.69357393018205604</v>
      </c>
      <c r="BF28">
        <v>0.99049472808837802</v>
      </c>
      <c r="BG28">
        <v>1.11778201535344E-2</v>
      </c>
      <c r="BH28">
        <v>0.93008852005004805</v>
      </c>
      <c r="BI28">
        <v>3.0167406657710601E-4</v>
      </c>
      <c r="BJ28">
        <v>0.16736166179180101</v>
      </c>
      <c r="BK28">
        <v>0.65065801143646196</v>
      </c>
      <c r="BL28">
        <v>1.8034406006336198E-2</v>
      </c>
      <c r="BM28">
        <v>0.94249439239501898</v>
      </c>
      <c r="BN28">
        <v>0.98100543022155695</v>
      </c>
      <c r="BO28">
        <v>0.99932372570037797</v>
      </c>
      <c r="BP28">
        <v>0.99032825231552102</v>
      </c>
      <c r="BQ28" s="8">
        <v>3.1585646098619598E-8</v>
      </c>
      <c r="BR28">
        <v>0.99999988079071001</v>
      </c>
      <c r="BS28">
        <v>0.99195379018783503</v>
      </c>
      <c r="BT28">
        <v>3.8106751772770799</v>
      </c>
      <c r="BU28">
        <v>0.684956810790738</v>
      </c>
      <c r="BV28">
        <v>1.57115145300329</v>
      </c>
      <c r="BW28">
        <v>4.1718880902870898</v>
      </c>
      <c r="BX28">
        <v>5.5797782310711099</v>
      </c>
      <c r="BY28">
        <v>5.1006759015694101</v>
      </c>
      <c r="BZ28">
        <v>0.860384881496429</v>
      </c>
      <c r="CA28">
        <v>0.64795607328414895</v>
      </c>
      <c r="CB28">
        <v>0.99964964389801003</v>
      </c>
      <c r="CC28">
        <v>0.76254725456237704</v>
      </c>
      <c r="CD28">
        <v>0.43318203091621399</v>
      </c>
      <c r="CE28">
        <v>0.85688877105712802</v>
      </c>
      <c r="CF28">
        <v>2.4742051959037701E-2</v>
      </c>
      <c r="CG28">
        <v>0.48959803581237699</v>
      </c>
      <c r="CH28" s="8">
        <v>2.2760707452107401E-7</v>
      </c>
      <c r="CI28">
        <v>1.84637811034917E-2</v>
      </c>
      <c r="CJ28">
        <v>0.34647777676582298</v>
      </c>
      <c r="CK28">
        <v>0.93193012475967396</v>
      </c>
      <c r="CL28">
        <v>0.90320134162902799</v>
      </c>
      <c r="CM28">
        <v>0.76364791393279996</v>
      </c>
      <c r="CN28">
        <v>0.59392613172531095</v>
      </c>
      <c r="CO28">
        <v>0.98474818468093805</v>
      </c>
      <c r="CP28">
        <v>0.99974173307418801</v>
      </c>
      <c r="CQ28">
        <v>9.9898457527160603E-2</v>
      </c>
      <c r="CR28">
        <v>0.41183397173881497</v>
      </c>
      <c r="CS28">
        <v>0.82278537750244096</v>
      </c>
      <c r="CT28">
        <v>3.1489141285419402E-2</v>
      </c>
      <c r="CU28">
        <v>3.3890102058648998E-3</v>
      </c>
      <c r="CV28">
        <v>5.9710652567446197E-3</v>
      </c>
      <c r="CW28">
        <v>3.69387242244556E-4</v>
      </c>
      <c r="CX28">
        <v>0.48999640345573398</v>
      </c>
      <c r="CY28">
        <v>4.3924385681748303E-3</v>
      </c>
      <c r="CZ28">
        <v>5.8097817236557603E-4</v>
      </c>
      <c r="DA28">
        <v>0.70649260282516402</v>
      </c>
      <c r="DB28">
        <v>4.1246492764912502E-4</v>
      </c>
      <c r="DC28">
        <v>0.99629682302474898</v>
      </c>
      <c r="DD28">
        <v>0.37523248791694602</v>
      </c>
      <c r="DE28">
        <v>7.6444825390353799E-4</v>
      </c>
    </row>
    <row r="29" spans="1:109" x14ac:dyDescent="0.3">
      <c r="A29" t="s">
        <v>421</v>
      </c>
      <c r="B29" t="s">
        <v>416</v>
      </c>
      <c r="C29" t="s">
        <v>420</v>
      </c>
      <c r="D29" t="s">
        <v>416</v>
      </c>
      <c r="E29">
        <v>888.41</v>
      </c>
      <c r="F29">
        <v>881.16236667378098</v>
      </c>
      <c r="G29">
        <v>1.0082250826865999</v>
      </c>
      <c r="H29">
        <v>14</v>
      </c>
      <c r="I29">
        <v>4</v>
      </c>
      <c r="J29">
        <v>174.64</v>
      </c>
      <c r="K29">
        <v>16</v>
      </c>
      <c r="L29">
        <v>10</v>
      </c>
      <c r="M29">
        <v>13</v>
      </c>
      <c r="N29">
        <v>16</v>
      </c>
      <c r="O29">
        <v>0</v>
      </c>
      <c r="P29">
        <v>50</v>
      </c>
      <c r="Q29">
        <v>0.32</v>
      </c>
      <c r="R29">
        <v>6</v>
      </c>
      <c r="S29">
        <v>1</v>
      </c>
      <c r="T29">
        <v>0.108</v>
      </c>
      <c r="U29">
        <v>6.4429999999999996</v>
      </c>
      <c r="V29">
        <v>0.46899999999999997</v>
      </c>
      <c r="W29">
        <v>270.38900000000001</v>
      </c>
      <c r="X29">
        <v>-0.20899999999999999</v>
      </c>
      <c r="Y29" t="s">
        <v>1298</v>
      </c>
      <c r="Z29" t="s">
        <v>1298</v>
      </c>
      <c r="AA29" t="s">
        <v>1298</v>
      </c>
      <c r="AB29" t="s">
        <v>1298</v>
      </c>
      <c r="AC29">
        <v>1</v>
      </c>
      <c r="AD29">
        <v>0</v>
      </c>
      <c r="AE29">
        <v>1</v>
      </c>
      <c r="AF29">
        <v>1</v>
      </c>
      <c r="AG29">
        <v>-9.0112043721896207</v>
      </c>
      <c r="AH29">
        <v>4.3031941643141502</v>
      </c>
      <c r="AI29">
        <v>6.51060801348192</v>
      </c>
      <c r="AJ29">
        <v>369.09950598096498</v>
      </c>
      <c r="AK29">
        <v>540.00196553190096</v>
      </c>
      <c r="AL29">
        <v>15.5338843072466</v>
      </c>
      <c r="AM29">
        <v>5.3822173563354303</v>
      </c>
      <c r="AN29">
        <v>-5.3878947004807802</v>
      </c>
      <c r="AO29">
        <v>-5.0019225153172302</v>
      </c>
      <c r="AP29" s="8">
        <v>3.2200673238946799E-9</v>
      </c>
      <c r="AQ29">
        <v>0.99999761581420898</v>
      </c>
      <c r="AR29" s="8">
        <v>1.93794257938861E-5</v>
      </c>
      <c r="AS29" s="8">
        <v>7.9870223999023404E-6</v>
      </c>
      <c r="AT29">
        <v>4.7588050365447998E-2</v>
      </c>
      <c r="AU29">
        <v>0.13267290592193601</v>
      </c>
      <c r="AV29">
        <v>0.99445921275764704</v>
      </c>
      <c r="AW29">
        <v>1</v>
      </c>
      <c r="AX29">
        <v>1</v>
      </c>
      <c r="AY29">
        <v>1.20088423136621E-3</v>
      </c>
      <c r="AZ29">
        <v>1</v>
      </c>
      <c r="BA29" s="8">
        <v>7.7168259033245199E-16</v>
      </c>
      <c r="BB29" s="8">
        <v>2.1840183762833402E-5</v>
      </c>
      <c r="BC29">
        <v>98.861857388727302</v>
      </c>
      <c r="BD29">
        <v>0.46684838073874901</v>
      </c>
      <c r="BE29">
        <v>0.82718693802939403</v>
      </c>
      <c r="BF29" s="8">
        <v>1.20654167403699E-5</v>
      </c>
      <c r="BG29" s="8">
        <v>2.1694666429539201E-5</v>
      </c>
      <c r="BH29">
        <v>0.30356985330581598</v>
      </c>
      <c r="BI29">
        <v>8.1864470848813599E-4</v>
      </c>
      <c r="BJ29">
        <v>1.7812727019190699E-3</v>
      </c>
      <c r="BK29" s="8">
        <v>3.4374860735653101E-9</v>
      </c>
      <c r="BL29" s="8">
        <v>4.3829722073951399E-9</v>
      </c>
      <c r="BM29" s="8">
        <v>8.3845530518544799E-10</v>
      </c>
      <c r="BN29">
        <v>2.3692732211202301E-3</v>
      </c>
      <c r="BO29">
        <v>1.30876610055565E-2</v>
      </c>
      <c r="BP29">
        <v>0.99999797344207697</v>
      </c>
      <c r="BQ29" s="8">
        <v>9.1670086506488005E-14</v>
      </c>
      <c r="BR29">
        <v>0.99990713596343905</v>
      </c>
      <c r="BS29">
        <v>6.80419150739908E-4</v>
      </c>
      <c r="BT29">
        <v>5.2374708655456601</v>
      </c>
      <c r="BU29">
        <v>0.882941079503754</v>
      </c>
      <c r="BV29">
        <v>1.5444649939391499</v>
      </c>
      <c r="BW29">
        <v>5.1394952891168604</v>
      </c>
      <c r="BX29">
        <v>7.5932173914291203</v>
      </c>
      <c r="BY29">
        <v>7.1009598182925098</v>
      </c>
      <c r="BZ29">
        <v>0.77994227409362704</v>
      </c>
      <c r="CA29">
        <v>0.30478984117507901</v>
      </c>
      <c r="CB29">
        <v>0.99292325973510698</v>
      </c>
      <c r="CC29">
        <v>0.68355625867843595</v>
      </c>
      <c r="CD29">
        <v>0.98509764671325595</v>
      </c>
      <c r="CE29">
        <v>0.996867835521698</v>
      </c>
      <c r="CF29">
        <v>0.36963260173797602</v>
      </c>
      <c r="CG29">
        <v>0.60864114761352495</v>
      </c>
      <c r="CH29" s="8">
        <v>9.2558646514530893E-16</v>
      </c>
      <c r="CI29" s="8">
        <v>4.5231885451357798E-5</v>
      </c>
      <c r="CJ29">
        <v>0.92013394832610995</v>
      </c>
      <c r="CK29">
        <v>0.88807415962219205</v>
      </c>
      <c r="CL29">
        <v>0.98893368244171098</v>
      </c>
      <c r="CM29">
        <v>0.99143445491790705</v>
      </c>
      <c r="CN29">
        <v>1.1761065572500199E-2</v>
      </c>
      <c r="CO29">
        <v>0.99889886379241899</v>
      </c>
      <c r="CP29">
        <v>1</v>
      </c>
      <c r="CQ29">
        <v>0.164041772484779</v>
      </c>
      <c r="CR29">
        <v>0.49829068779945301</v>
      </c>
      <c r="CS29">
        <v>0.97628402709960904</v>
      </c>
      <c r="CT29" s="8">
        <v>3.5478587960824303E-5</v>
      </c>
      <c r="CU29" s="8">
        <v>2.8650761123572002E-6</v>
      </c>
      <c r="CV29" s="8">
        <v>1.50730702443979E-5</v>
      </c>
      <c r="CW29">
        <v>0.61550319194793701</v>
      </c>
      <c r="CX29">
        <v>0.99909675121307295</v>
      </c>
      <c r="CY29">
        <v>0.17191641032695701</v>
      </c>
      <c r="CZ29" s="8">
        <v>7.9779594670981101E-5</v>
      </c>
      <c r="DA29">
        <v>0.99716633558273304</v>
      </c>
      <c r="DB29">
        <v>0.47826814651489202</v>
      </c>
      <c r="DC29">
        <v>2.6335807051509601E-3</v>
      </c>
      <c r="DD29">
        <v>0.98887443542480402</v>
      </c>
      <c r="DE29">
        <v>0.93085175752639704</v>
      </c>
    </row>
    <row r="30" spans="1:109" x14ac:dyDescent="0.3">
      <c r="A30" t="s">
        <v>173</v>
      </c>
      <c r="B30" t="s">
        <v>168</v>
      </c>
      <c r="C30" t="s">
        <v>172</v>
      </c>
      <c r="D30" t="s">
        <v>168</v>
      </c>
      <c r="E30">
        <v>310.14</v>
      </c>
      <c r="F30">
        <v>323.31465562201601</v>
      </c>
      <c r="G30">
        <v>0.95925128851127806</v>
      </c>
      <c r="H30">
        <v>6</v>
      </c>
      <c r="I30">
        <v>1</v>
      </c>
      <c r="J30">
        <v>94.86</v>
      </c>
      <c r="K30">
        <v>6</v>
      </c>
      <c r="L30">
        <v>2</v>
      </c>
      <c r="M30">
        <v>6</v>
      </c>
      <c r="N30">
        <v>6</v>
      </c>
      <c r="O30">
        <v>0</v>
      </c>
      <c r="P30">
        <v>13</v>
      </c>
      <c r="Q30">
        <v>0.46153846153846101</v>
      </c>
      <c r="R30">
        <v>0</v>
      </c>
      <c r="S30">
        <v>0</v>
      </c>
      <c r="T30">
        <v>0.88400000000000001</v>
      </c>
      <c r="U30">
        <v>2.8530000000000002</v>
      </c>
      <c r="V30">
        <v>0.35299999999999998</v>
      </c>
      <c r="W30">
        <v>13</v>
      </c>
      <c r="X30">
        <v>-1.0669999999999999</v>
      </c>
      <c r="Y30" t="s">
        <v>1324</v>
      </c>
      <c r="Z30" t="s">
        <v>1298</v>
      </c>
      <c r="AA30" t="s">
        <v>1298</v>
      </c>
      <c r="AB30" t="s">
        <v>1298</v>
      </c>
      <c r="AC30">
        <v>0</v>
      </c>
      <c r="AD30">
        <v>0</v>
      </c>
      <c r="AE30">
        <v>0</v>
      </c>
      <c r="AF30">
        <v>0</v>
      </c>
      <c r="AG30">
        <v>-3.1488055740549799</v>
      </c>
      <c r="AH30">
        <v>1.70595243047833</v>
      </c>
      <c r="AI30">
        <v>1.59228393830288</v>
      </c>
      <c r="AJ30">
        <v>122.212075212708</v>
      </c>
      <c r="AK30">
        <v>293.09406916096401</v>
      </c>
      <c r="AL30">
        <v>8.0849888457539993</v>
      </c>
      <c r="AM30">
        <v>4.3567391474687804</v>
      </c>
      <c r="AN30">
        <v>-4.8011670904591899</v>
      </c>
      <c r="AO30">
        <v>-4.6312368386055596</v>
      </c>
      <c r="AP30">
        <v>4.1529960930347401E-2</v>
      </c>
      <c r="AQ30">
        <v>0.92477202415466297</v>
      </c>
      <c r="AR30">
        <v>0.15297885239124201</v>
      </c>
      <c r="AS30">
        <v>0.33089077472686701</v>
      </c>
      <c r="AT30">
        <v>1.08053684234619E-2</v>
      </c>
      <c r="AU30">
        <v>0.212988555431365</v>
      </c>
      <c r="AV30">
        <v>0.12443149089813201</v>
      </c>
      <c r="AW30">
        <v>1.3766400516033101E-3</v>
      </c>
      <c r="AX30">
        <v>5.2992589771747499E-2</v>
      </c>
      <c r="AY30">
        <v>0.99897825717926003</v>
      </c>
      <c r="AZ30">
        <v>0.99999952316284102</v>
      </c>
      <c r="BA30">
        <v>0.79124820232391302</v>
      </c>
      <c r="BB30">
        <v>0.63388991355895996</v>
      </c>
      <c r="BC30">
        <v>42.300004917387497</v>
      </c>
      <c r="BD30">
        <v>5.4348910469185302E-2</v>
      </c>
      <c r="BE30">
        <v>39.777084223429299</v>
      </c>
      <c r="BF30">
        <v>5.02367094159126E-2</v>
      </c>
      <c r="BG30">
        <v>0.99268037080764704</v>
      </c>
      <c r="BH30">
        <v>9.8739657551050099E-3</v>
      </c>
      <c r="BI30">
        <v>1.8517406657338101E-2</v>
      </c>
      <c r="BJ30">
        <v>3.0799716711044301E-2</v>
      </c>
      <c r="BK30">
        <v>0.32215169072151101</v>
      </c>
      <c r="BL30" s="8">
        <v>4.3041909520979903E-6</v>
      </c>
      <c r="BM30" s="8">
        <v>5.9329500800231397E-5</v>
      </c>
      <c r="BN30">
        <v>0.60441428422927801</v>
      </c>
      <c r="BO30">
        <v>0.117381110787391</v>
      </c>
      <c r="BP30" s="8">
        <v>9.9025834060739699E-5</v>
      </c>
      <c r="BQ30" s="8">
        <v>4.8090436166603404E-7</v>
      </c>
      <c r="BR30">
        <v>2.9016605112701598E-3</v>
      </c>
      <c r="BS30">
        <v>2.2765148896723899E-3</v>
      </c>
      <c r="BT30">
        <v>7.7992769572843104</v>
      </c>
      <c r="BU30">
        <v>1.10809466269572</v>
      </c>
      <c r="BV30">
        <v>0.27519910499351002</v>
      </c>
      <c r="BW30">
        <v>2.83135116555906</v>
      </c>
      <c r="BX30">
        <v>4.1596551555483403</v>
      </c>
      <c r="BY30">
        <v>3.3241562408807401</v>
      </c>
      <c r="BZ30">
        <v>0.52545756101608199</v>
      </c>
      <c r="CA30">
        <v>0.66468101739883401</v>
      </c>
      <c r="CB30">
        <v>0.77592003345489502</v>
      </c>
      <c r="CC30">
        <v>0.60079526901245095</v>
      </c>
      <c r="CD30">
        <v>0.38750320672988797</v>
      </c>
      <c r="CE30">
        <v>0.82001912593841497</v>
      </c>
      <c r="CF30">
        <v>0.83057254552841098</v>
      </c>
      <c r="CG30">
        <v>0.68367105722427302</v>
      </c>
      <c r="CH30">
        <v>9.1276323655620196E-4</v>
      </c>
      <c r="CI30">
        <v>0.43798676133155801</v>
      </c>
      <c r="CJ30">
        <v>0.60356205701828003</v>
      </c>
      <c r="CK30">
        <v>0.926996350288391</v>
      </c>
      <c r="CL30">
        <v>0.51272368431091297</v>
      </c>
      <c r="CM30">
        <v>0.76232421398162797</v>
      </c>
      <c r="CN30">
        <v>0.34955331683158802</v>
      </c>
      <c r="CO30">
        <v>0.89485645294189398</v>
      </c>
      <c r="CP30">
        <v>0.96640521287918002</v>
      </c>
      <c r="CQ30">
        <v>4.3950695544481201E-2</v>
      </c>
      <c r="CR30">
        <v>0.10972999781370101</v>
      </c>
      <c r="CS30">
        <v>0.68120938539505005</v>
      </c>
      <c r="CT30">
        <v>9.2329308390617301E-2</v>
      </c>
      <c r="CU30">
        <v>0.88266116380691495</v>
      </c>
      <c r="CV30">
        <v>3.5505429841577998E-3</v>
      </c>
      <c r="CW30">
        <v>2.8886942192912098E-2</v>
      </c>
      <c r="CX30">
        <v>2.0958241075277298E-3</v>
      </c>
      <c r="CY30" s="8">
        <v>6.0381040384527201E-5</v>
      </c>
      <c r="CZ30">
        <v>6.4435583772137696E-4</v>
      </c>
      <c r="DA30">
        <v>5.68208657205104E-2</v>
      </c>
      <c r="DB30">
        <v>9.9992693867534399E-4</v>
      </c>
      <c r="DC30">
        <v>1.9840049208141801E-4</v>
      </c>
      <c r="DD30">
        <v>7.2020784020423806E-2</v>
      </c>
      <c r="DE30">
        <v>1.25137576833367E-3</v>
      </c>
    </row>
    <row r="31" spans="1:109" x14ac:dyDescent="0.3">
      <c r="A31" t="s">
        <v>357</v>
      </c>
      <c r="B31" t="s">
        <v>353</v>
      </c>
      <c r="C31" t="s">
        <v>356</v>
      </c>
      <c r="D31" t="s">
        <v>1325</v>
      </c>
      <c r="E31">
        <v>361.14</v>
      </c>
      <c r="F31">
        <v>344.05835205268397</v>
      </c>
      <c r="G31">
        <v>1.0496475317207199</v>
      </c>
      <c r="H31">
        <v>7</v>
      </c>
      <c r="I31">
        <v>1</v>
      </c>
      <c r="J31">
        <v>75.010000000000005</v>
      </c>
      <c r="K31">
        <v>2</v>
      </c>
      <c r="L31">
        <v>4</v>
      </c>
      <c r="M31">
        <v>12</v>
      </c>
      <c r="N31">
        <v>8</v>
      </c>
      <c r="O31">
        <v>0</v>
      </c>
      <c r="P31">
        <v>23</v>
      </c>
      <c r="Q31">
        <v>8.6956521739130405E-2</v>
      </c>
      <c r="R31">
        <v>1</v>
      </c>
      <c r="S31">
        <v>0</v>
      </c>
      <c r="T31">
        <v>0.875</v>
      </c>
      <c r="U31">
        <v>3.0979999999999999</v>
      </c>
      <c r="V31">
        <v>0.44400000000000001</v>
      </c>
      <c r="W31">
        <v>83.076999999999998</v>
      </c>
      <c r="X31">
        <v>-0.21199999999999999</v>
      </c>
      <c r="Y31" t="s">
        <v>1326</v>
      </c>
      <c r="Z31" t="s">
        <v>1298</v>
      </c>
      <c r="AA31" t="s">
        <v>1298</v>
      </c>
      <c r="AB31" t="s">
        <v>1298</v>
      </c>
      <c r="AC31">
        <v>0</v>
      </c>
      <c r="AD31">
        <v>0</v>
      </c>
      <c r="AE31">
        <v>0</v>
      </c>
      <c r="AF31">
        <v>0</v>
      </c>
      <c r="AG31">
        <v>-2.0165025167836998</v>
      </c>
      <c r="AH31">
        <v>0.94818088758301999</v>
      </c>
      <c r="AI31">
        <v>-0.25573865184060002</v>
      </c>
      <c r="AJ31">
        <v>211.078887291912</v>
      </c>
      <c r="AK31">
        <v>305.35053497634402</v>
      </c>
      <c r="AL31">
        <v>4.9106763188207001</v>
      </c>
      <c r="AM31">
        <v>4.0377975564299602</v>
      </c>
      <c r="AN31">
        <v>-4.9840582572554704</v>
      </c>
      <c r="AO31">
        <v>-4.7904010858297097</v>
      </c>
      <c r="AP31">
        <v>0.72051364183425903</v>
      </c>
      <c r="AQ31" s="8">
        <v>6.3620068431191604E-6</v>
      </c>
      <c r="AR31">
        <v>0.99468946456909102</v>
      </c>
      <c r="AS31" s="8">
        <v>2.6226043701171799E-6</v>
      </c>
      <c r="AT31" s="8">
        <v>5.9366226196289002E-5</v>
      </c>
      <c r="AU31" s="8">
        <v>5.8412551879882804E-6</v>
      </c>
      <c r="AV31">
        <v>2.0891427993774401E-4</v>
      </c>
      <c r="AW31">
        <v>3.5315342247486101E-3</v>
      </c>
      <c r="AX31">
        <v>6.9377233739942301E-4</v>
      </c>
      <c r="AY31">
        <v>8.0138805788010305E-4</v>
      </c>
      <c r="AZ31">
        <v>5.58675527572631E-2</v>
      </c>
      <c r="BA31">
        <v>0.55601793527603105</v>
      </c>
      <c r="BB31">
        <v>0.999983310699462</v>
      </c>
      <c r="BC31">
        <v>23.439312089730102</v>
      </c>
      <c r="BD31">
        <v>0.141999555609084</v>
      </c>
      <c r="BE31">
        <v>72.214652643810595</v>
      </c>
      <c r="BF31" s="8">
        <v>1.8911260113441101E-8</v>
      </c>
      <c r="BG31">
        <v>2.5366334244608799E-2</v>
      </c>
      <c r="BH31" s="8">
        <v>8.3882350736530498E-6</v>
      </c>
      <c r="BI31" s="8">
        <v>4.5490611228160499E-5</v>
      </c>
      <c r="BJ31" s="8">
        <v>6.22736388322664E-6</v>
      </c>
      <c r="BK31">
        <v>2.93560588033869E-4</v>
      </c>
      <c r="BL31" s="8">
        <v>2.4786381800367899E-6</v>
      </c>
      <c r="BM31" s="8">
        <v>1.6322625029374599E-8</v>
      </c>
      <c r="BN31" s="8">
        <v>7.7898478778593E-9</v>
      </c>
      <c r="BO31">
        <v>2.02585873194038E-3</v>
      </c>
      <c r="BP31" s="8">
        <v>1.11783792817732E-5</v>
      </c>
      <c r="BQ31" s="8">
        <v>3.1337160066868798E-7</v>
      </c>
      <c r="BR31">
        <v>8.1290985690429796E-4</v>
      </c>
      <c r="BS31">
        <v>8.2945323083549705E-4</v>
      </c>
      <c r="BT31">
        <v>1.6115317773908899</v>
      </c>
      <c r="BU31">
        <v>4.57034816247974</v>
      </c>
      <c r="BV31">
        <v>0.33290738624647398</v>
      </c>
      <c r="BW31">
        <v>3.1102712354105102</v>
      </c>
      <c r="BX31">
        <v>4.58461063099434</v>
      </c>
      <c r="BY31">
        <v>3.8269273107159201</v>
      </c>
      <c r="BZ31">
        <v>0.255549937486648</v>
      </c>
      <c r="CA31">
        <v>8.7346509099006597E-2</v>
      </c>
      <c r="CB31">
        <v>0.99757939577102595</v>
      </c>
      <c r="CC31">
        <v>0.734364032745361</v>
      </c>
      <c r="CD31">
        <v>0.33762624859809798</v>
      </c>
      <c r="CE31">
        <v>0.387240350246429</v>
      </c>
      <c r="CF31">
        <v>0.79852402210235596</v>
      </c>
      <c r="CG31">
        <v>0.59854984283447199</v>
      </c>
      <c r="CH31" s="8">
        <v>1.4972654753364601E-5</v>
      </c>
      <c r="CI31">
        <v>3.3416584134101798E-2</v>
      </c>
      <c r="CJ31">
        <v>0.73634785413741999</v>
      </c>
      <c r="CK31">
        <v>0.98948073387145996</v>
      </c>
      <c r="CL31">
        <v>0.99605536460876398</v>
      </c>
      <c r="CM31">
        <v>0.96136581897735596</v>
      </c>
      <c r="CN31">
        <v>0.87395483255386297</v>
      </c>
      <c r="CO31">
        <v>0.99905341863632202</v>
      </c>
      <c r="CP31">
        <v>0.99979728460311801</v>
      </c>
      <c r="CQ31">
        <v>0.210670500993728</v>
      </c>
      <c r="CR31">
        <v>9.7090288996696403E-2</v>
      </c>
      <c r="CS31">
        <v>3.44898141920566E-2</v>
      </c>
      <c r="CT31">
        <v>2.2960929200053201E-2</v>
      </c>
      <c r="CU31">
        <v>0.74567747116088801</v>
      </c>
      <c r="CV31">
        <v>1.4853939646854899E-3</v>
      </c>
      <c r="CW31">
        <v>1.27760274335742E-3</v>
      </c>
      <c r="CX31">
        <v>0.61500877141952504</v>
      </c>
      <c r="CY31">
        <v>2.0881919190287499E-3</v>
      </c>
      <c r="CZ31">
        <v>6.5683276625350096E-4</v>
      </c>
      <c r="DA31">
        <v>1.2824835255742E-2</v>
      </c>
      <c r="DB31">
        <v>0.334989964962005</v>
      </c>
      <c r="DC31">
        <v>5.6531550362706098E-3</v>
      </c>
      <c r="DD31">
        <v>1.7648613720666601E-4</v>
      </c>
      <c r="DE31">
        <v>1.9080771598964899E-3</v>
      </c>
    </row>
    <row r="32" spans="1:109" x14ac:dyDescent="0.3">
      <c r="A32" t="s">
        <v>1175</v>
      </c>
      <c r="B32" t="s">
        <v>392</v>
      </c>
      <c r="C32" t="s">
        <v>396</v>
      </c>
      <c r="D32" t="s">
        <v>1327</v>
      </c>
      <c r="E32">
        <v>245.1</v>
      </c>
      <c r="F32">
        <v>224.695906722102</v>
      </c>
      <c r="G32">
        <v>1.0908075877996799</v>
      </c>
      <c r="H32">
        <v>8</v>
      </c>
      <c r="I32">
        <v>6</v>
      </c>
      <c r="J32">
        <v>142.19</v>
      </c>
      <c r="K32">
        <v>5</v>
      </c>
      <c r="L32">
        <v>1</v>
      </c>
      <c r="M32">
        <v>5</v>
      </c>
      <c r="N32">
        <v>8</v>
      </c>
      <c r="O32">
        <v>0</v>
      </c>
      <c r="P32">
        <v>6</v>
      </c>
      <c r="Q32">
        <v>0.83333333333333304</v>
      </c>
      <c r="R32">
        <v>3</v>
      </c>
      <c r="S32">
        <v>1</v>
      </c>
      <c r="T32">
        <v>0.20799999999999999</v>
      </c>
      <c r="U32">
        <v>4.508</v>
      </c>
      <c r="V32">
        <v>0.55600000000000005</v>
      </c>
      <c r="W32">
        <v>18</v>
      </c>
      <c r="X32">
        <v>0.8</v>
      </c>
      <c r="Y32" t="s">
        <v>1298</v>
      </c>
      <c r="Z32" t="s">
        <v>1298</v>
      </c>
      <c r="AA32" t="s">
        <v>1298</v>
      </c>
      <c r="AB32" t="s">
        <v>1298</v>
      </c>
      <c r="AC32">
        <v>0</v>
      </c>
      <c r="AD32">
        <v>0</v>
      </c>
      <c r="AE32">
        <v>0</v>
      </c>
      <c r="AF32">
        <v>0</v>
      </c>
      <c r="AG32">
        <v>-1.22479156688755</v>
      </c>
      <c r="AH32">
        <v>-0.33951501579530502</v>
      </c>
      <c r="AI32">
        <v>-0.91701583131418696</v>
      </c>
      <c r="AJ32">
        <v>184.43814645921501</v>
      </c>
      <c r="AK32">
        <v>313.70029144792301</v>
      </c>
      <c r="AL32">
        <v>8.4370338373902598</v>
      </c>
      <c r="AM32">
        <v>4.7091067091950096</v>
      </c>
      <c r="AN32">
        <v>-5.0845264615398298</v>
      </c>
      <c r="AO32">
        <v>-4.9086321968331799</v>
      </c>
      <c r="AP32">
        <v>0.990192770957946</v>
      </c>
      <c r="AQ32" s="8">
        <v>3.5406485494604499E-6</v>
      </c>
      <c r="AR32">
        <v>3.8541603833436897E-2</v>
      </c>
      <c r="AS32">
        <v>3.1210720539093E-2</v>
      </c>
      <c r="AT32">
        <v>0.220597743988037</v>
      </c>
      <c r="AU32">
        <v>0.71455222368240301</v>
      </c>
      <c r="AV32">
        <v>0.95655599236488298</v>
      </c>
      <c r="AW32">
        <v>0.97128015756607</v>
      </c>
      <c r="AX32">
        <v>0.99744105339050204</v>
      </c>
      <c r="AY32">
        <v>1.14917680621147E-2</v>
      </c>
      <c r="AZ32">
        <v>2.1090705413371299E-3</v>
      </c>
      <c r="BA32">
        <v>2.3669085931032801E-3</v>
      </c>
      <c r="BB32">
        <v>0.120094887912273</v>
      </c>
      <c r="BC32">
        <v>36.2425499281564</v>
      </c>
      <c r="BD32">
        <v>-0.47736631925323703</v>
      </c>
      <c r="BE32">
        <v>59.325373968431897</v>
      </c>
      <c r="BF32">
        <v>4.5446618460118701E-3</v>
      </c>
      <c r="BG32" s="8">
        <v>7.3590030069681202E-7</v>
      </c>
      <c r="BH32" s="8">
        <v>4.3593587179202498E-5</v>
      </c>
      <c r="BI32" s="8">
        <v>2.0556582967401401E-5</v>
      </c>
      <c r="BJ32">
        <v>1.18571369966957E-4</v>
      </c>
      <c r="BK32">
        <v>0.99964356422424305</v>
      </c>
      <c r="BL32">
        <v>1.5860989515203901E-4</v>
      </c>
      <c r="BM32" s="8">
        <v>1.2014344974886601E-5</v>
      </c>
      <c r="BN32" s="8">
        <v>2.2815257239017199E-7</v>
      </c>
      <c r="BO32">
        <v>8.4920437075197697E-4</v>
      </c>
      <c r="BP32" s="8">
        <v>1.53898612603731E-11</v>
      </c>
      <c r="BQ32" s="8">
        <v>6.3211324195788698E-12</v>
      </c>
      <c r="BR32">
        <v>0.84665715694427401</v>
      </c>
      <c r="BS32" s="8">
        <v>8.0902777810365395E-9</v>
      </c>
      <c r="BT32">
        <v>2.5427207954437199</v>
      </c>
      <c r="BU32">
        <v>1.7990939262315899</v>
      </c>
      <c r="BV32">
        <v>2.5137964346349601E-2</v>
      </c>
      <c r="BW32">
        <v>1.75581364299746</v>
      </c>
      <c r="BX32">
        <v>3.3182345393236798</v>
      </c>
      <c r="BY32">
        <v>2.1954307071447499</v>
      </c>
      <c r="BZ32">
        <v>4.8652077093720401E-3</v>
      </c>
      <c r="CA32">
        <v>3.5639751702546997E-2</v>
      </c>
      <c r="CB32">
        <v>0.58890861272811801</v>
      </c>
      <c r="CC32">
        <v>0.83498263359069802</v>
      </c>
      <c r="CD32">
        <v>8.07821080088615E-2</v>
      </c>
      <c r="CE32">
        <v>0.12729415297508201</v>
      </c>
      <c r="CF32">
        <v>0.98848754167556696</v>
      </c>
      <c r="CG32">
        <v>0.57301521301269498</v>
      </c>
      <c r="CH32">
        <v>2.0227818749845002E-3</v>
      </c>
      <c r="CI32">
        <v>0.87520700693130404</v>
      </c>
      <c r="CJ32">
        <v>0.32462912797927801</v>
      </c>
      <c r="CK32">
        <v>0.78291285037994296</v>
      </c>
      <c r="CL32">
        <v>2.9567455872893299E-2</v>
      </c>
      <c r="CM32">
        <v>0.95145159959793002</v>
      </c>
      <c r="CN32">
        <v>0.38354310393333402</v>
      </c>
      <c r="CO32">
        <v>0.65034389495849598</v>
      </c>
      <c r="CP32">
        <v>0.49089661240577698</v>
      </c>
      <c r="CQ32">
        <v>3.3215429633855799E-2</v>
      </c>
      <c r="CR32">
        <v>5.8177532628178596E-3</v>
      </c>
      <c r="CS32">
        <v>5.3558629006147301E-2</v>
      </c>
      <c r="CT32">
        <v>0.14302223920822099</v>
      </c>
      <c r="CU32">
        <v>1.3452029088512001E-4</v>
      </c>
      <c r="CV32" s="8">
        <v>3.2247702620225E-5</v>
      </c>
      <c r="CW32">
        <v>3.24207649100571E-4</v>
      </c>
      <c r="CX32">
        <v>3.0212074518203701E-2</v>
      </c>
      <c r="CY32" s="8">
        <v>3.54521398548968E-5</v>
      </c>
      <c r="CZ32" s="8">
        <v>2.51177352765807E-5</v>
      </c>
      <c r="DA32">
        <v>1.64889488369226E-2</v>
      </c>
      <c r="DB32" s="8">
        <v>5.1505536248441697E-5</v>
      </c>
      <c r="DC32" s="8">
        <v>9.5456140115857097E-5</v>
      </c>
      <c r="DD32">
        <v>0.62122356891632002</v>
      </c>
      <c r="DE32">
        <v>2.7313356986269301E-4</v>
      </c>
    </row>
    <row r="33" spans="1:109" x14ac:dyDescent="0.3">
      <c r="A33" t="s">
        <v>468</v>
      </c>
      <c r="B33" t="s">
        <v>465</v>
      </c>
      <c r="C33" t="s">
        <v>457</v>
      </c>
      <c r="D33" t="s">
        <v>465</v>
      </c>
      <c r="E33">
        <v>374.17</v>
      </c>
      <c r="F33">
        <v>390.04520489807697</v>
      </c>
      <c r="G33">
        <v>0.95929906406046805</v>
      </c>
      <c r="H33">
        <v>6</v>
      </c>
      <c r="I33">
        <v>1</v>
      </c>
      <c r="J33">
        <v>79.94</v>
      </c>
      <c r="K33">
        <v>6</v>
      </c>
      <c r="L33">
        <v>4</v>
      </c>
      <c r="M33">
        <v>12</v>
      </c>
      <c r="N33">
        <v>6</v>
      </c>
      <c r="O33">
        <v>0</v>
      </c>
      <c r="P33">
        <v>22</v>
      </c>
      <c r="Q33">
        <v>0.27272727272727199</v>
      </c>
      <c r="R33">
        <v>1</v>
      </c>
      <c r="S33">
        <v>0</v>
      </c>
      <c r="T33">
        <v>0.75700000000000001</v>
      </c>
      <c r="U33">
        <v>3.13</v>
      </c>
      <c r="V33">
        <v>0.318</v>
      </c>
      <c r="W33">
        <v>70.552000000000007</v>
      </c>
      <c r="X33">
        <v>-1.5089999999999999</v>
      </c>
      <c r="Y33" t="s">
        <v>1298</v>
      </c>
      <c r="Z33" t="s">
        <v>1298</v>
      </c>
      <c r="AA33" t="s">
        <v>1298</v>
      </c>
      <c r="AB33" t="s">
        <v>1328</v>
      </c>
      <c r="AC33">
        <v>0</v>
      </c>
      <c r="AD33">
        <v>0</v>
      </c>
      <c r="AE33">
        <v>0</v>
      </c>
      <c r="AF33">
        <v>0</v>
      </c>
      <c r="AG33">
        <v>-4.1267973091363501</v>
      </c>
      <c r="AH33">
        <v>3.0120624935514102</v>
      </c>
      <c r="AI33">
        <v>2.9831661989588398</v>
      </c>
      <c r="AJ33">
        <v>113.56939159556801</v>
      </c>
      <c r="AK33">
        <v>286.41505449509799</v>
      </c>
      <c r="AL33">
        <v>9.1104565602927607</v>
      </c>
      <c r="AM33">
        <v>5.9945869564519896</v>
      </c>
      <c r="AN33">
        <v>-5.1692595757872004</v>
      </c>
      <c r="AO33">
        <v>-4.4982546754112098</v>
      </c>
      <c r="AP33">
        <v>3.71851846575737E-2</v>
      </c>
      <c r="AQ33">
        <v>0.90712875127792303</v>
      </c>
      <c r="AR33">
        <v>0.88090980052947998</v>
      </c>
      <c r="AS33">
        <v>1.20079517364501E-3</v>
      </c>
      <c r="AT33">
        <v>0.52669361233711198</v>
      </c>
      <c r="AU33">
        <v>0.17070585489272999</v>
      </c>
      <c r="AV33">
        <v>0.773104667663574</v>
      </c>
      <c r="AW33">
        <v>0.98588240146636896</v>
      </c>
      <c r="AX33">
        <v>0.99902021884918202</v>
      </c>
      <c r="AY33">
        <v>0.335753142833709</v>
      </c>
      <c r="AZ33">
        <v>0.99999773502349798</v>
      </c>
      <c r="BA33">
        <v>3.03692817687988E-2</v>
      </c>
      <c r="BB33">
        <v>0.17018367350101399</v>
      </c>
      <c r="BC33">
        <v>92.626481989609005</v>
      </c>
      <c r="BD33">
        <v>4.8624998062261997E-2</v>
      </c>
      <c r="BE33">
        <v>7.6739913324054898</v>
      </c>
      <c r="BF33">
        <v>0.99879431724548295</v>
      </c>
      <c r="BG33">
        <v>0.158544272184371</v>
      </c>
      <c r="BH33">
        <v>0.87291461229324296</v>
      </c>
      <c r="BI33">
        <v>0.68666827678680398</v>
      </c>
      <c r="BJ33">
        <v>0.96613919734954801</v>
      </c>
      <c r="BK33">
        <v>8.5141686722636205E-3</v>
      </c>
      <c r="BL33">
        <v>4.4029713608324502E-3</v>
      </c>
      <c r="BM33">
        <v>0.115785516798496</v>
      </c>
      <c r="BN33">
        <v>0.99985170364379805</v>
      </c>
      <c r="BO33">
        <v>0.999755918979644</v>
      </c>
      <c r="BP33">
        <v>0.99813675880432096</v>
      </c>
      <c r="BQ33" s="8">
        <v>2.3658276726568E-11</v>
      </c>
      <c r="BR33">
        <v>1.04773780331015E-2</v>
      </c>
      <c r="BS33">
        <v>0.33556091785430903</v>
      </c>
      <c r="BT33">
        <v>8.0621538117482796</v>
      </c>
      <c r="BU33">
        <v>0.66645618558764597</v>
      </c>
      <c r="BV33">
        <v>0.60034665403756404</v>
      </c>
      <c r="BW33">
        <v>3.31815688341965</v>
      </c>
      <c r="BX33">
        <v>5.1336056917281203</v>
      </c>
      <c r="BY33">
        <v>4.4272022860059304</v>
      </c>
      <c r="BZ33">
        <v>0.88309985399246205</v>
      </c>
      <c r="CA33">
        <v>0.89247584342956499</v>
      </c>
      <c r="CB33">
        <v>0.82486075162887496</v>
      </c>
      <c r="CC33">
        <v>0.92088979482650701</v>
      </c>
      <c r="CD33">
        <v>0.728967726230621</v>
      </c>
      <c r="CE33">
        <v>0.99848830699920599</v>
      </c>
      <c r="CF33">
        <v>0.94099044799804599</v>
      </c>
      <c r="CG33">
        <v>0.42306852340698198</v>
      </c>
      <c r="CH33" s="8">
        <v>6.6368210127620799E-7</v>
      </c>
      <c r="CI33">
        <v>1.8155507743358602E-2</v>
      </c>
      <c r="CJ33">
        <v>0.63307178020477295</v>
      </c>
      <c r="CK33">
        <v>0.950902700424194</v>
      </c>
      <c r="CL33">
        <v>0.99379163980483998</v>
      </c>
      <c r="CM33">
        <v>0.94094675779342596</v>
      </c>
      <c r="CN33">
        <v>5.67710883915424E-2</v>
      </c>
      <c r="CO33">
        <v>0.99541842937469405</v>
      </c>
      <c r="CP33">
        <v>0.99960452318191495</v>
      </c>
      <c r="CQ33">
        <v>0.17360392212867701</v>
      </c>
      <c r="CR33">
        <v>0.45841091871261502</v>
      </c>
      <c r="CS33">
        <v>0.61611193418502797</v>
      </c>
      <c r="CT33">
        <v>0.451030492782592</v>
      </c>
      <c r="CU33">
        <v>0.40168789029121399</v>
      </c>
      <c r="CV33">
        <v>7.02137360349297E-3</v>
      </c>
      <c r="CW33">
        <v>7.1948409080505302E-2</v>
      </c>
      <c r="CX33">
        <v>4.3457407504320103E-2</v>
      </c>
      <c r="CY33" s="8">
        <v>5.4921474657021402E-5</v>
      </c>
      <c r="CZ33" s="8">
        <v>3.8551872421521599E-5</v>
      </c>
      <c r="DA33">
        <v>0.55742067098617498</v>
      </c>
      <c r="DB33">
        <v>1.60428928211331E-3</v>
      </c>
      <c r="DC33">
        <v>6.6230155061930396E-4</v>
      </c>
      <c r="DD33">
        <v>4.2815826833248097E-2</v>
      </c>
      <c r="DE33">
        <v>1.13905509933829E-2</v>
      </c>
    </row>
    <row r="34" spans="1:109" x14ac:dyDescent="0.3">
      <c r="A34" t="s">
        <v>165</v>
      </c>
      <c r="B34" t="s">
        <v>162</v>
      </c>
      <c r="C34" t="s">
        <v>164</v>
      </c>
      <c r="D34" t="s">
        <v>162</v>
      </c>
      <c r="E34">
        <v>375.08</v>
      </c>
      <c r="F34">
        <v>330.35435033034202</v>
      </c>
      <c r="G34">
        <v>1.1353868947841399</v>
      </c>
      <c r="H34">
        <v>7</v>
      </c>
      <c r="I34">
        <v>4</v>
      </c>
      <c r="J34">
        <v>99.77</v>
      </c>
      <c r="K34">
        <v>4</v>
      </c>
      <c r="L34">
        <v>3</v>
      </c>
      <c r="M34">
        <v>9</v>
      </c>
      <c r="N34">
        <v>9</v>
      </c>
      <c r="O34">
        <v>0</v>
      </c>
      <c r="P34">
        <v>15</v>
      </c>
      <c r="Q34">
        <v>0.266666666666666</v>
      </c>
      <c r="R34">
        <v>4</v>
      </c>
      <c r="S34">
        <v>0</v>
      </c>
      <c r="T34">
        <v>0.64900000000000002</v>
      </c>
      <c r="U34">
        <v>3.7320000000000002</v>
      </c>
      <c r="V34">
        <v>0.53300000000000003</v>
      </c>
      <c r="W34">
        <v>66.956999999999994</v>
      </c>
      <c r="X34">
        <v>0.13900000000000001</v>
      </c>
      <c r="Y34" t="s">
        <v>1298</v>
      </c>
      <c r="Z34" t="s">
        <v>1298</v>
      </c>
      <c r="AA34" t="s">
        <v>1298</v>
      </c>
      <c r="AB34" t="s">
        <v>1298</v>
      </c>
      <c r="AC34">
        <v>0</v>
      </c>
      <c r="AD34">
        <v>0</v>
      </c>
      <c r="AE34">
        <v>0</v>
      </c>
      <c r="AF34">
        <v>0</v>
      </c>
      <c r="AG34">
        <v>-4.0618027879777401</v>
      </c>
      <c r="AH34">
        <v>2.7347524775357099</v>
      </c>
      <c r="AI34">
        <v>2.6445421396250599</v>
      </c>
      <c r="AJ34">
        <v>166.99541370671901</v>
      </c>
      <c r="AK34">
        <v>310.290807723412</v>
      </c>
      <c r="AL34">
        <v>7.46626328112976</v>
      </c>
      <c r="AM34">
        <v>5.8137471172719799</v>
      </c>
      <c r="AN34">
        <v>-5.9014389732731702</v>
      </c>
      <c r="AO34">
        <v>-5.1412691322467596</v>
      </c>
      <c r="AP34">
        <v>0.80534291267394997</v>
      </c>
      <c r="AQ34">
        <v>1.35321421548724E-2</v>
      </c>
      <c r="AR34">
        <v>1.73200722783803E-2</v>
      </c>
      <c r="AS34">
        <v>6.4667463302612296E-3</v>
      </c>
      <c r="AT34">
        <v>0.15655213594436601</v>
      </c>
      <c r="AU34">
        <v>0.92687032371759404</v>
      </c>
      <c r="AV34">
        <v>0.99671598407439799</v>
      </c>
      <c r="AW34">
        <v>0.99999618530273404</v>
      </c>
      <c r="AX34">
        <v>0.99917668104171697</v>
      </c>
      <c r="AY34">
        <v>1.3335808180272499E-3</v>
      </c>
      <c r="AZ34">
        <v>0.99685621261596602</v>
      </c>
      <c r="BA34">
        <v>0.60331273078918402</v>
      </c>
      <c r="BB34">
        <v>0.93554759025573697</v>
      </c>
      <c r="BC34">
        <v>95.785072386314994</v>
      </c>
      <c r="BD34">
        <v>6.1225252151889502E-2</v>
      </c>
      <c r="BE34">
        <v>3.08617795965151</v>
      </c>
      <c r="BF34">
        <v>0.99986493587493896</v>
      </c>
      <c r="BG34">
        <v>1.0087053291499601E-2</v>
      </c>
      <c r="BH34">
        <v>4.2239621281623799E-2</v>
      </c>
      <c r="BI34">
        <v>0.95130050182342496</v>
      </c>
      <c r="BJ34">
        <v>0.89545959234237604</v>
      </c>
      <c r="BK34">
        <v>0.131468936800956</v>
      </c>
      <c r="BL34">
        <v>6.8297699093818595E-2</v>
      </c>
      <c r="BM34" s="8">
        <v>4.9740996473701603E-5</v>
      </c>
      <c r="BN34">
        <v>1.65898017585277E-2</v>
      </c>
      <c r="BO34">
        <v>0.66500592231750399</v>
      </c>
      <c r="BP34">
        <v>0.99993824958801203</v>
      </c>
      <c r="BQ34" s="8">
        <v>6.2821287428960204E-5</v>
      </c>
      <c r="BR34">
        <v>0.99998319149017301</v>
      </c>
      <c r="BS34">
        <v>0.36041638255119302</v>
      </c>
      <c r="BT34">
        <v>4.9821284318702501</v>
      </c>
      <c r="BU34">
        <v>1.4664760931246901</v>
      </c>
      <c r="BV34">
        <v>0.63419718999505703</v>
      </c>
      <c r="BW34">
        <v>3.5045196445952902</v>
      </c>
      <c r="BX34">
        <v>4.9278080700093101</v>
      </c>
      <c r="BY34">
        <v>4.4191676031136398</v>
      </c>
      <c r="BZ34">
        <v>8.30703005194664E-2</v>
      </c>
      <c r="CA34">
        <v>0.32071271538734403</v>
      </c>
      <c r="CB34">
        <v>0.90614211559295599</v>
      </c>
      <c r="CC34">
        <v>0.480015248060226</v>
      </c>
      <c r="CD34">
        <v>0.16353158652782401</v>
      </c>
      <c r="CE34">
        <v>6.4327418804168701E-2</v>
      </c>
      <c r="CF34">
        <v>0.88948690891265803</v>
      </c>
      <c r="CG34">
        <v>0.40059342980384799</v>
      </c>
      <c r="CH34" s="8">
        <v>3.5963096252089599E-6</v>
      </c>
      <c r="CI34">
        <v>7.0329502224922097E-2</v>
      </c>
      <c r="CJ34">
        <v>0.26777854561805697</v>
      </c>
      <c r="CK34">
        <v>0.75436294078826904</v>
      </c>
      <c r="CL34">
        <v>0.63649857044219904</v>
      </c>
      <c r="CM34">
        <v>0.90263676643371504</v>
      </c>
      <c r="CN34">
        <v>0.67121934890747004</v>
      </c>
      <c r="CO34">
        <v>0.86325252056121804</v>
      </c>
      <c r="CP34">
        <v>0.96419543027877797</v>
      </c>
      <c r="CQ34">
        <v>0.18042770028114299</v>
      </c>
      <c r="CR34">
        <v>0.76162600517272905</v>
      </c>
      <c r="CS34">
        <v>0.371264308691024</v>
      </c>
      <c r="CT34">
        <v>0.12230462580919201</v>
      </c>
      <c r="CU34">
        <v>4.18014898896217E-2</v>
      </c>
      <c r="CV34">
        <v>9.9018970504403097E-3</v>
      </c>
      <c r="CW34">
        <v>0.22466117143630901</v>
      </c>
      <c r="CX34">
        <v>0.13252954185009</v>
      </c>
      <c r="CY34">
        <v>5.8010471984744003E-3</v>
      </c>
      <c r="CZ34">
        <v>4.5825848355889303E-3</v>
      </c>
      <c r="DA34">
        <v>0.63102966547012296</v>
      </c>
      <c r="DB34">
        <v>2.8824730543419702E-4</v>
      </c>
      <c r="DC34">
        <v>2.8794086538255202E-3</v>
      </c>
      <c r="DD34">
        <v>3.3392541110515497E-2</v>
      </c>
      <c r="DE34">
        <v>0.52459496259689298</v>
      </c>
    </row>
    <row r="35" spans="1:109" x14ac:dyDescent="0.3">
      <c r="A35" t="s">
        <v>19</v>
      </c>
      <c r="B35" t="s">
        <v>14</v>
      </c>
      <c r="C35" t="s">
        <v>18</v>
      </c>
      <c r="D35" t="s">
        <v>14</v>
      </c>
      <c r="E35">
        <v>349.23</v>
      </c>
      <c r="F35">
        <v>374.07490321218398</v>
      </c>
      <c r="G35">
        <v>0.93358307922065498</v>
      </c>
      <c r="H35">
        <v>5</v>
      </c>
      <c r="I35">
        <v>3</v>
      </c>
      <c r="J35">
        <v>70.83</v>
      </c>
      <c r="K35">
        <v>7</v>
      </c>
      <c r="L35">
        <v>4</v>
      </c>
      <c r="M35">
        <v>10</v>
      </c>
      <c r="N35">
        <v>5</v>
      </c>
      <c r="O35">
        <v>0</v>
      </c>
      <c r="P35">
        <v>21</v>
      </c>
      <c r="Q35">
        <v>0.33333333333333298</v>
      </c>
      <c r="R35">
        <v>1</v>
      </c>
      <c r="S35">
        <v>0</v>
      </c>
      <c r="T35">
        <v>0.64</v>
      </c>
      <c r="U35">
        <v>2.9750000000000001</v>
      </c>
      <c r="V35">
        <v>0.42899999999999999</v>
      </c>
      <c r="W35">
        <v>62.067</v>
      </c>
      <c r="X35">
        <v>-1.016</v>
      </c>
      <c r="Y35" t="s">
        <v>1298</v>
      </c>
      <c r="Z35" t="s">
        <v>1298</v>
      </c>
      <c r="AA35" t="s">
        <v>1298</v>
      </c>
      <c r="AB35" t="s">
        <v>1298</v>
      </c>
      <c r="AC35">
        <v>0</v>
      </c>
      <c r="AD35">
        <v>0</v>
      </c>
      <c r="AE35">
        <v>0</v>
      </c>
      <c r="AF35">
        <v>0</v>
      </c>
      <c r="AG35">
        <v>-2.7991867947752902</v>
      </c>
      <c r="AH35">
        <v>2.11506567765788</v>
      </c>
      <c r="AI35">
        <v>1.9661895841278301</v>
      </c>
      <c r="AJ35">
        <v>141.11634359219801</v>
      </c>
      <c r="AK35">
        <v>299.20742452315301</v>
      </c>
      <c r="AL35">
        <v>9.7318221784802503</v>
      </c>
      <c r="AM35">
        <v>7.7018234389114104</v>
      </c>
      <c r="AN35">
        <v>-5.4627400634884102</v>
      </c>
      <c r="AO35">
        <v>-5.43545965309767</v>
      </c>
      <c r="AP35">
        <v>0.14697638154029799</v>
      </c>
      <c r="AQ35">
        <v>6.3069909811019897E-3</v>
      </c>
      <c r="AR35">
        <v>0.61429446935653598</v>
      </c>
      <c r="AS35">
        <v>5.3023099899291897E-3</v>
      </c>
      <c r="AT35">
        <v>4.28950786590576E-3</v>
      </c>
      <c r="AU35">
        <v>0.12910217046737599</v>
      </c>
      <c r="AV35">
        <v>0.37317800521850503</v>
      </c>
      <c r="AW35">
        <v>0.49881881475448597</v>
      </c>
      <c r="AX35">
        <v>0.76188534498214699</v>
      </c>
      <c r="AY35">
        <v>2.5372114032506899E-3</v>
      </c>
      <c r="AZ35">
        <v>0.96046411991119296</v>
      </c>
      <c r="BA35">
        <v>5.9761233627796097E-2</v>
      </c>
      <c r="BB35">
        <v>0.55527269840240401</v>
      </c>
      <c r="BC35">
        <v>60.481623832679297</v>
      </c>
      <c r="BD35">
        <v>0.40442547128274903</v>
      </c>
      <c r="BE35">
        <v>38.8231896036202</v>
      </c>
      <c r="BF35">
        <v>0.99488514661788896</v>
      </c>
      <c r="BG35">
        <v>0.99999427795410101</v>
      </c>
      <c r="BH35">
        <v>0.99832636117935103</v>
      </c>
      <c r="BI35">
        <v>0.99981087446212702</v>
      </c>
      <c r="BJ35">
        <v>0.41256701946258501</v>
      </c>
      <c r="BK35">
        <v>3.56100592762231E-3</v>
      </c>
      <c r="BL35">
        <v>0.99996244907379095</v>
      </c>
      <c r="BM35">
        <v>0.92526477575302102</v>
      </c>
      <c r="BN35">
        <v>0.82394355535507202</v>
      </c>
      <c r="BO35">
        <v>0.99944370985031095</v>
      </c>
      <c r="BP35">
        <v>0.112694852054119</v>
      </c>
      <c r="BQ35">
        <v>3.0816281214356402E-2</v>
      </c>
      <c r="BR35">
        <v>0.73579519987106301</v>
      </c>
      <c r="BS35">
        <v>0.98835456371307295</v>
      </c>
      <c r="BT35">
        <v>5.1282128538331904</v>
      </c>
      <c r="BU35">
        <v>0.43364555425461099</v>
      </c>
      <c r="BV35">
        <v>1.47884007853582</v>
      </c>
      <c r="BW35">
        <v>3.9036484017945798</v>
      </c>
      <c r="BX35">
        <v>4.8911314551020597</v>
      </c>
      <c r="BY35">
        <v>4.60709201140192</v>
      </c>
      <c r="BZ35">
        <v>0.79506254196166903</v>
      </c>
      <c r="CA35">
        <v>0.77093482017517001</v>
      </c>
      <c r="CB35">
        <v>7.3344849050045E-2</v>
      </c>
      <c r="CC35">
        <v>0.61969017982482899</v>
      </c>
      <c r="CD35">
        <v>0.68099772930145197</v>
      </c>
      <c r="CE35">
        <v>0.75421196222305298</v>
      </c>
      <c r="CF35">
        <v>0.94334048032760598</v>
      </c>
      <c r="CG35">
        <v>0.55625408887863104</v>
      </c>
      <c r="CH35">
        <v>6.5544560551643302E-2</v>
      </c>
      <c r="CI35">
        <v>0.75705873966216997</v>
      </c>
      <c r="CJ35">
        <v>0.99132537841796797</v>
      </c>
      <c r="CK35">
        <v>0.65939211845397905</v>
      </c>
      <c r="CL35">
        <v>0.93663340806961004</v>
      </c>
      <c r="CM35">
        <v>0.49861955642700101</v>
      </c>
      <c r="CN35">
        <v>0.26874652504920898</v>
      </c>
      <c r="CO35">
        <v>0.85290938615798895</v>
      </c>
      <c r="CP35">
        <v>0.79345935583114602</v>
      </c>
      <c r="CQ35">
        <v>8.4654897451400701E-2</v>
      </c>
      <c r="CR35">
        <v>0.22399765253067</v>
      </c>
      <c r="CS35">
        <v>0.75545126199722201</v>
      </c>
      <c r="CT35">
        <v>0.78271305561065596</v>
      </c>
      <c r="CU35">
        <v>3.6991056054830503E-2</v>
      </c>
      <c r="CV35">
        <v>2.7774795889854401E-3</v>
      </c>
      <c r="CW35">
        <v>0.15208941698074299</v>
      </c>
      <c r="CX35">
        <v>0.14576222002506201</v>
      </c>
      <c r="CY35">
        <v>2.1443703735712899E-4</v>
      </c>
      <c r="CZ35">
        <v>1.6426960006356201E-2</v>
      </c>
      <c r="DA35">
        <v>0.79567235708236606</v>
      </c>
      <c r="DB35">
        <v>1.91025044769048E-2</v>
      </c>
      <c r="DC35">
        <v>7.9335570335388097E-3</v>
      </c>
      <c r="DD35">
        <v>2.9518000781536099E-2</v>
      </c>
      <c r="DE35">
        <v>2.1965118125081E-2</v>
      </c>
    </row>
    <row r="36" spans="1:109" x14ac:dyDescent="0.3">
      <c r="A36" t="s">
        <v>369</v>
      </c>
      <c r="B36" t="s">
        <v>364</v>
      </c>
      <c r="C36" t="s">
        <v>368</v>
      </c>
      <c r="D36" t="s">
        <v>364</v>
      </c>
      <c r="E36">
        <v>840.46</v>
      </c>
      <c r="F36">
        <v>845.809999410194</v>
      </c>
      <c r="G36">
        <v>0.993674703049237</v>
      </c>
      <c r="H36">
        <v>17</v>
      </c>
      <c r="I36">
        <v>2</v>
      </c>
      <c r="J36">
        <v>205.72</v>
      </c>
      <c r="K36">
        <v>9</v>
      </c>
      <c r="L36">
        <v>5</v>
      </c>
      <c r="M36">
        <v>15</v>
      </c>
      <c r="N36">
        <v>17</v>
      </c>
      <c r="O36">
        <v>0</v>
      </c>
      <c r="P36">
        <v>42</v>
      </c>
      <c r="Q36">
        <v>0.214285714285714</v>
      </c>
      <c r="R36">
        <v>13</v>
      </c>
      <c r="S36">
        <v>1</v>
      </c>
      <c r="T36">
        <v>0.221</v>
      </c>
      <c r="U36">
        <v>6.9720000000000004</v>
      </c>
      <c r="V36">
        <v>0.69799999999999995</v>
      </c>
      <c r="W36">
        <v>142.096</v>
      </c>
      <c r="X36">
        <v>0.28999999999999998</v>
      </c>
      <c r="Y36" t="s">
        <v>1329</v>
      </c>
      <c r="Z36" t="s">
        <v>1298</v>
      </c>
      <c r="AA36" t="s">
        <v>1298</v>
      </c>
      <c r="AB36" t="s">
        <v>1298</v>
      </c>
      <c r="AC36">
        <v>1</v>
      </c>
      <c r="AD36">
        <v>0</v>
      </c>
      <c r="AE36">
        <v>1</v>
      </c>
      <c r="AF36">
        <v>1</v>
      </c>
      <c r="AG36">
        <v>-3.5938216099649298</v>
      </c>
      <c r="AH36">
        <v>2.7735324575904698</v>
      </c>
      <c r="AI36">
        <v>2.5089508213683498</v>
      </c>
      <c r="AJ36">
        <v>152.741214765732</v>
      </c>
      <c r="AK36">
        <v>281.00781537241699</v>
      </c>
      <c r="AL36">
        <v>6.8237519452157596</v>
      </c>
      <c r="AM36">
        <v>6.2489183639880803</v>
      </c>
      <c r="AN36">
        <v>-5.6172053289360004</v>
      </c>
      <c r="AO36">
        <v>-5.1614996336566197</v>
      </c>
      <c r="AP36" s="8">
        <v>5.3965645747666696E-6</v>
      </c>
      <c r="AQ36">
        <v>1</v>
      </c>
      <c r="AR36" s="8">
        <v>4.5732567741652002E-6</v>
      </c>
      <c r="AS36" s="8">
        <v>1.19209289550781E-7</v>
      </c>
      <c r="AT36">
        <v>0.392761349678039</v>
      </c>
      <c r="AU36">
        <v>7.1345865726470906E-2</v>
      </c>
      <c r="AV36">
        <v>0.96154270321130697</v>
      </c>
      <c r="AW36">
        <v>0.99999654293060303</v>
      </c>
      <c r="AX36">
        <v>1</v>
      </c>
      <c r="AY36" s="8">
        <v>3.7567630783996698E-7</v>
      </c>
      <c r="AZ36">
        <v>1</v>
      </c>
      <c r="BA36" s="8">
        <v>1.38976954944247E-11</v>
      </c>
      <c r="BB36">
        <v>7.3216797318309502E-4</v>
      </c>
      <c r="BC36">
        <v>57.355573997407298</v>
      </c>
      <c r="BD36">
        <v>8.5718985897553293E-2</v>
      </c>
      <c r="BE36">
        <v>44.1414535196351</v>
      </c>
      <c r="BF36" s="8">
        <v>1.58899886893999E-15</v>
      </c>
      <c r="BG36">
        <v>3.7496890872716897E-2</v>
      </c>
      <c r="BH36" s="8">
        <v>1.54116523987113E-8</v>
      </c>
      <c r="BI36">
        <v>5.9587646275758702E-2</v>
      </c>
      <c r="BJ36" s="8">
        <v>4.2578423425920702E-12</v>
      </c>
      <c r="BK36">
        <v>3.6373137845657701E-4</v>
      </c>
      <c r="BL36" s="8">
        <v>4.9836840210204503E-10</v>
      </c>
      <c r="BM36" s="8">
        <v>3.9116412886563901E-10</v>
      </c>
      <c r="BN36" s="8">
        <v>2.81767847809533E-6</v>
      </c>
      <c r="BO36">
        <v>0.99999988079071001</v>
      </c>
      <c r="BP36">
        <v>2.8095947345718698E-4</v>
      </c>
      <c r="BQ36" s="8">
        <v>2.6626262585955001E-15</v>
      </c>
      <c r="BR36">
        <v>0.92971628904342596</v>
      </c>
      <c r="BS36" s="8">
        <v>2.8332017336651899E-6</v>
      </c>
      <c r="BT36">
        <v>2.8571305379150602</v>
      </c>
      <c r="BU36">
        <v>1.9893897387069699</v>
      </c>
      <c r="BV36">
        <v>0.55143043233152</v>
      </c>
      <c r="BW36">
        <v>3.29531255784668</v>
      </c>
      <c r="BX36">
        <v>4.8439577599657699</v>
      </c>
      <c r="BY36">
        <v>4.2606703326932598</v>
      </c>
      <c r="BZ36">
        <v>2.25127525627613E-2</v>
      </c>
      <c r="CA36">
        <v>0.282118380069732</v>
      </c>
      <c r="CB36">
        <v>0.99968445301055897</v>
      </c>
      <c r="CC36">
        <v>0.82139384746551503</v>
      </c>
      <c r="CD36">
        <v>0.44655585289001398</v>
      </c>
      <c r="CE36">
        <v>0.36809635162353499</v>
      </c>
      <c r="CF36">
        <v>0.99997997283935502</v>
      </c>
      <c r="CG36">
        <v>0.68739765882491999</v>
      </c>
      <c r="CH36" s="8">
        <v>5.9446003675134299E-9</v>
      </c>
      <c r="CI36">
        <v>1.8231410649605001E-4</v>
      </c>
      <c r="CJ36">
        <v>0.30073183774948098</v>
      </c>
      <c r="CK36">
        <v>0.95585310459136896</v>
      </c>
      <c r="CL36">
        <v>0.85093289613723699</v>
      </c>
      <c r="CM36">
        <v>0.98282086849212602</v>
      </c>
      <c r="CN36">
        <v>0.91045933961868197</v>
      </c>
      <c r="CO36">
        <v>0.99931573867797796</v>
      </c>
      <c r="CP36">
        <v>0.99998700618743896</v>
      </c>
      <c r="CQ36">
        <v>0.47954118251800498</v>
      </c>
      <c r="CR36">
        <v>2.8367109596729199E-2</v>
      </c>
      <c r="CS36">
        <v>0.537051200866699</v>
      </c>
      <c r="CT36" s="8">
        <v>1.10957103061082E-7</v>
      </c>
      <c r="CU36" s="8">
        <v>9.6163101261481602E-5</v>
      </c>
      <c r="CV36" s="8">
        <v>3.9736576582072303E-5</v>
      </c>
      <c r="CW36" s="8">
        <v>2.0473410131671699E-6</v>
      </c>
      <c r="CX36">
        <v>3.0127342324703899E-4</v>
      </c>
      <c r="CY36" s="8">
        <v>3.2338529076802998E-10</v>
      </c>
      <c r="CZ36" s="8">
        <v>1.4682582261116201E-8</v>
      </c>
      <c r="DA36">
        <v>4.9541646149009401E-4</v>
      </c>
      <c r="DB36" s="8">
        <v>1.6411972225682799E-8</v>
      </c>
      <c r="DC36" s="8">
        <v>4.6954070853644199E-7</v>
      </c>
      <c r="DD36" s="8">
        <v>2.1031546282301801E-8</v>
      </c>
      <c r="DE36">
        <v>8.1619346747174805E-4</v>
      </c>
    </row>
    <row r="37" spans="1:109" x14ac:dyDescent="0.3">
      <c r="A37" t="s">
        <v>114</v>
      </c>
      <c r="B37" t="s">
        <v>109</v>
      </c>
      <c r="C37" t="s">
        <v>113</v>
      </c>
      <c r="D37" t="s">
        <v>109</v>
      </c>
      <c r="E37">
        <v>371.18</v>
      </c>
      <c r="F37">
        <v>372.58276354659102</v>
      </c>
      <c r="G37">
        <v>0.99623502833776101</v>
      </c>
      <c r="H37">
        <v>7</v>
      </c>
      <c r="I37">
        <v>3</v>
      </c>
      <c r="J37">
        <v>97.79</v>
      </c>
      <c r="K37">
        <v>4</v>
      </c>
      <c r="L37">
        <v>4</v>
      </c>
      <c r="M37">
        <v>10</v>
      </c>
      <c r="N37">
        <v>7</v>
      </c>
      <c r="O37">
        <v>0</v>
      </c>
      <c r="P37">
        <v>22</v>
      </c>
      <c r="Q37">
        <v>0.18181818181818099</v>
      </c>
      <c r="R37">
        <v>2</v>
      </c>
      <c r="S37">
        <v>0</v>
      </c>
      <c r="T37">
        <v>0.85499999999999998</v>
      </c>
      <c r="U37">
        <v>3.3740000000000001</v>
      </c>
      <c r="V37">
        <v>0.5</v>
      </c>
      <c r="W37">
        <v>84.8</v>
      </c>
      <c r="X37">
        <v>-0.13600000000000001</v>
      </c>
      <c r="Y37" t="s">
        <v>1330</v>
      </c>
      <c r="Z37" t="s">
        <v>1298</v>
      </c>
      <c r="AA37" t="s">
        <v>1298</v>
      </c>
      <c r="AB37" t="s">
        <v>1298</v>
      </c>
      <c r="AC37">
        <v>0</v>
      </c>
      <c r="AD37">
        <v>0</v>
      </c>
      <c r="AE37">
        <v>0</v>
      </c>
      <c r="AF37">
        <v>0</v>
      </c>
      <c r="AG37">
        <v>-2.5712685574921101</v>
      </c>
      <c r="AH37">
        <v>1.5672116036978001</v>
      </c>
      <c r="AI37">
        <v>0.59001718906099998</v>
      </c>
      <c r="AJ37">
        <v>220.813516604504</v>
      </c>
      <c r="AK37">
        <v>316.29472162246299</v>
      </c>
      <c r="AL37">
        <v>5.9006687984812398</v>
      </c>
      <c r="AM37">
        <v>6.4768976298835197</v>
      </c>
      <c r="AN37">
        <v>-5.7465595054476699</v>
      </c>
      <c r="AO37">
        <v>-5.1588654211755003</v>
      </c>
      <c r="AP37">
        <v>0.50328898429870605</v>
      </c>
      <c r="AQ37" s="8">
        <v>3.1650364689994597E-5</v>
      </c>
      <c r="AR37">
        <v>0.56574004888534501</v>
      </c>
      <c r="AS37" s="8">
        <v>2.38418579101562E-7</v>
      </c>
      <c r="AT37" s="8">
        <v>5.8412551879882804E-6</v>
      </c>
      <c r="AU37" s="8">
        <v>1.6689300537109301E-6</v>
      </c>
      <c r="AV37">
        <v>1.4400482177734299E-4</v>
      </c>
      <c r="AW37">
        <v>0.95582151412963801</v>
      </c>
      <c r="AX37">
        <v>0.91631865501403797</v>
      </c>
      <c r="AY37" s="8">
        <v>6.9341808739409295E-7</v>
      </c>
      <c r="AZ37">
        <v>6.8202227354049599E-2</v>
      </c>
      <c r="BA37">
        <v>1.17659525130875E-4</v>
      </c>
      <c r="BB37">
        <v>0.99256610870361295</v>
      </c>
      <c r="BC37">
        <v>21.102925815864999</v>
      </c>
      <c r="BD37">
        <v>0.27076175867589403</v>
      </c>
      <c r="BE37">
        <v>71.090677352837403</v>
      </c>
      <c r="BF37" s="8">
        <v>1.14249738558669E-8</v>
      </c>
      <c r="BG37">
        <v>1.0944640263915E-2</v>
      </c>
      <c r="BH37" s="8">
        <v>2.15585664875561E-8</v>
      </c>
      <c r="BI37" s="8">
        <v>2.7648338800645399E-5</v>
      </c>
      <c r="BJ37" s="8">
        <v>2.0616293117114901E-9</v>
      </c>
      <c r="BK37" s="8">
        <v>1.1451267885320601E-11</v>
      </c>
      <c r="BL37" s="8">
        <v>1.39420774303289E-6</v>
      </c>
      <c r="BM37" s="8">
        <v>9.0743975533769096E-7</v>
      </c>
      <c r="BN37" s="8">
        <v>2.4804107212616999E-8</v>
      </c>
      <c r="BO37">
        <v>7.5523613486438903E-4</v>
      </c>
      <c r="BP37" s="8">
        <v>3.3756019547581598E-5</v>
      </c>
      <c r="BQ37" s="8">
        <v>2.1429418239904399E-9</v>
      </c>
      <c r="BR37" s="8">
        <v>2.2119220375316201E-6</v>
      </c>
      <c r="BS37" s="8">
        <v>2.6552285370406899E-10</v>
      </c>
      <c r="BT37">
        <v>3.0285131103973102</v>
      </c>
      <c r="BU37">
        <v>1.7116137468878001</v>
      </c>
      <c r="BV37">
        <v>0.44366384537726899</v>
      </c>
      <c r="BW37">
        <v>3.3404108211164099</v>
      </c>
      <c r="BX37">
        <v>4.7601464615823099</v>
      </c>
      <c r="BY37">
        <v>3.9910461418373799</v>
      </c>
      <c r="BZ37">
        <v>0.46145421266555697</v>
      </c>
      <c r="CA37">
        <v>0.14015530049800801</v>
      </c>
      <c r="CB37">
        <v>0.97714978456497104</v>
      </c>
      <c r="CC37">
        <v>0.49840560555458002</v>
      </c>
      <c r="CD37">
        <v>0.61977171897888095</v>
      </c>
      <c r="CE37">
        <v>0.89494913816452004</v>
      </c>
      <c r="CF37">
        <v>0.76143103837966897</v>
      </c>
      <c r="CG37">
        <v>0.28665354847907998</v>
      </c>
      <c r="CH37" s="8">
        <v>7.7789023634977598E-5</v>
      </c>
      <c r="CI37">
        <v>2.86795627325773E-2</v>
      </c>
      <c r="CJ37">
        <v>0.97319293022155695</v>
      </c>
      <c r="CK37">
        <v>0.96135258674621504</v>
      </c>
      <c r="CL37">
        <v>0.99183636903762795</v>
      </c>
      <c r="CM37">
        <v>0.96536856889724698</v>
      </c>
      <c r="CN37">
        <v>0.56182360649108798</v>
      </c>
      <c r="CO37">
        <v>0.996928870677948</v>
      </c>
      <c r="CP37">
        <v>0.89462989568710305</v>
      </c>
      <c r="CQ37">
        <v>0.22099752724170599</v>
      </c>
      <c r="CR37">
        <v>0.295193672180175</v>
      </c>
      <c r="CS37">
        <v>0.15375150740146601</v>
      </c>
      <c r="CT37">
        <v>0.19449160993099199</v>
      </c>
      <c r="CU37">
        <v>0.86277377605438199</v>
      </c>
      <c r="CV37">
        <v>0.119228065013885</v>
      </c>
      <c r="CW37">
        <v>0.204344436526298</v>
      </c>
      <c r="CX37">
        <v>0.65368872880935602</v>
      </c>
      <c r="CY37">
        <v>2.3910757154226299E-3</v>
      </c>
      <c r="CZ37">
        <v>0.25236108899116499</v>
      </c>
      <c r="DA37">
        <v>0.79989326000213601</v>
      </c>
      <c r="DB37">
        <v>1.4272914268076401E-2</v>
      </c>
      <c r="DC37">
        <v>7.6746069826185703E-3</v>
      </c>
      <c r="DD37">
        <v>2.57163662463426E-2</v>
      </c>
      <c r="DE37">
        <v>1.91900366917252E-3</v>
      </c>
    </row>
    <row r="38" spans="1:109" x14ac:dyDescent="0.3">
      <c r="A38" t="s">
        <v>237</v>
      </c>
      <c r="B38" t="s">
        <v>232</v>
      </c>
      <c r="C38" t="s">
        <v>236</v>
      </c>
      <c r="D38" t="s">
        <v>232</v>
      </c>
      <c r="E38">
        <v>495.16</v>
      </c>
      <c r="F38">
        <v>450.60118750323198</v>
      </c>
      <c r="G38">
        <v>1.09888747240917</v>
      </c>
      <c r="H38">
        <v>15</v>
      </c>
      <c r="I38">
        <v>9</v>
      </c>
      <c r="J38">
        <v>250.32</v>
      </c>
      <c r="K38">
        <v>9</v>
      </c>
      <c r="L38">
        <v>3</v>
      </c>
      <c r="M38">
        <v>6</v>
      </c>
      <c r="N38">
        <v>15</v>
      </c>
      <c r="O38">
        <v>0</v>
      </c>
      <c r="P38">
        <v>21</v>
      </c>
      <c r="Q38">
        <v>0.42857142857142799</v>
      </c>
      <c r="R38">
        <v>8</v>
      </c>
      <c r="S38">
        <v>1</v>
      </c>
      <c r="T38">
        <v>0.17799999999999999</v>
      </c>
      <c r="U38">
        <v>4.7249999999999996</v>
      </c>
      <c r="V38">
        <v>0.45</v>
      </c>
      <c r="W38">
        <v>78.620999999999995</v>
      </c>
      <c r="X38">
        <v>1.1100000000000001</v>
      </c>
      <c r="Y38" t="s">
        <v>1331</v>
      </c>
      <c r="Z38" t="s">
        <v>1298</v>
      </c>
      <c r="AA38" t="s">
        <v>1298</v>
      </c>
      <c r="AB38" t="s">
        <v>1298</v>
      </c>
      <c r="AC38">
        <v>1</v>
      </c>
      <c r="AD38">
        <v>0</v>
      </c>
      <c r="AE38">
        <v>1</v>
      </c>
      <c r="AF38">
        <v>0</v>
      </c>
      <c r="AG38">
        <v>-0.64778058335509403</v>
      </c>
      <c r="AH38">
        <v>-0.50956257609793798</v>
      </c>
      <c r="AI38">
        <v>-1.90180511913281</v>
      </c>
      <c r="AJ38">
        <v>234.08799510635001</v>
      </c>
      <c r="AK38">
        <v>346.34252366763099</v>
      </c>
      <c r="AL38">
        <v>4.6377919272583803</v>
      </c>
      <c r="AM38">
        <v>3.6246707633862099</v>
      </c>
      <c r="AN38">
        <v>-5.9992298468378698</v>
      </c>
      <c r="AO38">
        <v>-5.6720150942814502</v>
      </c>
      <c r="AP38">
        <v>0.99993753433227495</v>
      </c>
      <c r="AQ38" s="8">
        <v>6.47949205401232E-9</v>
      </c>
      <c r="AR38">
        <v>9.8529262468218803E-3</v>
      </c>
      <c r="AS38">
        <v>3.0138194561004601E-2</v>
      </c>
      <c r="AT38">
        <v>0.160411417484283</v>
      </c>
      <c r="AU38">
        <v>0.78416635096073095</v>
      </c>
      <c r="AV38">
        <v>0.96582161262631405</v>
      </c>
      <c r="AW38">
        <v>0.99353927373886097</v>
      </c>
      <c r="AX38">
        <v>0.99999141693115201</v>
      </c>
      <c r="AY38" s="8">
        <v>3.1441526516573497E-5</v>
      </c>
      <c r="AZ38" s="8">
        <v>9.0639230620581602E-5</v>
      </c>
      <c r="BA38" s="8">
        <v>5.1543760491767898E-5</v>
      </c>
      <c r="BB38">
        <v>0.163710981607437</v>
      </c>
      <c r="BC38">
        <v>34.918717996562201</v>
      </c>
      <c r="BD38">
        <v>-0.56486218478225703</v>
      </c>
      <c r="BE38">
        <v>61.357865264072501</v>
      </c>
      <c r="BF38" s="8">
        <v>3.6950865002320598E-13</v>
      </c>
      <c r="BG38" s="8">
        <v>1.0295041263930199E-8</v>
      </c>
      <c r="BH38" s="8">
        <v>1.2854860642619299E-7</v>
      </c>
      <c r="BI38">
        <v>5.1107727922499102E-3</v>
      </c>
      <c r="BJ38" s="8">
        <v>2.11359207913375E-10</v>
      </c>
      <c r="BK38">
        <v>1.37598800938576E-3</v>
      </c>
      <c r="BL38" s="8">
        <v>4.879557174986E-11</v>
      </c>
      <c r="BM38">
        <v>3.4394487738609301E-3</v>
      </c>
      <c r="BN38" s="8">
        <v>2.3803232718222398E-9</v>
      </c>
      <c r="BO38" s="8">
        <v>8.1438938650535403E-6</v>
      </c>
      <c r="BP38" s="8">
        <v>5.9961829945720503E-10</v>
      </c>
      <c r="BQ38" s="8">
        <v>9.7838284443418701E-23</v>
      </c>
      <c r="BR38" s="8">
        <v>4.8423860476987102E-8</v>
      </c>
      <c r="BS38">
        <v>4.1395016014575898E-3</v>
      </c>
      <c r="BT38">
        <v>1.9365097381096199</v>
      </c>
      <c r="BU38">
        <v>2.2833534634978898</v>
      </c>
      <c r="BV38">
        <v>0.10716412036408</v>
      </c>
      <c r="BW38">
        <v>2.41406313105167</v>
      </c>
      <c r="BX38">
        <v>4.1401012952292797</v>
      </c>
      <c r="BY38">
        <v>3.0439996215834801</v>
      </c>
      <c r="BZ38">
        <v>4.3068779632449098E-3</v>
      </c>
      <c r="CA38">
        <v>8.8163251057267102E-3</v>
      </c>
      <c r="CB38">
        <v>0.98147165775298995</v>
      </c>
      <c r="CC38">
        <v>0.44562020897865201</v>
      </c>
      <c r="CD38">
        <v>3.9545625448226901E-2</v>
      </c>
      <c r="CE38">
        <v>7.7034654095768903E-3</v>
      </c>
      <c r="CF38">
        <v>0.946982741355896</v>
      </c>
      <c r="CG38">
        <v>6.1181064695119802E-2</v>
      </c>
      <c r="CH38" s="8">
        <v>1.31234753553144E-6</v>
      </c>
      <c r="CI38">
        <v>0.103504464030265</v>
      </c>
      <c r="CJ38">
        <v>4.4900346547365098E-2</v>
      </c>
      <c r="CK38">
        <v>0.81509047746658303</v>
      </c>
      <c r="CL38">
        <v>0.624897241592407</v>
      </c>
      <c r="CM38">
        <v>0.95706403255462602</v>
      </c>
      <c r="CN38">
        <v>0.455631494522094</v>
      </c>
      <c r="CO38">
        <v>0.96406012773513705</v>
      </c>
      <c r="CP38">
        <v>0.99999988079071001</v>
      </c>
      <c r="CQ38">
        <v>3.0635036528110501E-2</v>
      </c>
      <c r="CR38">
        <v>8.4096249192953092E-3</v>
      </c>
      <c r="CS38">
        <v>1.9314780831336899E-2</v>
      </c>
      <c r="CT38" s="8">
        <v>2.7260979550192099E-5</v>
      </c>
      <c r="CU38" s="8">
        <v>2.4553426555939899E-5</v>
      </c>
      <c r="CV38">
        <v>1.0675280354917E-3</v>
      </c>
      <c r="CW38" s="8">
        <v>1.8128998817701299E-6</v>
      </c>
      <c r="CX38">
        <v>0.197260111570358</v>
      </c>
      <c r="CY38">
        <v>7.8152753412723507E-3</v>
      </c>
      <c r="CZ38" s="8">
        <v>1.2919281289214201E-5</v>
      </c>
      <c r="DA38">
        <v>0.26917004585266102</v>
      </c>
      <c r="DB38">
        <v>0.94020259380340498</v>
      </c>
      <c r="DC38">
        <v>5.4936236701905701E-3</v>
      </c>
      <c r="DD38" s="8">
        <v>1.18170546556939E-5</v>
      </c>
      <c r="DE38">
        <v>0.95083200931548995</v>
      </c>
    </row>
    <row r="39" spans="1:109" x14ac:dyDescent="0.3">
      <c r="A39" t="s">
        <v>491</v>
      </c>
      <c r="B39" t="s">
        <v>489</v>
      </c>
      <c r="C39" t="s">
        <v>490</v>
      </c>
      <c r="D39" t="s">
        <v>489</v>
      </c>
      <c r="E39">
        <v>312.2</v>
      </c>
      <c r="F39">
        <v>325.98081573989299</v>
      </c>
      <c r="G39">
        <v>0.95772507130944395</v>
      </c>
      <c r="H39">
        <v>6</v>
      </c>
      <c r="I39">
        <v>3</v>
      </c>
      <c r="J39">
        <v>90.65</v>
      </c>
      <c r="K39">
        <v>9</v>
      </c>
      <c r="L39">
        <v>1</v>
      </c>
      <c r="M39">
        <v>6</v>
      </c>
      <c r="N39">
        <v>6</v>
      </c>
      <c r="O39">
        <v>0</v>
      </c>
      <c r="P39">
        <v>8</v>
      </c>
      <c r="Q39">
        <v>1.125</v>
      </c>
      <c r="R39">
        <v>3</v>
      </c>
      <c r="S39">
        <v>1</v>
      </c>
      <c r="T39">
        <v>0.69099999999999995</v>
      </c>
      <c r="U39">
        <v>3.758</v>
      </c>
      <c r="V39">
        <v>0.75</v>
      </c>
      <c r="W39">
        <v>22.856999999999999</v>
      </c>
      <c r="X39">
        <v>1.0189999999999999</v>
      </c>
      <c r="Y39" t="s">
        <v>1332</v>
      </c>
      <c r="Z39" t="s">
        <v>1298</v>
      </c>
      <c r="AA39" t="s">
        <v>1298</v>
      </c>
      <c r="AB39" t="s">
        <v>1298</v>
      </c>
      <c r="AC39">
        <v>0</v>
      </c>
      <c r="AD39">
        <v>0</v>
      </c>
      <c r="AE39">
        <v>0</v>
      </c>
      <c r="AF39">
        <v>0</v>
      </c>
      <c r="AG39">
        <v>-1.36957554143108</v>
      </c>
      <c r="AH39">
        <v>1.0233516470280599</v>
      </c>
      <c r="AI39">
        <v>1.1181843167102801</v>
      </c>
      <c r="AJ39">
        <v>85.665616016996793</v>
      </c>
      <c r="AK39">
        <v>277.57779246784298</v>
      </c>
      <c r="AL39">
        <v>10.5153189035225</v>
      </c>
      <c r="AM39">
        <v>6.8419534328929199</v>
      </c>
      <c r="AN39">
        <v>-5.4659009671594303</v>
      </c>
      <c r="AO39">
        <v>-4.8158728237065898</v>
      </c>
      <c r="AP39">
        <v>0.60437268018722501</v>
      </c>
      <c r="AQ39">
        <v>5.8067806065082501E-2</v>
      </c>
      <c r="AR39">
        <v>0.85285407304763705</v>
      </c>
      <c r="AS39">
        <v>3.2737255096435499E-3</v>
      </c>
      <c r="AT39">
        <v>0.24551212787628099</v>
      </c>
      <c r="AU39">
        <v>0.57870092988014199</v>
      </c>
      <c r="AV39">
        <v>0.67663297057151695</v>
      </c>
      <c r="AW39">
        <v>6.9422356784343706E-2</v>
      </c>
      <c r="AX39">
        <v>0.50766211748123102</v>
      </c>
      <c r="AY39">
        <v>3.60792013816535E-3</v>
      </c>
      <c r="AZ39">
        <v>0.78895503282546997</v>
      </c>
      <c r="BA39">
        <v>3.2760098576545701E-2</v>
      </c>
      <c r="BB39">
        <v>0.946549892425537</v>
      </c>
      <c r="BC39">
        <v>21.684524813527801</v>
      </c>
      <c r="BD39">
        <v>5.0222868010394398E-2</v>
      </c>
      <c r="BE39">
        <v>77.693274887002204</v>
      </c>
      <c r="BF39">
        <v>1.0510600404813799E-3</v>
      </c>
      <c r="BG39" s="8">
        <v>1.43684246722841E-6</v>
      </c>
      <c r="BH39">
        <v>5.6637017987668497E-3</v>
      </c>
      <c r="BI39">
        <v>3.03405337035655E-2</v>
      </c>
      <c r="BJ39" s="8">
        <v>9.2658679932355799E-5</v>
      </c>
      <c r="BK39">
        <v>1.68126280186697E-4</v>
      </c>
      <c r="BL39">
        <v>1.3487744145095301E-3</v>
      </c>
      <c r="BM39" s="8">
        <v>9.0031069703400094E-5</v>
      </c>
      <c r="BN39">
        <v>3.2775125000625801E-3</v>
      </c>
      <c r="BO39">
        <v>5.8427583426237099E-2</v>
      </c>
      <c r="BP39">
        <v>0.61649239063262895</v>
      </c>
      <c r="BQ39" s="8">
        <v>2.3891705495771E-5</v>
      </c>
      <c r="BR39">
        <v>0.20005506277084301</v>
      </c>
      <c r="BS39">
        <v>0.24641032516956299</v>
      </c>
      <c r="BT39">
        <v>6.4254796798653899</v>
      </c>
      <c r="BU39">
        <v>1.0260941310591001</v>
      </c>
      <c r="BV39">
        <v>0.48284424128116199</v>
      </c>
      <c r="BW39">
        <v>3.1177877414945701</v>
      </c>
      <c r="BX39">
        <v>4.38942697568414</v>
      </c>
      <c r="BY39">
        <v>3.8663664943782599</v>
      </c>
      <c r="BZ39">
        <v>0.23216985166072801</v>
      </c>
      <c r="CA39">
        <v>0.52472925186157204</v>
      </c>
      <c r="CB39">
        <v>0.81416767835616999</v>
      </c>
      <c r="CC39">
        <v>0.23446539044380099</v>
      </c>
      <c r="CD39">
        <v>0.23472779989242501</v>
      </c>
      <c r="CE39">
        <v>0.67118608951568604</v>
      </c>
      <c r="CF39">
        <v>0.89324748516082697</v>
      </c>
      <c r="CG39">
        <v>0.30288299918174699</v>
      </c>
      <c r="CH39">
        <v>9.3990535242482998E-4</v>
      </c>
      <c r="CI39">
        <v>9.9490545690059606E-2</v>
      </c>
      <c r="CJ39">
        <v>0.72277957201003995</v>
      </c>
      <c r="CK39">
        <v>0.59774476289749101</v>
      </c>
      <c r="CL39">
        <v>0.67827051877975397</v>
      </c>
      <c r="CM39">
        <v>0.68227267265319802</v>
      </c>
      <c r="CN39">
        <v>0.117528699338436</v>
      </c>
      <c r="CO39">
        <v>0.35968217253684998</v>
      </c>
      <c r="CP39">
        <v>0.83726847171783403</v>
      </c>
      <c r="CQ39">
        <v>0.156469136476516</v>
      </c>
      <c r="CR39">
        <v>0.16639320552348999</v>
      </c>
      <c r="CS39">
        <v>0.27728071808815002</v>
      </c>
      <c r="CT39">
        <v>4.1366582736372904E-3</v>
      </c>
      <c r="CU39">
        <v>1.48201477713882E-4</v>
      </c>
      <c r="CV39">
        <v>1.1377337796147901E-4</v>
      </c>
      <c r="CW39">
        <v>7.4471771949902101E-4</v>
      </c>
      <c r="CX39">
        <v>0.48159435391425998</v>
      </c>
      <c r="CY39">
        <v>1.2252201559022E-3</v>
      </c>
      <c r="CZ39" s="8">
        <v>5.2511672947730403E-6</v>
      </c>
      <c r="DA39">
        <v>6.2470138072967502E-2</v>
      </c>
      <c r="DB39" s="8">
        <v>1.8487389752408401E-5</v>
      </c>
      <c r="DC39" s="8">
        <v>4.33815039286855E-5</v>
      </c>
      <c r="DD39">
        <v>2.9294923879206098E-3</v>
      </c>
      <c r="DE39">
        <v>1.84080458711832E-3</v>
      </c>
    </row>
    <row r="40" spans="1:109" x14ac:dyDescent="0.3">
      <c r="A40" t="s">
        <v>487</v>
      </c>
      <c r="B40" t="s">
        <v>482</v>
      </c>
      <c r="C40" t="s">
        <v>486</v>
      </c>
      <c r="D40" t="s">
        <v>482</v>
      </c>
      <c r="E40">
        <v>284.17</v>
      </c>
      <c r="F40">
        <v>291.38884529217802</v>
      </c>
      <c r="G40">
        <v>0.97522607536695405</v>
      </c>
      <c r="H40">
        <v>6</v>
      </c>
      <c r="I40">
        <v>4</v>
      </c>
      <c r="J40">
        <v>101.65</v>
      </c>
      <c r="K40">
        <v>7</v>
      </c>
      <c r="L40">
        <v>1</v>
      </c>
      <c r="M40">
        <v>6</v>
      </c>
      <c r="N40">
        <v>6</v>
      </c>
      <c r="O40">
        <v>0</v>
      </c>
      <c r="P40">
        <v>8</v>
      </c>
      <c r="Q40">
        <v>0.875</v>
      </c>
      <c r="R40">
        <v>3</v>
      </c>
      <c r="S40">
        <v>1</v>
      </c>
      <c r="T40">
        <v>0.67</v>
      </c>
      <c r="U40">
        <v>3.84</v>
      </c>
      <c r="V40">
        <v>0.71399999999999997</v>
      </c>
      <c r="W40">
        <v>23.332999999999998</v>
      </c>
      <c r="X40">
        <v>1.431</v>
      </c>
      <c r="Y40" t="s">
        <v>1298</v>
      </c>
      <c r="Z40" t="s">
        <v>1298</v>
      </c>
      <c r="AA40" t="s">
        <v>1298</v>
      </c>
      <c r="AB40" t="s">
        <v>1298</v>
      </c>
      <c r="AC40">
        <v>0</v>
      </c>
      <c r="AD40">
        <v>0</v>
      </c>
      <c r="AE40">
        <v>0</v>
      </c>
      <c r="AF40">
        <v>0</v>
      </c>
      <c r="AG40">
        <v>-1.22940228005629</v>
      </c>
      <c r="AH40">
        <v>0.184739800619933</v>
      </c>
      <c r="AI40">
        <v>-0.41662090672410801</v>
      </c>
      <c r="AJ40">
        <v>201.68618944415601</v>
      </c>
      <c r="AK40">
        <v>278.70820360037601</v>
      </c>
      <c r="AL40">
        <v>7.0723525391263298</v>
      </c>
      <c r="AM40">
        <v>5.9754744309425698</v>
      </c>
      <c r="AN40">
        <v>-5.8798186831964703</v>
      </c>
      <c r="AO40">
        <v>-5.2355835593445796</v>
      </c>
      <c r="AP40">
        <v>0.96280819177627497</v>
      </c>
      <c r="AQ40">
        <v>2.8730294434353698E-4</v>
      </c>
      <c r="AR40">
        <v>0.94976288080215399</v>
      </c>
      <c r="AS40">
        <v>6.14434480667114E-3</v>
      </c>
      <c r="AT40">
        <v>1.21917128562927E-2</v>
      </c>
      <c r="AU40">
        <v>2.2772908210754301E-2</v>
      </c>
      <c r="AV40">
        <v>0.286211967468261</v>
      </c>
      <c r="AW40">
        <v>1.6528129577636701E-2</v>
      </c>
      <c r="AX40">
        <v>3.4850288182496997E-2</v>
      </c>
      <c r="AY40">
        <v>2.1911860676482301E-4</v>
      </c>
      <c r="AZ40">
        <v>2.37323325127363E-2</v>
      </c>
      <c r="BA40">
        <v>2.3740339383948499E-4</v>
      </c>
      <c r="BB40">
        <v>0.964183568954467</v>
      </c>
      <c r="BC40">
        <v>11.161758177778999</v>
      </c>
      <c r="BD40">
        <v>-0.48185248829492699</v>
      </c>
      <c r="BE40">
        <v>89.714213082043599</v>
      </c>
      <c r="BF40" s="8">
        <v>1.7867160977402799E-6</v>
      </c>
      <c r="BG40" s="8">
        <v>1.4330901649373099E-5</v>
      </c>
      <c r="BH40" s="8">
        <v>1.4612949598813401E-5</v>
      </c>
      <c r="BI40">
        <v>4.2120691388845402E-2</v>
      </c>
      <c r="BJ40" s="8">
        <v>1.17068948384257E-5</v>
      </c>
      <c r="BK40">
        <v>1.4737478923052499E-3</v>
      </c>
      <c r="BL40" s="8">
        <v>5.3095631301402998E-5</v>
      </c>
      <c r="BM40">
        <v>2.7481312281452098E-4</v>
      </c>
      <c r="BN40">
        <v>9.5957046141847903E-4</v>
      </c>
      <c r="BO40">
        <v>4.38662692904472E-2</v>
      </c>
      <c r="BP40">
        <v>0.212706834077835</v>
      </c>
      <c r="BQ40" s="8">
        <v>2.6744338299522401E-8</v>
      </c>
      <c r="BR40">
        <v>8.3421664312481793E-3</v>
      </c>
      <c r="BS40">
        <v>2.2230104077607298E-3</v>
      </c>
      <c r="BT40">
        <v>4.1807982235219301</v>
      </c>
      <c r="BU40">
        <v>1.39703974235863</v>
      </c>
      <c r="BV40">
        <v>7.9825838145489006E-2</v>
      </c>
      <c r="BW40">
        <v>2.7890023083103199</v>
      </c>
      <c r="BX40">
        <v>3.9611498547044701</v>
      </c>
      <c r="BY40">
        <v>3.2775386459411702</v>
      </c>
      <c r="BZ40">
        <v>3.0855670571327199E-2</v>
      </c>
      <c r="CA40">
        <v>0.12656220793723999</v>
      </c>
      <c r="CB40">
        <v>0.93084329366683904</v>
      </c>
      <c r="CC40">
        <v>0.35493856668472201</v>
      </c>
      <c r="CD40">
        <v>0.25122439861297602</v>
      </c>
      <c r="CE40">
        <v>0.50982999801635698</v>
      </c>
      <c r="CF40">
        <v>0.74638569355010898</v>
      </c>
      <c r="CG40">
        <v>0.22518214583396901</v>
      </c>
      <c r="CH40">
        <v>4.9443645402789099E-3</v>
      </c>
      <c r="CI40">
        <v>0.37224677205085699</v>
      </c>
      <c r="CJ40">
        <v>0.80239152908325195</v>
      </c>
      <c r="CK40">
        <v>0.77436542510986295</v>
      </c>
      <c r="CL40">
        <v>0.49661752581596302</v>
      </c>
      <c r="CM40">
        <v>0.87446492910385099</v>
      </c>
      <c r="CN40">
        <v>0.66130399703979403</v>
      </c>
      <c r="CO40">
        <v>0.64893049001693703</v>
      </c>
      <c r="CP40">
        <v>0.92532736063003496</v>
      </c>
      <c r="CQ40">
        <v>7.7582061290740897E-2</v>
      </c>
      <c r="CR40">
        <v>4.2274076491594301E-2</v>
      </c>
      <c r="CS40">
        <v>3.7160288542509003E-2</v>
      </c>
      <c r="CT40">
        <v>2.45365244336426E-3</v>
      </c>
      <c r="CU40">
        <v>2.3725146893411801E-3</v>
      </c>
      <c r="CV40" s="8">
        <v>7.9335477494169E-5</v>
      </c>
      <c r="CW40" s="8">
        <v>9.5528070232830901E-5</v>
      </c>
      <c r="CX40">
        <v>0.59059786796569802</v>
      </c>
      <c r="CY40">
        <v>1.02019612677395E-3</v>
      </c>
      <c r="CZ40">
        <v>2.2989303397480301E-4</v>
      </c>
      <c r="DA40">
        <v>0.124428957700729</v>
      </c>
      <c r="DB40">
        <v>2.5076183374039802E-4</v>
      </c>
      <c r="DC40">
        <v>1.4795325114391701E-4</v>
      </c>
      <c r="DD40">
        <v>8.70593008585274E-4</v>
      </c>
      <c r="DE40">
        <v>1.8882496515288899E-3</v>
      </c>
    </row>
    <row r="41" spans="1:109" x14ac:dyDescent="0.3">
      <c r="A41" t="s">
        <v>340</v>
      </c>
      <c r="B41" t="s">
        <v>335</v>
      </c>
      <c r="C41" t="s">
        <v>339</v>
      </c>
      <c r="D41" t="s">
        <v>335</v>
      </c>
      <c r="E41">
        <v>700.33</v>
      </c>
      <c r="F41">
        <v>689.60884377096204</v>
      </c>
      <c r="G41">
        <v>1.0155467209069</v>
      </c>
      <c r="H41">
        <v>12</v>
      </c>
      <c r="I41">
        <v>1</v>
      </c>
      <c r="J41">
        <v>115.7</v>
      </c>
      <c r="K41">
        <v>12</v>
      </c>
      <c r="L41">
        <v>7</v>
      </c>
      <c r="M41">
        <v>6</v>
      </c>
      <c r="N41">
        <v>14</v>
      </c>
      <c r="O41">
        <v>0</v>
      </c>
      <c r="P41">
        <v>40</v>
      </c>
      <c r="Q41">
        <v>0.3</v>
      </c>
      <c r="R41">
        <v>4</v>
      </c>
      <c r="S41">
        <v>0</v>
      </c>
      <c r="T41">
        <v>0.2</v>
      </c>
      <c r="U41">
        <v>4.4509999999999996</v>
      </c>
      <c r="V41">
        <v>0.40500000000000003</v>
      </c>
      <c r="W41">
        <v>132.30799999999999</v>
      </c>
      <c r="X41">
        <v>-0.61599999999999999</v>
      </c>
      <c r="Y41" t="s">
        <v>1333</v>
      </c>
      <c r="Z41" t="s">
        <v>1298</v>
      </c>
      <c r="AA41" t="s">
        <v>1298</v>
      </c>
      <c r="AB41" t="s">
        <v>1334</v>
      </c>
      <c r="AC41">
        <v>1</v>
      </c>
      <c r="AD41">
        <v>0</v>
      </c>
      <c r="AE41">
        <v>1</v>
      </c>
      <c r="AF41">
        <v>1</v>
      </c>
      <c r="AG41">
        <v>-5.1600392429925899</v>
      </c>
      <c r="AH41">
        <v>3.3591148168743299</v>
      </c>
      <c r="AI41">
        <v>3.86151309187583</v>
      </c>
      <c r="AJ41">
        <v>129.09661110464401</v>
      </c>
      <c r="AK41">
        <v>332.25125468236399</v>
      </c>
      <c r="AL41">
        <v>9.22200862165373</v>
      </c>
      <c r="AM41">
        <v>5.4174309402580096</v>
      </c>
      <c r="AN41">
        <v>-5.2134027818205304</v>
      </c>
      <c r="AO41">
        <v>-5.1179407304387503</v>
      </c>
      <c r="AP41" s="8">
        <v>8.3568927948363098E-5</v>
      </c>
      <c r="AQ41">
        <v>0.99778276681900002</v>
      </c>
      <c r="AR41">
        <v>0.99102586507797197</v>
      </c>
      <c r="AS41">
        <v>0</v>
      </c>
      <c r="AT41">
        <v>4.6944618225097602E-4</v>
      </c>
      <c r="AU41">
        <v>1.8042325973510699E-4</v>
      </c>
      <c r="AV41" s="8">
        <v>2.86102294921875E-6</v>
      </c>
      <c r="AW41">
        <v>0.62002497911453203</v>
      </c>
      <c r="AX41">
        <v>8.7655405513942198E-4</v>
      </c>
      <c r="AY41">
        <v>0.61929750442504805</v>
      </c>
      <c r="AZ41">
        <v>0.99999988079071001</v>
      </c>
      <c r="BA41" s="8">
        <v>1.3768450912721101E-7</v>
      </c>
      <c r="BB41">
        <v>0.98489886522293002</v>
      </c>
      <c r="BC41">
        <v>96.167061412501994</v>
      </c>
      <c r="BD41">
        <v>2.7688629984629402E-2</v>
      </c>
      <c r="BE41">
        <v>3.2831011467130802</v>
      </c>
      <c r="BF41" s="8">
        <v>2.4435811447204299E-12</v>
      </c>
      <c r="BG41">
        <v>1.46198943257331E-2</v>
      </c>
      <c r="BH41" s="8">
        <v>7.5030368407169505E-7</v>
      </c>
      <c r="BI41" s="8">
        <v>1.5703092038493699E-12</v>
      </c>
      <c r="BJ41" s="8">
        <v>1.29731688502943E-6</v>
      </c>
      <c r="BK41" s="8">
        <v>2.9763077581939401E-14</v>
      </c>
      <c r="BL41" s="8">
        <v>5.2955979878976901E-11</v>
      </c>
      <c r="BM41" s="8">
        <v>3.3380538866367699E-7</v>
      </c>
      <c r="BN41">
        <v>0.99558484554290705</v>
      </c>
      <c r="BO41">
        <v>1</v>
      </c>
      <c r="BP41">
        <v>1</v>
      </c>
      <c r="BQ41" s="8">
        <v>9.0533178053430196E-25</v>
      </c>
      <c r="BR41" s="8">
        <v>2.5679642021714202E-6</v>
      </c>
      <c r="BS41">
        <v>0.70418119430541903</v>
      </c>
      <c r="BT41">
        <v>5.2944650183221702</v>
      </c>
      <c r="BU41">
        <v>0.42885317032314901</v>
      </c>
      <c r="BV41">
        <v>1.7273282989854399</v>
      </c>
      <c r="BW41">
        <v>3.7562312098046</v>
      </c>
      <c r="BX41">
        <v>5.0294809443027102</v>
      </c>
      <c r="BY41">
        <v>4.5655548998840798</v>
      </c>
      <c r="BZ41">
        <v>0.9775031208992</v>
      </c>
      <c r="CA41">
        <v>0.67570704221725397</v>
      </c>
      <c r="CB41">
        <v>0.99771761894225997</v>
      </c>
      <c r="CC41">
        <v>0.92921537160873402</v>
      </c>
      <c r="CD41">
        <v>0.97337937355041504</v>
      </c>
      <c r="CE41">
        <v>0.83526301383972101</v>
      </c>
      <c r="CF41">
        <v>5.1337171345949097E-2</v>
      </c>
      <c r="CG41">
        <v>0.87377220392227095</v>
      </c>
      <c r="CH41" s="8">
        <v>4.1975806270872899E-17</v>
      </c>
      <c r="CI41" s="8">
        <v>3.8276559166661099E-7</v>
      </c>
      <c r="CJ41">
        <v>0.65268540382385198</v>
      </c>
      <c r="CK41">
        <v>0.99703252315521196</v>
      </c>
      <c r="CL41">
        <v>0.99979060888290405</v>
      </c>
      <c r="CM41">
        <v>0.99664527177810602</v>
      </c>
      <c r="CN41">
        <v>0.69501239061355502</v>
      </c>
      <c r="CO41">
        <v>0.999833464622497</v>
      </c>
      <c r="CP41">
        <v>1</v>
      </c>
      <c r="CQ41">
        <v>0.70862549543380704</v>
      </c>
      <c r="CR41">
        <v>0.98929697275161699</v>
      </c>
      <c r="CS41">
        <v>0.99558001756668002</v>
      </c>
      <c r="CT41">
        <v>4.1043376550078297E-3</v>
      </c>
      <c r="CU41">
        <v>4.0403623133897703E-3</v>
      </c>
      <c r="CV41" s="8">
        <v>1.13970870074808E-7</v>
      </c>
      <c r="CW41">
        <v>2.7243439108133299E-3</v>
      </c>
      <c r="CX41">
        <v>0.23159965872764501</v>
      </c>
      <c r="CY41">
        <v>7.0119241718202797E-4</v>
      </c>
      <c r="CZ41" s="8">
        <v>3.9017729136503402E-7</v>
      </c>
      <c r="DA41">
        <v>0.77353101968765203</v>
      </c>
      <c r="DB41" s="8">
        <v>6.9209481807774796E-6</v>
      </c>
      <c r="DC41" s="8">
        <v>8.87818441697163E-6</v>
      </c>
      <c r="DD41">
        <v>2.0856803748756599E-3</v>
      </c>
      <c r="DE41" s="8">
        <v>1.0081746040668801E-5</v>
      </c>
    </row>
    <row r="42" spans="1:109" x14ac:dyDescent="0.3">
      <c r="A42" t="s">
        <v>415</v>
      </c>
      <c r="B42" t="s">
        <v>412</v>
      </c>
      <c r="C42" t="s">
        <v>414</v>
      </c>
      <c r="D42" t="s">
        <v>412</v>
      </c>
      <c r="E42">
        <v>359.07</v>
      </c>
      <c r="F42">
        <v>304.356214964103</v>
      </c>
      <c r="G42">
        <v>1.1797689100659501</v>
      </c>
      <c r="H42">
        <v>8</v>
      </c>
      <c r="I42">
        <v>0</v>
      </c>
      <c r="J42">
        <v>88.65</v>
      </c>
      <c r="K42">
        <v>6</v>
      </c>
      <c r="L42">
        <v>3</v>
      </c>
      <c r="M42">
        <v>9</v>
      </c>
      <c r="N42">
        <v>11</v>
      </c>
      <c r="O42">
        <v>0</v>
      </c>
      <c r="P42">
        <v>17</v>
      </c>
      <c r="Q42">
        <v>0.35294117647058798</v>
      </c>
      <c r="R42">
        <v>1</v>
      </c>
      <c r="S42">
        <v>0</v>
      </c>
      <c r="T42">
        <v>0.60199999999999998</v>
      </c>
      <c r="U42">
        <v>3.2450000000000001</v>
      </c>
      <c r="V42">
        <v>0.35699999999999998</v>
      </c>
      <c r="W42">
        <v>63</v>
      </c>
      <c r="X42">
        <v>-0.63400000000000001</v>
      </c>
      <c r="Y42" t="s">
        <v>1335</v>
      </c>
      <c r="Z42" t="s">
        <v>1298</v>
      </c>
      <c r="AA42" t="s">
        <v>1298</v>
      </c>
      <c r="AB42" t="s">
        <v>1298</v>
      </c>
      <c r="AC42">
        <v>0</v>
      </c>
      <c r="AD42">
        <v>0</v>
      </c>
      <c r="AE42">
        <v>0</v>
      </c>
      <c r="AF42">
        <v>0</v>
      </c>
      <c r="AG42">
        <v>-3.1062696047351901</v>
      </c>
      <c r="AH42">
        <v>2.6341361503423002</v>
      </c>
      <c r="AI42">
        <v>2.4849331460648001</v>
      </c>
      <c r="AJ42">
        <v>67.276514473270595</v>
      </c>
      <c r="AK42">
        <v>259.40748467069801</v>
      </c>
      <c r="AL42">
        <v>6.6642279454099</v>
      </c>
      <c r="AM42">
        <v>4.7351147836405403</v>
      </c>
      <c r="AN42">
        <v>-4.5370035618082802</v>
      </c>
      <c r="AO42">
        <v>-3.8441072363323401</v>
      </c>
      <c r="AP42">
        <v>0.50545960664749101</v>
      </c>
      <c r="AQ42">
        <v>1.69992875307798E-2</v>
      </c>
      <c r="AR42">
        <v>1.2237811461091E-2</v>
      </c>
      <c r="AS42">
        <v>3.9261579513549799E-4</v>
      </c>
      <c r="AT42">
        <v>3.8099288940429601E-4</v>
      </c>
      <c r="AU42">
        <v>2.9639005661010701E-2</v>
      </c>
      <c r="AV42">
        <v>4.39304113388061E-3</v>
      </c>
      <c r="AW42">
        <v>0.97632992267608598</v>
      </c>
      <c r="AX42">
        <v>0.98022276163101196</v>
      </c>
      <c r="AY42">
        <v>7.8060060739517198E-2</v>
      </c>
      <c r="AZ42">
        <v>0.99258476495742798</v>
      </c>
      <c r="BA42">
        <v>1.49037381634116E-2</v>
      </c>
      <c r="BB42">
        <v>0.97870481014251698</v>
      </c>
      <c r="BC42">
        <v>69.705963773977103</v>
      </c>
      <c r="BD42">
        <v>0.130797169429792</v>
      </c>
      <c r="BE42">
        <v>21.766162643674601</v>
      </c>
      <c r="BF42">
        <v>0.98174989223480202</v>
      </c>
      <c r="BG42">
        <v>0.98194020986556996</v>
      </c>
      <c r="BH42">
        <v>0.882815361022949</v>
      </c>
      <c r="BI42">
        <v>2.1493479609489399E-2</v>
      </c>
      <c r="BJ42">
        <v>0.59606254100799505</v>
      </c>
      <c r="BK42">
        <v>2.1479537244886099E-3</v>
      </c>
      <c r="BL42" s="8">
        <v>5.3664942242903601E-5</v>
      </c>
      <c r="BM42">
        <v>1.03630343801341E-4</v>
      </c>
      <c r="BN42">
        <v>7.3288771091029005E-4</v>
      </c>
      <c r="BO42">
        <v>0.99514800310134799</v>
      </c>
      <c r="BP42">
        <v>0.63684803247451705</v>
      </c>
      <c r="BQ42">
        <v>0.10153149068355501</v>
      </c>
      <c r="BR42">
        <v>0.69740015268325795</v>
      </c>
      <c r="BS42">
        <v>0.97895562648773105</v>
      </c>
      <c r="BT42">
        <v>4.3585120901654699</v>
      </c>
      <c r="BU42">
        <v>1.98747968945336</v>
      </c>
      <c r="BV42">
        <v>2.19784920385497</v>
      </c>
      <c r="BW42">
        <v>4.2150540710176401</v>
      </c>
      <c r="BX42">
        <v>6.4372161162445698</v>
      </c>
      <c r="BY42">
        <v>5.4814779735287402</v>
      </c>
      <c r="BZ42">
        <v>0.575261831283569</v>
      </c>
      <c r="CA42">
        <v>0.48576298356056202</v>
      </c>
      <c r="CB42">
        <v>0.99983096122741699</v>
      </c>
      <c r="CC42">
        <v>0.83197873830795199</v>
      </c>
      <c r="CD42">
        <v>0.75923228263854903</v>
      </c>
      <c r="CE42">
        <v>0.95252090692520097</v>
      </c>
      <c r="CF42">
        <v>0.63757246732711703</v>
      </c>
      <c r="CG42">
        <v>0.75261831283569303</v>
      </c>
      <c r="CH42" s="8">
        <v>2.21657205656811E-6</v>
      </c>
      <c r="CI42">
        <v>3.6451891064643797E-2</v>
      </c>
      <c r="CJ42">
        <v>0.61657005548477095</v>
      </c>
      <c r="CK42">
        <v>0.986758053302764</v>
      </c>
      <c r="CL42">
        <v>0.38774725794792098</v>
      </c>
      <c r="CM42">
        <v>0.86368972063064497</v>
      </c>
      <c r="CN42">
        <v>0.613361597061157</v>
      </c>
      <c r="CO42">
        <v>0.99260425567626898</v>
      </c>
      <c r="CP42">
        <v>1</v>
      </c>
      <c r="CQ42">
        <v>0.105260238051414</v>
      </c>
      <c r="CR42">
        <v>0.61276054382324197</v>
      </c>
      <c r="CS42">
        <v>0.88519340753555298</v>
      </c>
      <c r="CT42">
        <v>0.80793917179107599</v>
      </c>
      <c r="CU42">
        <v>2.3934063501655999E-3</v>
      </c>
      <c r="CV42">
        <v>2.3551739286631298E-3</v>
      </c>
      <c r="CW42">
        <v>0.343010634183883</v>
      </c>
      <c r="CX42">
        <v>0.381812334060668</v>
      </c>
      <c r="CY42">
        <v>7.1631888858973902E-3</v>
      </c>
      <c r="CZ42">
        <v>1.9937998149544001E-4</v>
      </c>
      <c r="DA42">
        <v>0.320767372846603</v>
      </c>
      <c r="DB42">
        <v>4.22264356166124E-3</v>
      </c>
      <c r="DC42">
        <v>2.6886283885687499E-3</v>
      </c>
      <c r="DD42">
        <v>0.64768755435943604</v>
      </c>
      <c r="DE42">
        <v>0.141854777932167</v>
      </c>
    </row>
    <row r="43" spans="1:109" x14ac:dyDescent="0.3">
      <c r="A43" t="s">
        <v>189</v>
      </c>
      <c r="B43" t="s">
        <v>184</v>
      </c>
      <c r="C43" t="s">
        <v>188</v>
      </c>
      <c r="D43" t="s">
        <v>184</v>
      </c>
      <c r="E43">
        <v>444.16</v>
      </c>
      <c r="F43">
        <v>418.44145440182399</v>
      </c>
      <c r="G43">
        <v>1.0614627096039999</v>
      </c>
      <c r="H43">
        <v>11</v>
      </c>
      <c r="I43">
        <v>3</v>
      </c>
      <c r="J43">
        <v>152.24</v>
      </c>
      <c r="K43">
        <v>8</v>
      </c>
      <c r="L43">
        <v>3</v>
      </c>
      <c r="M43">
        <v>6</v>
      </c>
      <c r="N43">
        <v>12</v>
      </c>
      <c r="O43">
        <v>0</v>
      </c>
      <c r="P43">
        <v>20</v>
      </c>
      <c r="Q43">
        <v>0.4</v>
      </c>
      <c r="R43">
        <v>0</v>
      </c>
      <c r="S43">
        <v>0</v>
      </c>
      <c r="T43">
        <v>0.50700000000000001</v>
      </c>
      <c r="U43">
        <v>2.871</v>
      </c>
      <c r="V43">
        <v>0.3</v>
      </c>
      <c r="W43">
        <v>23</v>
      </c>
      <c r="X43">
        <v>-1.083</v>
      </c>
      <c r="Y43" t="s">
        <v>1336</v>
      </c>
      <c r="Z43" t="s">
        <v>1298</v>
      </c>
      <c r="AA43" t="s">
        <v>1298</v>
      </c>
      <c r="AB43" t="s">
        <v>1298</v>
      </c>
      <c r="AC43">
        <v>0</v>
      </c>
      <c r="AD43">
        <v>0</v>
      </c>
      <c r="AE43">
        <v>1</v>
      </c>
      <c r="AF43">
        <v>0</v>
      </c>
      <c r="AG43">
        <v>-3.7924103524803199</v>
      </c>
      <c r="AH43">
        <v>1.9244387304185899</v>
      </c>
      <c r="AI43">
        <v>1.83784801810955</v>
      </c>
      <c r="AJ43">
        <v>202.86876212828699</v>
      </c>
      <c r="AK43">
        <v>305.75561156931798</v>
      </c>
      <c r="AL43">
        <v>6.9680992389836502</v>
      </c>
      <c r="AM43">
        <v>2.2325593450081</v>
      </c>
      <c r="AN43">
        <v>-5.0629267863033496</v>
      </c>
      <c r="AO43">
        <v>-4.8486937423862599</v>
      </c>
      <c r="AP43">
        <v>3.5858962684869697E-2</v>
      </c>
      <c r="AQ43">
        <v>0.94765567779541005</v>
      </c>
      <c r="AR43">
        <v>4.5046042650937999E-3</v>
      </c>
      <c r="AS43">
        <v>3.9634108543395996E-3</v>
      </c>
      <c r="AT43">
        <v>0.40903365612030002</v>
      </c>
      <c r="AU43">
        <v>0.90572122484445505</v>
      </c>
      <c r="AV43">
        <v>0.977873930707573</v>
      </c>
      <c r="AW43">
        <v>0.99879622459411599</v>
      </c>
      <c r="AX43">
        <v>0.99360573291778498</v>
      </c>
      <c r="AY43" s="8">
        <v>1.7865153267848599E-7</v>
      </c>
      <c r="AZ43">
        <v>0.99996566772460904</v>
      </c>
      <c r="BA43">
        <v>0.32594060897827098</v>
      </c>
      <c r="BB43">
        <v>0.83117854595184304</v>
      </c>
      <c r="BC43">
        <v>86.260451795931203</v>
      </c>
      <c r="BD43">
        <v>3.4346099404446002E-2</v>
      </c>
      <c r="BE43">
        <v>10.897781830657401</v>
      </c>
      <c r="BF43">
        <v>0.96474915742874101</v>
      </c>
      <c r="BG43">
        <v>0.90488040447235096</v>
      </c>
      <c r="BH43">
        <v>6.5415501594543402E-2</v>
      </c>
      <c r="BI43" s="8">
        <v>6.7745961132459302E-5</v>
      </c>
      <c r="BJ43">
        <v>0.31137204170227001</v>
      </c>
      <c r="BK43">
        <v>1.3997603207826601E-2</v>
      </c>
      <c r="BL43" s="8">
        <v>4.7346175051643496E-6</v>
      </c>
      <c r="BM43" s="8">
        <v>5.8604786318028298E-5</v>
      </c>
      <c r="BN43">
        <v>0.442748934030532</v>
      </c>
      <c r="BO43">
        <v>6.5399091690778698E-3</v>
      </c>
      <c r="BP43">
        <v>4.10317035857588E-4</v>
      </c>
      <c r="BQ43" s="8">
        <v>1.01042496680747E-6</v>
      </c>
      <c r="BR43">
        <v>0.64869481325149503</v>
      </c>
      <c r="BS43">
        <v>8.4482831880450197E-3</v>
      </c>
      <c r="BT43">
        <v>0.75620864738389304</v>
      </c>
      <c r="BU43">
        <v>1.0634067586035301</v>
      </c>
      <c r="BV43">
        <v>0.32998876305025399</v>
      </c>
      <c r="BW43">
        <v>3.0300715971657901</v>
      </c>
      <c r="BX43">
        <v>4.3324102764107897</v>
      </c>
      <c r="BY43">
        <v>3.71382857271501</v>
      </c>
      <c r="BZ43">
        <v>0.23105044662952401</v>
      </c>
      <c r="CA43">
        <v>0.28074106574058499</v>
      </c>
      <c r="CB43">
        <v>0.96720647811889604</v>
      </c>
      <c r="CC43">
        <v>0.68974608182907104</v>
      </c>
      <c r="CD43">
        <v>0.53326350450515703</v>
      </c>
      <c r="CE43">
        <v>0.63130170106887795</v>
      </c>
      <c r="CF43">
        <v>0.117915198206901</v>
      </c>
      <c r="CG43">
        <v>0.76811546087265004</v>
      </c>
      <c r="CH43" s="8">
        <v>3.2367634617003199E-7</v>
      </c>
      <c r="CI43">
        <v>9.7480535507202107E-2</v>
      </c>
      <c r="CJ43">
        <v>0.17814520001411399</v>
      </c>
      <c r="CK43">
        <v>0.76185637712478604</v>
      </c>
      <c r="CL43">
        <v>0.73673075437545699</v>
      </c>
      <c r="CM43">
        <v>0.47945526242256098</v>
      </c>
      <c r="CN43">
        <v>0.34567734599113398</v>
      </c>
      <c r="CO43">
        <v>0.82934695482253995</v>
      </c>
      <c r="CP43">
        <v>0.99997472763061501</v>
      </c>
      <c r="CQ43">
        <v>6.6196471452712999E-2</v>
      </c>
      <c r="CR43">
        <v>0.20118765532970401</v>
      </c>
      <c r="CS43">
        <v>0.50256299972534102</v>
      </c>
      <c r="CT43">
        <v>8.4490433800965504E-4</v>
      </c>
      <c r="CU43">
        <v>4.4332663528621197E-3</v>
      </c>
      <c r="CV43">
        <v>4.7000090125948099E-4</v>
      </c>
      <c r="CW43">
        <v>2.0917585061397401E-4</v>
      </c>
      <c r="CX43">
        <v>3.8233764469623503E-2</v>
      </c>
      <c r="CY43" s="8">
        <v>8.1051148299593397E-5</v>
      </c>
      <c r="CZ43" s="8">
        <v>9.8379219707567204E-5</v>
      </c>
      <c r="DA43">
        <v>5.2545350044965702E-2</v>
      </c>
      <c r="DB43">
        <v>1.0207779705524399E-3</v>
      </c>
      <c r="DC43" s="8">
        <v>2.07533212233101E-5</v>
      </c>
      <c r="DD43">
        <v>8.2203809870406899E-4</v>
      </c>
      <c r="DE43">
        <v>1.4418625505641101E-3</v>
      </c>
    </row>
    <row r="44" spans="1:109" x14ac:dyDescent="0.3">
      <c r="A44" t="s">
        <v>154</v>
      </c>
      <c r="B44" t="s">
        <v>149</v>
      </c>
      <c r="C44" t="s">
        <v>153</v>
      </c>
      <c r="D44" t="s">
        <v>149</v>
      </c>
      <c r="E44">
        <v>376.1</v>
      </c>
      <c r="F44">
        <v>342.50954973946301</v>
      </c>
      <c r="G44">
        <v>1.0980715728542001</v>
      </c>
      <c r="H44">
        <v>5</v>
      </c>
      <c r="I44">
        <v>1</v>
      </c>
      <c r="J44">
        <v>66.48</v>
      </c>
      <c r="K44">
        <v>4</v>
      </c>
      <c r="L44">
        <v>6</v>
      </c>
      <c r="M44">
        <v>6</v>
      </c>
      <c r="N44">
        <v>8</v>
      </c>
      <c r="O44">
        <v>0</v>
      </c>
      <c r="P44">
        <v>24</v>
      </c>
      <c r="Q44">
        <v>0.16666666666666599</v>
      </c>
      <c r="R44">
        <v>6</v>
      </c>
      <c r="S44">
        <v>0</v>
      </c>
      <c r="T44">
        <v>0.63700000000000001</v>
      </c>
      <c r="U44">
        <v>4.641</v>
      </c>
      <c r="V44">
        <v>0.42099999999999999</v>
      </c>
      <c r="W44">
        <v>105.556</v>
      </c>
      <c r="X44">
        <v>-0.70099999999999996</v>
      </c>
      <c r="Y44" t="s">
        <v>1337</v>
      </c>
      <c r="Z44" t="s">
        <v>1298</v>
      </c>
      <c r="AA44" t="s">
        <v>1298</v>
      </c>
      <c r="AB44" t="s">
        <v>1298</v>
      </c>
      <c r="AC44">
        <v>0</v>
      </c>
      <c r="AD44">
        <v>1</v>
      </c>
      <c r="AE44">
        <v>1</v>
      </c>
      <c r="AF44">
        <v>0</v>
      </c>
      <c r="AG44">
        <v>-4.75474141306257</v>
      </c>
      <c r="AH44">
        <v>3.7674105233555801</v>
      </c>
      <c r="AI44">
        <v>4.0141011398478801</v>
      </c>
      <c r="AJ44">
        <v>134.37227571572899</v>
      </c>
      <c r="AK44">
        <v>314.28752848617802</v>
      </c>
      <c r="AL44">
        <v>8.3116248952652203</v>
      </c>
      <c r="AM44">
        <v>4.40691909913396</v>
      </c>
      <c r="AN44">
        <v>-4.7047684404176398</v>
      </c>
      <c r="AO44">
        <v>-4.8674882920599298</v>
      </c>
      <c r="AP44">
        <v>0.27374714612960799</v>
      </c>
      <c r="AQ44">
        <v>0.98236787319183305</v>
      </c>
      <c r="AR44">
        <v>4.4932033866643899E-2</v>
      </c>
      <c r="AS44">
        <v>2.84397602081298E-3</v>
      </c>
      <c r="AT44">
        <v>0.28749883174896201</v>
      </c>
      <c r="AU44">
        <v>0.91919577866792601</v>
      </c>
      <c r="AV44">
        <v>0.15228521823883001</v>
      </c>
      <c r="AW44">
        <v>0.63992249965667702</v>
      </c>
      <c r="AX44">
        <v>0.88678956031799305</v>
      </c>
      <c r="AY44">
        <v>2.0571533241309201E-4</v>
      </c>
      <c r="AZ44">
        <v>0.89596503973007202</v>
      </c>
      <c r="BA44">
        <v>0.52519416809081998</v>
      </c>
      <c r="BB44">
        <v>0.890253126621246</v>
      </c>
      <c r="BC44">
        <v>96.924936503018998</v>
      </c>
      <c r="BD44">
        <v>0.15274788310797199</v>
      </c>
      <c r="BE44">
        <v>2.4959517629788999</v>
      </c>
      <c r="BF44">
        <v>1.1390625149942901E-4</v>
      </c>
      <c r="BG44">
        <v>1.1730352416634501E-2</v>
      </c>
      <c r="BH44">
        <v>6.2726931646466203E-3</v>
      </c>
      <c r="BI44">
        <v>0.24881725013256001</v>
      </c>
      <c r="BJ44">
        <v>3.1705691944807698E-3</v>
      </c>
      <c r="BK44">
        <v>2.70888432860374E-2</v>
      </c>
      <c r="BL44">
        <v>2.9813719447702099E-4</v>
      </c>
      <c r="BM44" s="8">
        <v>6.1856881075073E-6</v>
      </c>
      <c r="BN44">
        <v>0.10805631428956899</v>
      </c>
      <c r="BO44">
        <v>1.2366552837192999E-3</v>
      </c>
      <c r="BP44">
        <v>0.17821612954139701</v>
      </c>
      <c r="BQ44" s="8">
        <v>6.6700160950006102E-9</v>
      </c>
      <c r="BR44">
        <v>0.97379219532012895</v>
      </c>
      <c r="BS44">
        <v>9.6843011677265098E-2</v>
      </c>
      <c r="BT44">
        <v>5.9780564766704902</v>
      </c>
      <c r="BU44">
        <v>1.4125433387086199</v>
      </c>
      <c r="BV44">
        <v>1.5679868511845301</v>
      </c>
      <c r="BW44">
        <v>3.79908777294508</v>
      </c>
      <c r="BX44">
        <v>5.5416456596040398</v>
      </c>
      <c r="BY44">
        <v>5.0571430765341097</v>
      </c>
      <c r="BZ44">
        <v>0.13660761713981601</v>
      </c>
      <c r="CA44">
        <v>0.32765141129493702</v>
      </c>
      <c r="CB44">
        <v>0.71636092662811202</v>
      </c>
      <c r="CC44">
        <v>0.23163633048534299</v>
      </c>
      <c r="CD44">
        <v>0.44109174609184199</v>
      </c>
      <c r="CE44">
        <v>0.28797376155853199</v>
      </c>
      <c r="CF44">
        <v>6.2509357929229695E-2</v>
      </c>
      <c r="CG44">
        <v>9.4946876168250996E-2</v>
      </c>
      <c r="CH44">
        <v>5.4212060058489399E-4</v>
      </c>
      <c r="CI44">
        <v>0.422198325395584</v>
      </c>
      <c r="CJ44">
        <v>0.43582147359848</v>
      </c>
      <c r="CK44">
        <v>0.64062583446502597</v>
      </c>
      <c r="CL44">
        <v>0.57723689079284601</v>
      </c>
      <c r="CM44">
        <v>0.64889103174209595</v>
      </c>
      <c r="CN44">
        <v>0.51194286346435502</v>
      </c>
      <c r="CO44">
        <v>0.70194375514984098</v>
      </c>
      <c r="CP44">
        <v>0.99993085861205999</v>
      </c>
      <c r="CQ44">
        <v>1.4317077584564601E-2</v>
      </c>
      <c r="CR44">
        <v>0.115540571510791</v>
      </c>
      <c r="CS44">
        <v>0.46619310975074701</v>
      </c>
      <c r="CT44">
        <v>0.41492584347724898</v>
      </c>
      <c r="CU44">
        <v>0.135491147637367</v>
      </c>
      <c r="CV44">
        <v>0.29783892631530701</v>
      </c>
      <c r="CW44">
        <v>0.393861323595047</v>
      </c>
      <c r="CX44">
        <v>0.60956227779388406</v>
      </c>
      <c r="CY44">
        <v>3.2569635659456198E-2</v>
      </c>
      <c r="CZ44">
        <v>0.212078437209129</v>
      </c>
      <c r="DA44">
        <v>0.85846537351608199</v>
      </c>
      <c r="DB44">
        <v>0.25498786568641602</v>
      </c>
      <c r="DC44">
        <v>1.8001932650804499E-2</v>
      </c>
      <c r="DD44">
        <v>0.62614351511001498</v>
      </c>
      <c r="DE44">
        <v>0.60677731037139804</v>
      </c>
    </row>
    <row r="45" spans="1:109" x14ac:dyDescent="0.3">
      <c r="A45" t="s">
        <v>88</v>
      </c>
      <c r="B45" t="s">
        <v>83</v>
      </c>
      <c r="C45" t="s">
        <v>87</v>
      </c>
      <c r="D45" t="s">
        <v>83</v>
      </c>
      <c r="E45">
        <v>242.09</v>
      </c>
      <c r="F45">
        <v>222.43867240049801</v>
      </c>
      <c r="G45">
        <v>1.08834492396232</v>
      </c>
      <c r="H45">
        <v>7</v>
      </c>
      <c r="I45">
        <v>3</v>
      </c>
      <c r="J45">
        <v>104.55</v>
      </c>
      <c r="K45">
        <v>2</v>
      </c>
      <c r="L45">
        <v>2</v>
      </c>
      <c r="M45">
        <v>6</v>
      </c>
      <c r="N45">
        <v>7</v>
      </c>
      <c r="O45">
        <v>0</v>
      </c>
      <c r="P45">
        <v>13</v>
      </c>
      <c r="Q45">
        <v>0.15384615384615299</v>
      </c>
      <c r="R45">
        <v>3</v>
      </c>
      <c r="S45">
        <v>0</v>
      </c>
      <c r="T45">
        <v>0.58399999999999996</v>
      </c>
      <c r="U45">
        <v>3.3759999999999999</v>
      </c>
      <c r="V45">
        <v>0.6</v>
      </c>
      <c r="W45">
        <v>45.5</v>
      </c>
      <c r="X45">
        <v>1.038</v>
      </c>
      <c r="Y45" t="s">
        <v>1298</v>
      </c>
      <c r="Z45" t="s">
        <v>1298</v>
      </c>
      <c r="AA45" t="s">
        <v>1298</v>
      </c>
      <c r="AB45" t="s">
        <v>1298</v>
      </c>
      <c r="AC45">
        <v>0</v>
      </c>
      <c r="AD45">
        <v>0</v>
      </c>
      <c r="AE45">
        <v>0</v>
      </c>
      <c r="AF45">
        <v>0</v>
      </c>
      <c r="AG45">
        <v>-0.78019830494625797</v>
      </c>
      <c r="AH45">
        <v>-0.79913351564221502</v>
      </c>
      <c r="AI45">
        <v>-1.10827971801933</v>
      </c>
      <c r="AJ45">
        <v>174.17051324236201</v>
      </c>
      <c r="AK45">
        <v>291.37711672086999</v>
      </c>
      <c r="AL45">
        <v>8.4186474658049093</v>
      </c>
      <c r="AM45">
        <v>4.3064076137525999</v>
      </c>
      <c r="AN45">
        <v>-5.5667940950784702</v>
      </c>
      <c r="AO45">
        <v>-5.15522903059437</v>
      </c>
      <c r="AP45">
        <v>0.83075428009033203</v>
      </c>
      <c r="AQ45">
        <v>3.5117735387757399E-4</v>
      </c>
      <c r="AR45">
        <v>0.15408556163310999</v>
      </c>
      <c r="AS45" s="8">
        <v>7.5936317443847602E-5</v>
      </c>
      <c r="AT45" s="8">
        <v>7.9989433288574205E-5</v>
      </c>
      <c r="AU45">
        <v>3.7252902984619103E-4</v>
      </c>
      <c r="AV45">
        <v>2.09152698516845E-4</v>
      </c>
      <c r="AW45">
        <v>0.31718546152114802</v>
      </c>
      <c r="AX45">
        <v>0.12555021047592099</v>
      </c>
      <c r="AY45" s="8">
        <v>5.0169503083452501E-5</v>
      </c>
      <c r="AZ45">
        <v>0.23075780272483801</v>
      </c>
      <c r="BA45">
        <v>1.95329915732145E-2</v>
      </c>
      <c r="BB45">
        <v>0.97997641563415505</v>
      </c>
      <c r="BC45">
        <v>5.4453835560195701E-2</v>
      </c>
      <c r="BD45">
        <v>-5.2566190562462797E-2</v>
      </c>
      <c r="BE45">
        <v>97.6075384889334</v>
      </c>
      <c r="BF45" s="8">
        <v>3.2464021160194502E-7</v>
      </c>
      <c r="BG45">
        <v>0.64116126298904397</v>
      </c>
      <c r="BH45" s="8">
        <v>6.6293009695073099E-6</v>
      </c>
      <c r="BI45">
        <v>0.98528265953063898</v>
      </c>
      <c r="BJ45" s="8">
        <v>9.8837241239379997E-5</v>
      </c>
      <c r="BK45">
        <v>0.99160224199295</v>
      </c>
      <c r="BL45" s="8">
        <v>3.4589623965075499E-7</v>
      </c>
      <c r="BM45">
        <v>2.1355381235480302E-2</v>
      </c>
      <c r="BN45">
        <v>1.1629221990006E-4</v>
      </c>
      <c r="BO45">
        <v>0.24998641014099099</v>
      </c>
      <c r="BP45" s="8">
        <v>3.33512471115682E-5</v>
      </c>
      <c r="BQ45" s="8">
        <v>3.7209978472674198E-5</v>
      </c>
      <c r="BR45">
        <v>1.49635679554194E-3</v>
      </c>
      <c r="BS45">
        <v>0.47851046919822599</v>
      </c>
      <c r="BT45">
        <v>11.5856970680811</v>
      </c>
      <c r="BU45">
        <v>1.3886352634533801</v>
      </c>
      <c r="BV45">
        <v>0.13233100508711701</v>
      </c>
      <c r="BW45">
        <v>1.9554015975225401</v>
      </c>
      <c r="BX45">
        <v>3.2636948152123901</v>
      </c>
      <c r="BY45">
        <v>2.4021407195453301</v>
      </c>
      <c r="BZ45">
        <v>3.4034382551908403E-2</v>
      </c>
      <c r="CA45">
        <v>0.12811242043971999</v>
      </c>
      <c r="CB45">
        <v>0.96836668252944902</v>
      </c>
      <c r="CC45">
        <v>0.80089825391769398</v>
      </c>
      <c r="CD45">
        <v>0.22283281385898501</v>
      </c>
      <c r="CE45">
        <v>0.209879010915756</v>
      </c>
      <c r="CF45">
        <v>0.699723601341247</v>
      </c>
      <c r="CG45">
        <v>0.50910794734954801</v>
      </c>
      <c r="CH45">
        <v>1.013376400806E-3</v>
      </c>
      <c r="CI45">
        <v>0.400249183177948</v>
      </c>
      <c r="CJ45">
        <v>0.367179244756698</v>
      </c>
      <c r="CK45">
        <v>0.80399894714355402</v>
      </c>
      <c r="CL45">
        <v>0.89964175224304199</v>
      </c>
      <c r="CM45">
        <v>0.76473402976989702</v>
      </c>
      <c r="CN45">
        <v>0.59391695261001498</v>
      </c>
      <c r="CO45">
        <v>0.56790065765380804</v>
      </c>
      <c r="CP45">
        <v>0.99836748838424605</v>
      </c>
      <c r="CQ45">
        <v>4.4778354465961401E-2</v>
      </c>
      <c r="CR45">
        <v>5.8515742421150201E-2</v>
      </c>
      <c r="CS45">
        <v>9.3976967036723993E-2</v>
      </c>
      <c r="CT45" s="8">
        <v>2.0028437575092499E-5</v>
      </c>
      <c r="CU45">
        <v>1.7298515886068301E-3</v>
      </c>
      <c r="CV45">
        <v>1.05514351162128E-4</v>
      </c>
      <c r="CW45">
        <v>6.4716598717495799E-4</v>
      </c>
      <c r="CX45">
        <v>0.109881080687046</v>
      </c>
      <c r="CY45">
        <v>1.15025124978274E-3</v>
      </c>
      <c r="CZ45" s="8">
        <v>8.0934056313708397E-5</v>
      </c>
      <c r="DA45">
        <v>3.0712105333805001E-2</v>
      </c>
      <c r="DB45">
        <v>1.2203108519315701E-2</v>
      </c>
      <c r="DC45">
        <v>6.5517722396180001E-4</v>
      </c>
      <c r="DD45" s="8">
        <v>2.9186076062614999E-5</v>
      </c>
      <c r="DE45">
        <v>0.39218452572822499</v>
      </c>
    </row>
    <row r="46" spans="1:109" x14ac:dyDescent="0.3">
      <c r="A46" t="s">
        <v>299</v>
      </c>
      <c r="B46" t="s">
        <v>297</v>
      </c>
      <c r="C46" t="s">
        <v>298</v>
      </c>
      <c r="D46" t="s">
        <v>297</v>
      </c>
      <c r="E46">
        <v>811.47</v>
      </c>
      <c r="F46">
        <v>828.65947080872502</v>
      </c>
      <c r="G46">
        <v>0.97925629113736001</v>
      </c>
      <c r="H46">
        <v>15</v>
      </c>
      <c r="I46">
        <v>1</v>
      </c>
      <c r="J46">
        <v>171.85</v>
      </c>
      <c r="K46">
        <v>11</v>
      </c>
      <c r="L46">
        <v>5</v>
      </c>
      <c r="M46">
        <v>17</v>
      </c>
      <c r="N46">
        <v>15</v>
      </c>
      <c r="O46">
        <v>0</v>
      </c>
      <c r="P46">
        <v>39</v>
      </c>
      <c r="Q46">
        <v>0.28205128205128199</v>
      </c>
      <c r="R46">
        <v>13</v>
      </c>
      <c r="S46">
        <v>1</v>
      </c>
      <c r="T46">
        <v>0.184</v>
      </c>
      <c r="U46">
        <v>6.0369999999999999</v>
      </c>
      <c r="V46">
        <v>0.72099999999999997</v>
      </c>
      <c r="W46">
        <v>139.62200000000001</v>
      </c>
      <c r="X46">
        <v>0.70699999999999996</v>
      </c>
      <c r="Y46" t="s">
        <v>1299</v>
      </c>
      <c r="Z46" t="s">
        <v>1298</v>
      </c>
      <c r="AA46" t="s">
        <v>1298</v>
      </c>
      <c r="AB46" t="s">
        <v>1298</v>
      </c>
      <c r="AC46">
        <v>1</v>
      </c>
      <c r="AD46">
        <v>0</v>
      </c>
      <c r="AE46">
        <v>1</v>
      </c>
      <c r="AF46">
        <v>1</v>
      </c>
      <c r="AG46">
        <v>-2.9901836435137699</v>
      </c>
      <c r="AH46">
        <v>2.2885106018212098</v>
      </c>
      <c r="AI46">
        <v>1.9308639469594799</v>
      </c>
      <c r="AJ46">
        <v>169.66100871204301</v>
      </c>
      <c r="AK46">
        <v>276.81850828700999</v>
      </c>
      <c r="AL46">
        <v>6.7550691427320597</v>
      </c>
      <c r="AM46">
        <v>6.7115508091764902</v>
      </c>
      <c r="AN46">
        <v>-5.3640356599289598</v>
      </c>
      <c r="AO46">
        <v>-5.1586575119544396</v>
      </c>
      <c r="AP46">
        <v>2.2114310413599E-2</v>
      </c>
      <c r="AQ46">
        <v>0.99868005514144897</v>
      </c>
      <c r="AR46">
        <v>3.46683198586106E-3</v>
      </c>
      <c r="AS46" s="8">
        <v>9.8943710327148404E-6</v>
      </c>
      <c r="AT46">
        <v>2.57313251495361E-4</v>
      </c>
      <c r="AU46">
        <v>6.2973499298095703E-3</v>
      </c>
      <c r="AV46">
        <v>8.0274164676666204E-2</v>
      </c>
      <c r="AW46">
        <v>0.999969601631164</v>
      </c>
      <c r="AX46">
        <v>0.99997687339782704</v>
      </c>
      <c r="AY46">
        <v>0.14217612147331199</v>
      </c>
      <c r="AZ46">
        <v>0.99999988079071001</v>
      </c>
      <c r="BA46" s="8">
        <v>2.0085788037249501E-6</v>
      </c>
      <c r="BB46">
        <v>0.98683923482894897</v>
      </c>
      <c r="BC46">
        <v>50.113792824247703</v>
      </c>
      <c r="BD46">
        <v>0.14302319431826299</v>
      </c>
      <c r="BE46">
        <v>50.552033839539099</v>
      </c>
      <c r="BF46" s="8">
        <v>3.8626605913805099E-8</v>
      </c>
      <c r="BG46">
        <v>0.99999570846557595</v>
      </c>
      <c r="BH46" s="8">
        <v>7.0979185693431605E-5</v>
      </c>
      <c r="BI46">
        <v>1.6066733747720701E-2</v>
      </c>
      <c r="BJ46">
        <v>1.5636719763278899E-2</v>
      </c>
      <c r="BK46" s="8">
        <v>1.0972446909396301E-11</v>
      </c>
      <c r="BL46" s="8">
        <v>1.22959376014364E-8</v>
      </c>
      <c r="BM46" s="8">
        <v>2.19407364455623E-13</v>
      </c>
      <c r="BN46">
        <v>0.99728965759277299</v>
      </c>
      <c r="BO46">
        <v>0.99921250343322698</v>
      </c>
      <c r="BP46">
        <v>0.98583722114562899</v>
      </c>
      <c r="BQ46" s="8">
        <v>3.0858037374776001E-22</v>
      </c>
      <c r="BR46">
        <v>0.99999749660491899</v>
      </c>
      <c r="BS46">
        <v>1.98096549138426E-3</v>
      </c>
      <c r="BT46">
        <v>6.0863978124413496</v>
      </c>
      <c r="BU46">
        <v>1.70052327487535</v>
      </c>
      <c r="BV46">
        <v>0.21676233926826499</v>
      </c>
      <c r="BW46">
        <v>2.9947798518122699</v>
      </c>
      <c r="BX46">
        <v>4.4006697091276497</v>
      </c>
      <c r="BY46">
        <v>3.8272105027071301</v>
      </c>
      <c r="BZ46">
        <v>8.0130867660045596E-2</v>
      </c>
      <c r="CA46">
        <v>0.17540101706981601</v>
      </c>
      <c r="CB46">
        <v>0.99988663196563698</v>
      </c>
      <c r="CC46">
        <v>0.58696055412292403</v>
      </c>
      <c r="CD46">
        <v>0.21911384165287001</v>
      </c>
      <c r="CE46">
        <v>0.17466215789317999</v>
      </c>
      <c r="CF46">
        <v>0.99998867511749201</v>
      </c>
      <c r="CG46">
        <v>0.83957159519195501</v>
      </c>
      <c r="CH46" s="8">
        <v>3.50424147654848E-6</v>
      </c>
      <c r="CI46">
        <v>1.6272616630885701E-4</v>
      </c>
      <c r="CJ46">
        <v>0.17076851427555001</v>
      </c>
      <c r="CK46">
        <v>0.81314897537231401</v>
      </c>
      <c r="CL46">
        <v>0.99269050359725897</v>
      </c>
      <c r="CM46">
        <v>0.86160421371459905</v>
      </c>
      <c r="CN46">
        <v>0.94092893600463801</v>
      </c>
      <c r="CO46">
        <v>0.99958413839340199</v>
      </c>
      <c r="CP46">
        <v>0.99999797344207697</v>
      </c>
      <c r="CQ46">
        <v>0.57609820365905695</v>
      </c>
      <c r="CR46">
        <v>0.319287300109863</v>
      </c>
      <c r="CS46">
        <v>0.80190891027450495</v>
      </c>
      <c r="CT46" s="8">
        <v>1.1962550843236299E-6</v>
      </c>
      <c r="CU46" s="8">
        <v>1.82511575985699E-6</v>
      </c>
      <c r="CV46" s="8">
        <v>3.4316167685233201E-9</v>
      </c>
      <c r="CW46" s="8">
        <v>1.3734148751609601E-6</v>
      </c>
      <c r="CX46">
        <v>2.6455880142748299E-3</v>
      </c>
      <c r="CY46" s="8">
        <v>1.0321599130946801E-9</v>
      </c>
      <c r="CZ46" s="8">
        <v>6.4840133262577999E-10</v>
      </c>
      <c r="DA46" s="8">
        <v>6.46488333586603E-5</v>
      </c>
      <c r="DB46" s="8">
        <v>7.35326910472622E-9</v>
      </c>
      <c r="DC46" s="8">
        <v>2.6790566987067099E-10</v>
      </c>
      <c r="DD46" s="8">
        <v>7.2524902750004096E-10</v>
      </c>
      <c r="DE46" s="8">
        <v>2.79230098385596E-5</v>
      </c>
    </row>
    <row r="47" spans="1:109" x14ac:dyDescent="0.3">
      <c r="A47" t="s">
        <v>403</v>
      </c>
      <c r="B47" t="s">
        <v>398</v>
      </c>
      <c r="C47" t="s">
        <v>402</v>
      </c>
      <c r="D47" t="s">
        <v>398</v>
      </c>
      <c r="E47">
        <v>382.2</v>
      </c>
      <c r="F47">
        <v>389.44882346893598</v>
      </c>
      <c r="G47">
        <v>0.98138696785788404</v>
      </c>
      <c r="H47">
        <v>7</v>
      </c>
      <c r="I47">
        <v>0</v>
      </c>
      <c r="J47">
        <v>73.510000000000005</v>
      </c>
      <c r="K47">
        <v>7</v>
      </c>
      <c r="L47">
        <v>4</v>
      </c>
      <c r="M47">
        <v>9</v>
      </c>
      <c r="N47">
        <v>7</v>
      </c>
      <c r="O47">
        <v>0</v>
      </c>
      <c r="P47">
        <v>22</v>
      </c>
      <c r="Q47">
        <v>0.31818181818181801</v>
      </c>
      <c r="R47">
        <v>0</v>
      </c>
      <c r="S47">
        <v>0</v>
      </c>
      <c r="T47">
        <v>0.61099999999999999</v>
      </c>
      <c r="U47">
        <v>2.5910000000000002</v>
      </c>
      <c r="V47">
        <v>0.47599999999999998</v>
      </c>
      <c r="W47">
        <v>46.451999999999998</v>
      </c>
      <c r="X47">
        <v>-1.5649999999999999</v>
      </c>
      <c r="Y47" t="s">
        <v>1338</v>
      </c>
      <c r="Z47" t="s">
        <v>1298</v>
      </c>
      <c r="AA47" t="s">
        <v>1298</v>
      </c>
      <c r="AB47" t="s">
        <v>1298</v>
      </c>
      <c r="AC47">
        <v>0</v>
      </c>
      <c r="AD47">
        <v>1</v>
      </c>
      <c r="AE47">
        <v>1</v>
      </c>
      <c r="AF47">
        <v>0</v>
      </c>
      <c r="AG47">
        <v>-5.76457634752704</v>
      </c>
      <c r="AH47">
        <v>3.8886676227940602</v>
      </c>
      <c r="AI47">
        <v>4.6872986730447401</v>
      </c>
      <c r="AJ47">
        <v>76.252669059300203</v>
      </c>
      <c r="AK47">
        <v>314.894064488911</v>
      </c>
      <c r="AL47">
        <v>10.1818949392266</v>
      </c>
      <c r="AM47">
        <v>4.2646668400844101</v>
      </c>
      <c r="AN47">
        <v>-4.6651065272332799</v>
      </c>
      <c r="AO47">
        <v>-4.5412985097047498</v>
      </c>
      <c r="AP47">
        <v>1.9627485424280101E-2</v>
      </c>
      <c r="AQ47">
        <v>0.58107942342758101</v>
      </c>
      <c r="AR47">
        <v>1.13717559725046E-2</v>
      </c>
      <c r="AS47">
        <v>1.2840032577514601E-3</v>
      </c>
      <c r="AT47">
        <v>0.14827561378479001</v>
      </c>
      <c r="AU47">
        <v>0.2643683552742</v>
      </c>
      <c r="AV47">
        <v>0.68124935030937195</v>
      </c>
      <c r="AW47">
        <v>0.98729485273361195</v>
      </c>
      <c r="AX47">
        <v>0.98612219095230103</v>
      </c>
      <c r="AY47">
        <v>1.68140493333339E-2</v>
      </c>
      <c r="AZ47">
        <v>0.99963855743408203</v>
      </c>
      <c r="BA47">
        <v>0.23086939752101801</v>
      </c>
      <c r="BB47">
        <v>0.92812496423721302</v>
      </c>
      <c r="BC47">
        <v>92.971883925304695</v>
      </c>
      <c r="BD47">
        <v>-1.5028829259345001E-2</v>
      </c>
      <c r="BE47">
        <v>5.8369389569018102</v>
      </c>
      <c r="BF47">
        <v>0.97369337081909102</v>
      </c>
      <c r="BG47">
        <v>0.96635514497756902</v>
      </c>
      <c r="BH47">
        <v>0.72501391172409002</v>
      </c>
      <c r="BI47">
        <v>0.993044793605804</v>
      </c>
      <c r="BJ47">
        <v>1.7819505184888802E-2</v>
      </c>
      <c r="BK47">
        <v>0.389752566814422</v>
      </c>
      <c r="BL47">
        <v>1.27805792726576E-3</v>
      </c>
      <c r="BM47">
        <v>0.405550837516784</v>
      </c>
      <c r="BN47">
        <v>3.4450542181730201E-2</v>
      </c>
      <c r="BO47">
        <v>0.35568466782569802</v>
      </c>
      <c r="BP47">
        <v>0.97309982776641801</v>
      </c>
      <c r="BQ47">
        <v>0.97996038198471003</v>
      </c>
      <c r="BR47">
        <v>0.87297570705413796</v>
      </c>
      <c r="BS47">
        <v>0.99799925088882402</v>
      </c>
      <c r="BT47">
        <v>4.41248627258532</v>
      </c>
      <c r="BU47">
        <v>0.53884492535885697</v>
      </c>
      <c r="BV47">
        <v>1.75471307075978</v>
      </c>
      <c r="BW47">
        <v>4.1861011334697897</v>
      </c>
      <c r="BX47">
        <v>5.3722030233282103</v>
      </c>
      <c r="BY47">
        <v>4.9447860029050297</v>
      </c>
      <c r="BZ47">
        <v>0.68308627605438199</v>
      </c>
      <c r="CA47">
        <v>0.681088507175445</v>
      </c>
      <c r="CB47">
        <v>0.995641589164733</v>
      </c>
      <c r="CC47">
        <v>0.28433579206466603</v>
      </c>
      <c r="CD47">
        <v>0.44505327939987099</v>
      </c>
      <c r="CE47">
        <v>0.528575539588928</v>
      </c>
      <c r="CF47">
        <v>1.8526213243603699E-2</v>
      </c>
      <c r="CG47">
        <v>0.56577676534652699</v>
      </c>
      <c r="CH47" s="8">
        <v>1.09999859887466E-6</v>
      </c>
      <c r="CI47">
        <v>2.9439216479659001E-2</v>
      </c>
      <c r="CJ47">
        <v>0.88887214660644498</v>
      </c>
      <c r="CK47">
        <v>0.87818300724029497</v>
      </c>
      <c r="CL47">
        <v>0.52141112089157104</v>
      </c>
      <c r="CM47">
        <v>0.85562455654144198</v>
      </c>
      <c r="CN47">
        <v>0.52435088157653797</v>
      </c>
      <c r="CO47">
        <v>0.854777991771698</v>
      </c>
      <c r="CP47">
        <v>0.93359088897705</v>
      </c>
      <c r="CQ47">
        <v>0.243788376450538</v>
      </c>
      <c r="CR47">
        <v>0.17290112376212999</v>
      </c>
      <c r="CS47">
        <v>0.64167588949203402</v>
      </c>
      <c r="CT47">
        <v>0.14295987784862499</v>
      </c>
      <c r="CU47">
        <v>0.234812676906585</v>
      </c>
      <c r="CV47">
        <v>0.29525455832481301</v>
      </c>
      <c r="CW47">
        <v>8.5167363286018302E-2</v>
      </c>
      <c r="CX47">
        <v>0.311832904815673</v>
      </c>
      <c r="CY47">
        <v>3.7559960037469801E-2</v>
      </c>
      <c r="CZ47">
        <v>0.27534997463226302</v>
      </c>
      <c r="DA47">
        <v>0.22703999280929499</v>
      </c>
      <c r="DB47">
        <v>0.14927625656127899</v>
      </c>
      <c r="DC47">
        <v>0.164065286517143</v>
      </c>
      <c r="DD47">
        <v>0.17608886957168501</v>
      </c>
      <c r="DE47">
        <v>5.7512450963258702E-2</v>
      </c>
    </row>
    <row r="48" spans="1:109" x14ac:dyDescent="0.3">
      <c r="A48" t="s">
        <v>179</v>
      </c>
      <c r="B48" t="s">
        <v>174</v>
      </c>
      <c r="C48" t="s">
        <v>178</v>
      </c>
      <c r="D48" t="s">
        <v>174</v>
      </c>
      <c r="E48">
        <v>533.29999999999995</v>
      </c>
      <c r="F48">
        <v>530.92993054358999</v>
      </c>
      <c r="G48">
        <v>1.00446399669723</v>
      </c>
      <c r="H48">
        <v>7</v>
      </c>
      <c r="I48">
        <v>0</v>
      </c>
      <c r="J48">
        <v>61.8</v>
      </c>
      <c r="K48">
        <v>8</v>
      </c>
      <c r="L48">
        <v>4</v>
      </c>
      <c r="M48">
        <v>6</v>
      </c>
      <c r="N48">
        <v>10</v>
      </c>
      <c r="O48">
        <v>0</v>
      </c>
      <c r="P48">
        <v>25</v>
      </c>
      <c r="Q48">
        <v>0.32</v>
      </c>
      <c r="R48">
        <v>2</v>
      </c>
      <c r="S48">
        <v>0</v>
      </c>
      <c r="T48">
        <v>0.54500000000000004</v>
      </c>
      <c r="U48">
        <v>3.7839999999999998</v>
      </c>
      <c r="V48">
        <v>0.60699999999999998</v>
      </c>
      <c r="W48">
        <v>98.6</v>
      </c>
      <c r="X48">
        <v>-0.755</v>
      </c>
      <c r="Y48" t="s">
        <v>1298</v>
      </c>
      <c r="Z48" t="s">
        <v>1298</v>
      </c>
      <c r="AA48" t="s">
        <v>1298</v>
      </c>
      <c r="AB48" t="s">
        <v>1298</v>
      </c>
      <c r="AC48">
        <v>0</v>
      </c>
      <c r="AD48">
        <v>0</v>
      </c>
      <c r="AE48">
        <v>1</v>
      </c>
      <c r="AF48">
        <v>1</v>
      </c>
      <c r="AG48">
        <v>-3.9636678591343202</v>
      </c>
      <c r="AH48">
        <v>2.87529278371324</v>
      </c>
      <c r="AI48">
        <v>2.9990323128440801</v>
      </c>
      <c r="AJ48">
        <v>160.44330498484899</v>
      </c>
      <c r="AK48">
        <v>281.88803569742601</v>
      </c>
      <c r="AL48">
        <v>7.8934942335613796</v>
      </c>
      <c r="AM48">
        <v>7.1014259983254897</v>
      </c>
      <c r="AN48">
        <v>-5.5308812533267302</v>
      </c>
      <c r="AO48">
        <v>-5.1065440851153596</v>
      </c>
      <c r="AP48">
        <v>6.1622377485036801E-2</v>
      </c>
      <c r="AQ48">
        <v>0.31738474965095498</v>
      </c>
      <c r="AR48">
        <v>0.948047935962677</v>
      </c>
      <c r="AS48" s="8">
        <v>8.3446502685546801E-7</v>
      </c>
      <c r="AT48">
        <v>2.3114681243896402E-3</v>
      </c>
      <c r="AU48">
        <v>3.3442974090576098E-3</v>
      </c>
      <c r="AV48">
        <v>1.50592923164367E-2</v>
      </c>
      <c r="AW48">
        <v>2.5081625208258601E-2</v>
      </c>
      <c r="AX48">
        <v>8.2372194156050595E-3</v>
      </c>
      <c r="AY48">
        <v>1.0473261354491099E-3</v>
      </c>
      <c r="AZ48">
        <v>0.73593175411224299</v>
      </c>
      <c r="BA48">
        <v>0.99412655830383301</v>
      </c>
      <c r="BB48">
        <v>0.99921870231628396</v>
      </c>
      <c r="BC48">
        <v>89.431544143169504</v>
      </c>
      <c r="BD48">
        <v>0.48946352374881902</v>
      </c>
      <c r="BE48">
        <v>10.6085696274921</v>
      </c>
      <c r="BF48" s="8">
        <v>2.0895795387332298E-6</v>
      </c>
      <c r="BG48">
        <v>0.99981349706649703</v>
      </c>
      <c r="BH48">
        <v>7.5920433737337503E-3</v>
      </c>
      <c r="BI48">
        <v>0.98137003183364802</v>
      </c>
      <c r="BJ48">
        <v>0.337535440921783</v>
      </c>
      <c r="BK48">
        <v>0.89480918645858698</v>
      </c>
      <c r="BL48">
        <v>5.1487279124557903E-3</v>
      </c>
      <c r="BM48">
        <v>0.116593554615974</v>
      </c>
      <c r="BN48">
        <v>0.84101235866546598</v>
      </c>
      <c r="BO48">
        <v>0.999869704246521</v>
      </c>
      <c r="BP48">
        <v>0.30002987384796098</v>
      </c>
      <c r="BQ48">
        <v>5.2361506968736597E-3</v>
      </c>
      <c r="BR48">
        <v>0.106367990374565</v>
      </c>
      <c r="BS48">
        <v>0.27821993827819802</v>
      </c>
      <c r="BT48">
        <v>7.0202578329146901</v>
      </c>
      <c r="BU48">
        <v>0.47034277428600701</v>
      </c>
      <c r="BV48">
        <v>1.58969303075845</v>
      </c>
      <c r="BW48">
        <v>3.6199191524487002</v>
      </c>
      <c r="BX48">
        <v>4.9736776693979197</v>
      </c>
      <c r="BY48">
        <v>4.3666300844822397</v>
      </c>
      <c r="BZ48">
        <v>0.80245250463485696</v>
      </c>
      <c r="CA48">
        <v>0.59629642963409402</v>
      </c>
      <c r="CB48">
        <v>0.59642088413238503</v>
      </c>
      <c r="CC48">
        <v>0.107012033462524</v>
      </c>
      <c r="CD48">
        <v>0.83837413787841797</v>
      </c>
      <c r="CE48">
        <v>0.88735848665237405</v>
      </c>
      <c r="CF48">
        <v>0.30168631672859098</v>
      </c>
      <c r="CG48">
        <v>0.11579389125108699</v>
      </c>
      <c r="CH48" s="8">
        <v>9.2616108304355294E-5</v>
      </c>
      <c r="CI48">
        <v>3.6730963736772503E-2</v>
      </c>
      <c r="CJ48">
        <v>0.976251721382141</v>
      </c>
      <c r="CK48">
        <v>0.93105268478393499</v>
      </c>
      <c r="CL48">
        <v>0.95905512571334794</v>
      </c>
      <c r="CM48">
        <v>0.89902788400650002</v>
      </c>
      <c r="CN48">
        <v>0.41543871164321899</v>
      </c>
      <c r="CO48">
        <v>0.95929312705993597</v>
      </c>
      <c r="CP48">
        <v>0.996343433856964</v>
      </c>
      <c r="CQ48">
        <v>0.14098498225212</v>
      </c>
      <c r="CR48">
        <v>0.45426470041275002</v>
      </c>
      <c r="CS48">
        <v>0.56505638360977095</v>
      </c>
      <c r="CT48">
        <v>1.0885695228353099E-3</v>
      </c>
      <c r="CU48" s="8">
        <v>9.5360614068340497E-5</v>
      </c>
      <c r="CV48" s="8">
        <v>1.44516081945766E-6</v>
      </c>
      <c r="CW48">
        <v>2.7327167335897602E-3</v>
      </c>
      <c r="CX48">
        <v>5.03404065966606E-2</v>
      </c>
      <c r="CY48" s="8">
        <v>1.35382902044511E-6</v>
      </c>
      <c r="CZ48" s="8">
        <v>6.4875692373789207E-8</v>
      </c>
      <c r="DA48">
        <v>0.22494189441203999</v>
      </c>
      <c r="DB48">
        <v>2.4187349481508101E-4</v>
      </c>
      <c r="DC48" s="8">
        <v>4.2268121092092701E-7</v>
      </c>
      <c r="DD48" s="8">
        <v>6.4653549998183701E-6</v>
      </c>
      <c r="DE48" s="8">
        <v>2.69148040388245E-5</v>
      </c>
    </row>
    <row r="49" spans="1:109" x14ac:dyDescent="0.3">
      <c r="A49" t="s">
        <v>498</v>
      </c>
      <c r="B49" t="s">
        <v>493</v>
      </c>
      <c r="C49" t="s">
        <v>497</v>
      </c>
      <c r="D49" t="s">
        <v>493</v>
      </c>
      <c r="E49">
        <v>608.1</v>
      </c>
      <c r="F49">
        <v>559.35076339193597</v>
      </c>
      <c r="G49">
        <v>1.08715324944305</v>
      </c>
      <c r="H49">
        <v>8</v>
      </c>
      <c r="I49">
        <v>3</v>
      </c>
      <c r="J49">
        <v>121.8</v>
      </c>
      <c r="K49">
        <v>11</v>
      </c>
      <c r="L49">
        <v>4</v>
      </c>
      <c r="M49">
        <v>6</v>
      </c>
      <c r="N49">
        <v>12</v>
      </c>
      <c r="O49">
        <v>0</v>
      </c>
      <c r="P49">
        <v>25</v>
      </c>
      <c r="Q49">
        <v>0.44</v>
      </c>
      <c r="R49">
        <v>0</v>
      </c>
      <c r="S49">
        <v>0</v>
      </c>
      <c r="T49">
        <v>0.247</v>
      </c>
      <c r="U49">
        <v>2.742</v>
      </c>
      <c r="V49">
        <v>0.28599999999999998</v>
      </c>
      <c r="W49">
        <v>67.167000000000002</v>
      </c>
      <c r="X49">
        <v>-1.4019999999999999</v>
      </c>
      <c r="Y49" t="s">
        <v>1339</v>
      </c>
      <c r="Z49" t="s">
        <v>1298</v>
      </c>
      <c r="AA49" t="s">
        <v>1298</v>
      </c>
      <c r="AB49" t="s">
        <v>1298</v>
      </c>
      <c r="AC49">
        <v>1</v>
      </c>
      <c r="AD49">
        <v>0</v>
      </c>
      <c r="AE49">
        <v>1</v>
      </c>
      <c r="AF49">
        <v>1</v>
      </c>
      <c r="AG49">
        <v>-5.4566876267316902</v>
      </c>
      <c r="AH49">
        <v>3.4123231346454501</v>
      </c>
      <c r="AI49">
        <v>5.1317885880820402</v>
      </c>
      <c r="AJ49">
        <v>188.424301123334</v>
      </c>
      <c r="AK49">
        <v>388.38438005976298</v>
      </c>
      <c r="AL49">
        <v>6.9624053861044599</v>
      </c>
      <c r="AM49">
        <v>0.66591239235442901</v>
      </c>
      <c r="AN49">
        <v>-5.4721324426198796</v>
      </c>
      <c r="AO49">
        <v>-4.9275258893241496</v>
      </c>
      <c r="AP49">
        <v>0.654016554355621</v>
      </c>
      <c r="AQ49" s="8">
        <v>9.44486237131059E-6</v>
      </c>
      <c r="AR49">
        <v>1.0073742596432499E-3</v>
      </c>
      <c r="AS49">
        <v>0</v>
      </c>
      <c r="AT49">
        <v>0</v>
      </c>
      <c r="AU49">
        <v>0</v>
      </c>
      <c r="AV49" s="8">
        <v>3.9100646972656203E-5</v>
      </c>
      <c r="AW49">
        <v>1.15720194298774E-3</v>
      </c>
      <c r="AX49">
        <v>8.0434875562787004E-3</v>
      </c>
      <c r="AY49" s="8">
        <v>6.5948406700044803E-6</v>
      </c>
      <c r="AZ49">
        <v>0.99834871292114202</v>
      </c>
      <c r="BA49">
        <v>6.7815789952874097E-3</v>
      </c>
      <c r="BB49">
        <v>0.99697291851043701</v>
      </c>
      <c r="BC49">
        <v>98.881312238060005</v>
      </c>
      <c r="BD49">
        <v>-0.46192694598311002</v>
      </c>
      <c r="BE49">
        <v>0.52415068688120403</v>
      </c>
      <c r="BF49">
        <v>0.69125717878341597</v>
      </c>
      <c r="BG49">
        <v>5.2662461530417204E-4</v>
      </c>
      <c r="BH49">
        <v>0.93423932790756203</v>
      </c>
      <c r="BI49">
        <v>0.48196905851364102</v>
      </c>
      <c r="BJ49">
        <v>0.99994289875030495</v>
      </c>
      <c r="BK49">
        <v>0.82166421413421598</v>
      </c>
      <c r="BL49" s="8">
        <v>3.0888053004218799E-8</v>
      </c>
      <c r="BM49">
        <v>3.7666247226297801E-4</v>
      </c>
      <c r="BN49">
        <v>4.5315351337194401E-2</v>
      </c>
      <c r="BO49">
        <v>0.99890363216400102</v>
      </c>
      <c r="BP49">
        <v>0.84699118137359597</v>
      </c>
      <c r="BQ49" s="8">
        <v>2.66730548759142E-9</v>
      </c>
      <c r="BR49">
        <v>0.99999892711639404</v>
      </c>
      <c r="BS49">
        <v>6.1026997864246299E-3</v>
      </c>
      <c r="BT49">
        <v>0.60240762435863904</v>
      </c>
      <c r="BU49">
        <v>1.47113119636276</v>
      </c>
      <c r="BV49">
        <v>0.81015260548922596</v>
      </c>
      <c r="BW49">
        <v>3.6062500334702099</v>
      </c>
      <c r="BX49">
        <v>5.2117984894205698</v>
      </c>
      <c r="BY49">
        <v>4.5485822627713102</v>
      </c>
      <c r="BZ49">
        <v>0.39942073822021401</v>
      </c>
      <c r="CA49">
        <v>4.4992014765739399E-2</v>
      </c>
      <c r="CB49">
        <v>0.99999785423278797</v>
      </c>
      <c r="CC49">
        <v>4.2640659958124098E-2</v>
      </c>
      <c r="CD49">
        <v>0.55474823713302601</v>
      </c>
      <c r="CE49">
        <v>0.21619014441966999</v>
      </c>
      <c r="CF49">
        <v>3.3789731562137597E-2</v>
      </c>
      <c r="CG49">
        <v>0.15851230919361101</v>
      </c>
      <c r="CH49" s="8">
        <v>1.13339182483684E-9</v>
      </c>
      <c r="CI49">
        <v>2.5777120608836399E-3</v>
      </c>
      <c r="CJ49">
        <v>8.5182316601276398E-2</v>
      </c>
      <c r="CK49">
        <v>0.97019356489181496</v>
      </c>
      <c r="CL49">
        <v>2.22921967506408E-2</v>
      </c>
      <c r="CM49">
        <v>0.93362247943878096</v>
      </c>
      <c r="CN49">
        <v>0.591760754585266</v>
      </c>
      <c r="CO49">
        <v>0.981145799160003</v>
      </c>
      <c r="CP49">
        <v>0.99990940093994096</v>
      </c>
      <c r="CQ49">
        <v>0.112104222178459</v>
      </c>
      <c r="CR49">
        <v>9.76532772183418E-2</v>
      </c>
      <c r="CS49">
        <v>0.11990912258625</v>
      </c>
      <c r="CT49">
        <v>4.13348781876266E-4</v>
      </c>
      <c r="CU49">
        <v>2.55362200550735E-3</v>
      </c>
      <c r="CV49">
        <v>2.1050390787422601E-3</v>
      </c>
      <c r="CW49" s="8">
        <v>5.4952750360826003E-5</v>
      </c>
      <c r="CX49">
        <v>2.6356076705269499E-4</v>
      </c>
      <c r="CY49" s="8">
        <v>1.08789399746456E-5</v>
      </c>
      <c r="CZ49">
        <v>0.37962868809700001</v>
      </c>
      <c r="DA49">
        <v>0.70548814535140902</v>
      </c>
      <c r="DB49" s="8">
        <v>2.7281917169830098E-8</v>
      </c>
      <c r="DC49">
        <v>4.5437007793225299E-4</v>
      </c>
      <c r="DD49">
        <v>6.77017942070961E-2</v>
      </c>
      <c r="DE49" s="8">
        <v>4.3208136048633598E-5</v>
      </c>
    </row>
  </sheetData>
  <sortState xmlns:xlrd2="http://schemas.microsoft.com/office/spreadsheetml/2017/richdata2" ref="A2:D49">
    <sortCondition ref="A1:A4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85FB31D2F372459D1E4916A2C86E79" ma:contentTypeVersion="11" ma:contentTypeDescription="Ein neues Dokument erstellen." ma:contentTypeScope="" ma:versionID="fd83eb54faa38a1ebe3c81eb0db0f3f5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58a9d9bf4e61078f6aec0a3bf8dbae78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986938-3be0-4a21-8706-801e2184af7c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00AC99-1A54-4748-AB58-B66DF1D4926E}">
  <ds:schemaRefs>
    <ds:schemaRef ds:uri="http://schemas.microsoft.com/office/2006/metadata/properties"/>
    <ds:schemaRef ds:uri="http://schemas.microsoft.com/office/infopath/2007/PartnerControls"/>
    <ds:schemaRef ds:uri="5032b7f1-9c73-4c9d-8c6d-860c2174f34c"/>
    <ds:schemaRef ds:uri="724efb74-552a-4553-b4ae-5b11ac2c720c"/>
  </ds:schemaRefs>
</ds:datastoreItem>
</file>

<file path=customXml/itemProps2.xml><?xml version="1.0" encoding="utf-8"?>
<ds:datastoreItem xmlns:ds="http://schemas.openxmlformats.org/officeDocument/2006/customXml" ds:itemID="{8B863D1E-9B36-49E0-AE4A-35D155BE19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8FE64-BE48-4C7C-BCCD-3024E398C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Protocol</vt:lpstr>
      <vt:lpstr>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Diane Lefaudeux</cp:lastModifiedBy>
  <dcterms:created xsi:type="dcterms:W3CDTF">2025-05-14T08:03:29Z</dcterms:created>
  <dcterms:modified xsi:type="dcterms:W3CDTF">2025-07-01T09:56:59Z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